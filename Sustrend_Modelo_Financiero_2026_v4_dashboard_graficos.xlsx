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1.xml" ContentType="application/vnd.openxmlformats-officedocument.drawing+xml"/>
  <Override PartName="/xl/worksheets/sheet26.xml" ContentType="application/vnd.openxmlformats-officedocument.spreadsheetml.worksheet+xml"/>
  <Override PartName="/xl/drawings/drawing2.xml" ContentType="application/vnd.openxmlformats-officedocument.drawing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CALENDARIO" sheetId="2" state="visible" r:id="rId2"/>
    <sheet xmlns:r="http://schemas.openxmlformats.org/officeDocument/2006/relationships" name="02_PARAMETROS" sheetId="3" state="visible" r:id="rId3"/>
    <sheet xmlns:r="http://schemas.openxmlformats.org/officeDocument/2006/relationships" name="02B_ESCENARIOS" sheetId="4" state="visible" r:id="rId4"/>
    <sheet xmlns:r="http://schemas.openxmlformats.org/officeDocument/2006/relationships" name="03_CLIENTES_TERMINOS" sheetId="5" state="visible" r:id="rId5"/>
    <sheet xmlns:r="http://schemas.openxmlformats.org/officeDocument/2006/relationships" name="04_PROYECTOS" sheetId="6" state="visible" r:id="rId6"/>
    <sheet xmlns:r="http://schemas.openxmlformats.org/officeDocument/2006/relationships" name="04B_HITOS" sheetId="7" state="visible" r:id="rId7"/>
    <sheet xmlns:r="http://schemas.openxmlformats.org/officeDocument/2006/relationships" name="04C_SUGERIDOS" sheetId="8" state="visible" r:id="rId8"/>
    <sheet xmlns:r="http://schemas.openxmlformats.org/officeDocument/2006/relationships" name="05_PERSONAS" sheetId="9" state="visible" r:id="rId9"/>
    <sheet xmlns:r="http://schemas.openxmlformats.org/officeDocument/2006/relationships" name="05B_PERSONAS_MENSUAL" sheetId="10" state="visible" r:id="rId10"/>
    <sheet xmlns:r="http://schemas.openxmlformats.org/officeDocument/2006/relationships" name="06_OPEX" sheetId="11" state="visible" r:id="rId11"/>
    <sheet xmlns:r="http://schemas.openxmlformats.org/officeDocument/2006/relationships" name="06B_OPEX_MENSUAL" sheetId="12" state="visible" r:id="rId12"/>
    <sheet xmlns:r="http://schemas.openxmlformats.org/officeDocument/2006/relationships" name="06C_OPEX_CUSTOM" sheetId="13" state="visible" r:id="rId13"/>
    <sheet xmlns:r="http://schemas.openxmlformats.org/officeDocument/2006/relationships" name="06D_COSTOS_DIRECTOS" sheetId="14" state="visible" r:id="rId14"/>
    <sheet xmlns:r="http://schemas.openxmlformats.org/officeDocument/2006/relationships" name="06E_COSTOS_DIRECTOS_MENSUAL" sheetId="15" state="visible" r:id="rId15"/>
    <sheet xmlns:r="http://schemas.openxmlformats.org/officeDocument/2006/relationships" name="07_NO_OPERACIONALES" sheetId="16" state="visible" r:id="rId16"/>
    <sheet xmlns:r="http://schemas.openxmlformats.org/officeDocument/2006/relationships" name="07B_NO_OPERACIONALES_MENSUAL" sheetId="17" state="visible" r:id="rId17"/>
    <sheet xmlns:r="http://schemas.openxmlformats.org/officeDocument/2006/relationships" name="10_FACTURACION_NETO" sheetId="18" state="visible" r:id="rId18"/>
    <sheet xmlns:r="http://schemas.openxmlformats.org/officeDocument/2006/relationships" name="12_COBRANZAS" sheetId="19" state="visible" r:id="rId19"/>
    <sheet xmlns:r="http://schemas.openxmlformats.org/officeDocument/2006/relationships" name="11_IVA_LEDGER" sheetId="20" state="visible" r:id="rId20"/>
    <sheet xmlns:r="http://schemas.openxmlformats.org/officeDocument/2006/relationships" name="14_FLUJO_CAJA" sheetId="21" state="visible" r:id="rId21"/>
    <sheet xmlns:r="http://schemas.openxmlformats.org/officeDocument/2006/relationships" name="20_PYG_MENSUAL" sheetId="22" state="visible" r:id="rId22"/>
    <sheet xmlns:r="http://schemas.openxmlformats.org/officeDocument/2006/relationships" name="21_KPIS" sheetId="23" state="visible" r:id="rId23"/>
    <sheet xmlns:r="http://schemas.openxmlformats.org/officeDocument/2006/relationships" name="21_KPIS_3ESC" sheetId="24" state="visible" r:id="rId24"/>
    <sheet xmlns:r="http://schemas.openxmlformats.org/officeDocument/2006/relationships" name="22_DASHBOARD" sheetId="25" state="visible" r:id="rId25"/>
    <sheet xmlns:r="http://schemas.openxmlformats.org/officeDocument/2006/relationships" name="23_DASHBOARD_3ESC" sheetId="26" state="visible" r:id="rId26"/>
    <sheet xmlns:r="http://schemas.openxmlformats.org/officeDocument/2006/relationships" name="99_CHECKS" sheetId="27" state="visible" r:id="rId27"/>
    <sheet xmlns:r="http://schemas.openxmlformats.org/officeDocument/2006/relationships" name="98_DATOS_IMPORTADOS" sheetId="28" state="visible" r:id="rId28"/>
    <sheet xmlns:r="http://schemas.openxmlformats.org/officeDocument/2006/relationships" name="04B_HITOS_BASE" sheetId="29" state="visible" r:id="rId29"/>
    <sheet xmlns:r="http://schemas.openxmlformats.org/officeDocument/2006/relationships" name="06B_OPEX_MENSUAL_BASE" sheetId="30" state="visible" r:id="rId30"/>
    <sheet xmlns:r="http://schemas.openxmlformats.org/officeDocument/2006/relationships" name="10_FACTURACION_NETO_BASE" sheetId="31" state="visible" r:id="rId31"/>
    <sheet xmlns:r="http://schemas.openxmlformats.org/officeDocument/2006/relationships" name="12_COBRANZAS_BASE" sheetId="32" state="visible" r:id="rId32"/>
    <sheet xmlns:r="http://schemas.openxmlformats.org/officeDocument/2006/relationships" name="11_IVA_LEDGER_BASE" sheetId="33" state="visible" r:id="rId33"/>
    <sheet xmlns:r="http://schemas.openxmlformats.org/officeDocument/2006/relationships" name="14_FLUJO_CAJA_BASE" sheetId="34" state="visible" r:id="rId34"/>
    <sheet xmlns:r="http://schemas.openxmlformats.org/officeDocument/2006/relationships" name="20_PYG_MENSUAL_BASE" sheetId="35" state="visible" r:id="rId35"/>
    <sheet xmlns:r="http://schemas.openxmlformats.org/officeDocument/2006/relationships" name="04B_HITOS_CONS" sheetId="36" state="visible" r:id="rId36"/>
    <sheet xmlns:r="http://schemas.openxmlformats.org/officeDocument/2006/relationships" name="06B_OPEX_MENSUAL_CONS" sheetId="37" state="visible" r:id="rId37"/>
    <sheet xmlns:r="http://schemas.openxmlformats.org/officeDocument/2006/relationships" name="10_FACTURACION_NETO_CONS" sheetId="38" state="visible" r:id="rId38"/>
    <sheet xmlns:r="http://schemas.openxmlformats.org/officeDocument/2006/relationships" name="12_COBRANZAS_CONS" sheetId="39" state="visible" r:id="rId39"/>
    <sheet xmlns:r="http://schemas.openxmlformats.org/officeDocument/2006/relationships" name="11_IVA_LEDGER_CONS" sheetId="40" state="visible" r:id="rId40"/>
    <sheet xmlns:r="http://schemas.openxmlformats.org/officeDocument/2006/relationships" name="14_FLUJO_CAJA_CONS" sheetId="41" state="visible" r:id="rId41"/>
    <sheet xmlns:r="http://schemas.openxmlformats.org/officeDocument/2006/relationships" name="20_PYG_MENSUAL_CONS" sheetId="42" state="visible" r:id="rId42"/>
    <sheet xmlns:r="http://schemas.openxmlformats.org/officeDocument/2006/relationships" name="04B_HITOS_AGR" sheetId="43" state="visible" r:id="rId43"/>
    <sheet xmlns:r="http://schemas.openxmlformats.org/officeDocument/2006/relationships" name="06B_OPEX_MENSUAL_AGR" sheetId="44" state="visible" r:id="rId44"/>
    <sheet xmlns:r="http://schemas.openxmlformats.org/officeDocument/2006/relationships" name="10_FACTURACION_NETO_AGR" sheetId="45" state="visible" r:id="rId45"/>
    <sheet xmlns:r="http://schemas.openxmlformats.org/officeDocument/2006/relationships" name="12_COBRANZAS_AGR" sheetId="46" state="visible" r:id="rId46"/>
    <sheet xmlns:r="http://schemas.openxmlformats.org/officeDocument/2006/relationships" name="11_IVA_LEDGER_AGR" sheetId="47" state="visible" r:id="rId47"/>
    <sheet xmlns:r="http://schemas.openxmlformats.org/officeDocument/2006/relationships" name="14_FLUJO_CAJA_AGR" sheetId="48" state="visible" r:id="rId48"/>
    <sheet xmlns:r="http://schemas.openxmlformats.org/officeDocument/2006/relationships" name="20_PYG_MENSUAL_AGR" sheetId="49" state="visible" r:id="rId49"/>
  </sheets>
  <definedNames>
    <definedName name="ANIO">'02_PARAMETROS'!$B$4</definedName>
    <definedName name="TASA_IVA">'02_PARAMETROS'!$B$5</definedName>
    <definedName name="SALDO_INICIAL_CAJA">'02_PARAMETROS'!$B$6</definedName>
    <definedName name="DSO_PRIVADO_DEFAULT">'02_PARAMETROS'!$B$7</definedName>
    <definedName name="DSO_PUBLICO_LT10M_DEFAULT">'02_PARAMETROS'!$B$8</definedName>
    <definedName name="DSO_PUBLICO_GTE10M_DEFAULT">'02_PARAMETROS'!$B$9</definedName>
    <definedName name="UMBRAL_PUBLICO_10M">'02_PARAMETROS'!$B$10</definedName>
    <definedName name="IVA_REMANENTE_INICIAL">'02_PARAMETROS'!$B$11</definedName>
    <definedName name="ESCENARIO">'02_PARAMETROS'!$B$13</definedName>
    <definedName name="MULT_PRECIO">'02_PARAMETROS'!$B$14</definedName>
    <definedName name="MULT_PERSONAS">'02_PARAMETROS'!$B$15</definedName>
    <definedName name="MULT_OPEX_FIJO">'02_PARAMETROS'!$B$16</definedName>
    <definedName name="MULT_OPEX_VARIABLE">'02_PARAMETROS'!$B$17</definedName>
    <definedName name="MULT_COSTO_DIRECTO">'02_PARAMETROS'!$B$18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.0%"/>
    <numFmt numFmtId="166" formatCode="$#,##0;[Red]($#,##0);&quot;-&quot;"/>
    <numFmt numFmtId="167" formatCode="yyyy-mm-dd h:mm:ss"/>
  </numFmts>
  <fonts count="9">
    <font>
      <name val="Calibri"/>
      <family val="2"/>
      <color theme="1"/>
      <sz val="11"/>
      <scheme val="minor"/>
    </font>
    <font>
      <b val="1"/>
      <color rgb="001F4E79"/>
      <sz val="16"/>
    </font>
    <font>
      <b val="1"/>
    </font>
    <font>
      <b val="1"/>
      <color rgb="00FFFFFF"/>
    </font>
    <font>
      <color rgb="000000FF"/>
    </font>
    <font>
      <color rgb="00000000"/>
    </font>
    <font>
      <color rgb="007A5C00"/>
    </font>
    <font>
      <b val="1"/>
      <color rgb="001F4E79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FF3CD"/>
      </patternFill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" fontId="4" fillId="4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 wrapText="1"/>
    </xf>
    <xf numFmtId="165" fontId="4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0" fontId="2" fillId="0" borderId="1" pivotButton="0" quotePrefix="0" xfId="0"/>
    <xf numFmtId="1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1" fontId="5" fillId="5" borderId="1" applyAlignment="1" pivotButton="0" quotePrefix="0" xfId="0">
      <alignment horizontal="right" vertical="center"/>
    </xf>
    <xf numFmtId="166" fontId="5" fillId="5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164" fontId="5" fillId="5" borderId="1" applyAlignment="1" pivotButton="0" quotePrefix="0" xfId="0">
      <alignment horizontal="right" vertical="center"/>
    </xf>
    <xf numFmtId="0" fontId="2" fillId="0" borderId="0" pivotButton="0" quotePrefix="0" xfId="0"/>
    <xf numFmtId="0" fontId="4" fillId="4" borderId="0" pivotButton="0" quotePrefix="0" xfId="0"/>
    <xf numFmtId="0" fontId="5" fillId="5" borderId="1" applyAlignment="1" pivotButton="0" quotePrefix="0" xfId="0">
      <alignment horizontal="right" vertical="center"/>
    </xf>
    <xf numFmtId="0" fontId="0" fillId="5" borderId="1" pivotButton="0" quotePrefix="0" xfId="0"/>
    <xf numFmtId="164" fontId="0" fillId="5" borderId="1" pivotButton="0" quotePrefix="0" xfId="0"/>
    <xf numFmtId="165" fontId="5" fillId="5" borderId="1" applyAlignment="1" pivotButton="0" quotePrefix="0" xfId="0">
      <alignment horizontal="right" vertical="center"/>
    </xf>
    <xf numFmtId="0" fontId="7" fillId="0" borderId="0" pivotButton="0" quotePrefix="0" xfId="0"/>
    <xf numFmtId="17" fontId="2" fillId="3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166" fontId="0" fillId="5" borderId="1" applyAlignment="1" pivotButton="0" quotePrefix="0" xfId="0">
      <alignment horizontal="right" vertical="center"/>
    </xf>
    <xf numFmtId="0" fontId="2" fillId="7" borderId="0" applyAlignment="1" pivotButton="0" quotePrefix="0" xfId="0">
      <alignment horizontal="left" vertical="center" wrapText="1"/>
    </xf>
    <xf numFmtId="166" fontId="2" fillId="7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17" fontId="5" fillId="5" borderId="1" applyAlignment="1" pivotButton="0" quotePrefix="0" xfId="0">
      <alignment horizontal="left" vertical="center" wrapText="1"/>
    </xf>
    <xf numFmtId="1" fontId="2" fillId="7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1" fontId="4" fillId="5" borderId="1" applyAlignment="1" pivotButton="0" quotePrefix="0" xfId="0">
      <alignment horizontal="right" vertical="center"/>
    </xf>
    <xf numFmtId="0" fontId="0" fillId="4" borderId="1" pivotButton="0" quotePrefix="0" xfId="0"/>
    <xf numFmtId="0" fontId="8" fillId="0" borderId="0" pivotButton="0" quotePrefix="0" xfId="0"/>
    <xf numFmtId="0" fontId="2" fillId="7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4" fillId="4" borderId="1" applyAlignment="1" pivotButton="0" quotePrefix="0" xfId="0">
      <alignment horizontal="right" vertical="center"/>
    </xf>
    <xf numFmtId="166" fontId="5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164" fontId="0" fillId="5" borderId="1" pivotButton="0" quotePrefix="0" xfId="0"/>
    <xf numFmtId="165" fontId="5" fillId="5" borderId="1" applyAlignment="1" pivotButton="0" quotePrefix="0" xfId="0">
      <alignment horizontal="right" vertical="center"/>
    </xf>
    <xf numFmtId="166" fontId="0" fillId="5" borderId="1" applyAlignment="1" pivotButton="0" quotePrefix="0" xfId="0">
      <alignment horizontal="right" vertical="center"/>
    </xf>
    <xf numFmtId="166" fontId="2" fillId="7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0" fontId="8" fillId="0" borderId="0" applyAlignment="1" pivotButton="0" quotePrefix="0" xfId="0">
      <alignment horizontal="left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styles" Target="styles.xml" Id="rId50"/><Relationship Type="http://schemas.openxmlformats.org/officeDocument/2006/relationships/theme" Target="theme/theme1.xml" Id="rId5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Ventas netas (sin IVA)</a:t>
            </a:r>
          </a:p>
        </rich>
      </tx>
    </title>
    <plotArea>
      <lineChart>
        <grouping val="standard"/>
        <ser>
          <idx val="0"/>
          <order val="0"/>
          <tx>
            <strRef>
              <f>'22_DASHBOARD'!B3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'22_DASHBOARD'!$A$4:$A$15</f>
            </numRef>
          </cat>
          <val>
            <numRef>
              <f>'22_DASHBOARD'!$B$4:$B$15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Saldo final de caja</a:t>
            </a:r>
          </a:p>
        </rich>
      </tx>
    </title>
    <plotArea>
      <lineChart>
        <grouping val="standard"/>
        <ser>
          <idx val="0"/>
          <order val="0"/>
          <tx>
            <strRef>
              <f>'22_DASHBOARD'!D3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'22_DASHBOARD'!$A$4:$A$15</f>
            </numRef>
          </cat>
          <val>
            <numRef>
              <f>'22_DASHBOARD'!$D$4:$D$15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Saldo final de caja (fin de mes) — Base vs Cons vs Agr</a:t>
            </a:r>
          </a:p>
        </rich>
      </tx>
    </title>
    <plotArea>
      <lineChart>
        <grouping val="standard"/>
        <ser>
          <idx val="0"/>
          <order val="0"/>
          <tx>
            <strRef>
              <f>'23_DASHBOARD_3ESC'!H3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'23_DASHBOARD_3ESC'!$A$4:$A$15</f>
            </numRef>
          </cat>
          <val>
            <numRef>
              <f>'23_DASHBOARD_3ESC'!$H$4:$H$15</f>
            </numRef>
          </val>
        </ser>
        <ser>
          <idx val="1"/>
          <order val="1"/>
          <tx>
            <strRef>
              <f>'23_DASHBOARD_3ESC'!I3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'23_DASHBOARD_3ESC'!$A$4:$A$15</f>
            </numRef>
          </cat>
          <val>
            <numRef>
              <f>'23_DASHBOARD_3ESC'!$I$4:$I$15</f>
            </numRef>
          </val>
        </ser>
        <ser>
          <idx val="2"/>
          <order val="2"/>
          <tx>
            <strRef>
              <f>'23_DASHBOARD_3ESC'!J3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'23_DASHBOARD_3ESC'!$A$4:$A$15</f>
            </numRef>
          </cat>
          <val>
            <numRef>
              <f>'23_DASHBOARD_3ESC'!$J$4:$J$15</f>
            </numRef>
          </val>
        </ser>
        <dLbls>
          <showVal val="0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Caja (CLP)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Ventas netas (sin IVA) — por mes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'23_DASHBOARD_3ESC'!B3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'23_DASHBOARD_3ESC'!$A$4:$A$15</f>
            </numRef>
          </cat>
          <val>
            <numRef>
              <f>'23_DASHBOARD_3ESC'!$B$4:$B$15</f>
            </numRef>
          </val>
        </ser>
        <ser>
          <idx val="1"/>
          <order val="1"/>
          <tx>
            <strRef>
              <f>'23_DASHBOARD_3ESC'!C3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'23_DASHBOARD_3ESC'!$A$4:$A$15</f>
            </numRef>
          </cat>
          <val>
            <numRef>
              <f>'23_DASHBOARD_3ESC'!$C$4:$C$15</f>
            </numRef>
          </val>
        </ser>
        <ser>
          <idx val="2"/>
          <order val="2"/>
          <tx>
            <strRef>
              <f>'23_DASHBOARD_3ESC'!D3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'23_DASHBOARD_3ESC'!$A$4:$A$15</f>
            </numRef>
          </cat>
          <val>
            <numRef>
              <f>'23_DASHBOARD_3ESC'!$D$4:$D$15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Cobros (bruto, con IVA) — por mes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'23_DASHBOARD_3ESC'!E3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'23_DASHBOARD_3ESC'!$A$4:$A$15</f>
            </numRef>
          </cat>
          <val>
            <numRef>
              <f>'23_DASHBOARD_3ESC'!$E$4:$E$15</f>
            </numRef>
          </val>
        </ser>
        <ser>
          <idx val="1"/>
          <order val="1"/>
          <tx>
            <strRef>
              <f>'23_DASHBOARD_3ESC'!F3</f>
            </strRef>
          </tx>
          <spPr>
            <a:ln xmlns:a="http://schemas.openxmlformats.org/drawingml/2006/main">
              <a:prstDash val="solid"/>
            </a:ln>
          </spPr>
          <cat>
            <numRef>
              <f>'23_DASHBOARD_3ESC'!$A$4:$A$15</f>
            </numRef>
          </cat>
          <val>
            <numRef>
              <f>'23_DASHBOARD_3ESC'!$F$4:$F$15</f>
            </numRef>
          </val>
        </ser>
        <ser>
          <idx val="2"/>
          <order val="2"/>
          <tx>
            <strRef>
              <f>'23_DASHBOARD_3ESC'!G3</f>
            </strRef>
          </tx>
          <spPr>
            <a:ln xmlns:a="http://schemas.openxmlformats.org/drawingml/2006/main">
              <a:prstDash val="solid"/>
            </a:ln>
          </spPr>
          <cat>
            <numRef>
              <f>'23_DASHBOARD_3ESC'!$A$4:$A$15</f>
            </numRef>
          </cat>
          <val>
            <numRef>
              <f>'23_DASHBOARD_3ESC'!$G$4:$G$15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64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11</col>
      <colOff>0</colOff>
      <row>2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19</row>
      <rowOff>0</rowOff>
    </from>
    <ext cx="64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36</row>
      <rowOff>0</rowOff>
    </from>
    <ext cx="648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showGridLines="0"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Modelo financiero Sustrend SpA (2026) — Google Sheets Ready</t>
        </is>
      </c>
    </row>
    <row r="3">
      <c r="A3" s="2" t="inlineStr">
        <is>
          <t>Qué editar (inputs):</t>
        </is>
      </c>
    </row>
    <row r="4">
      <c r="A4" s="3" t="inlineStr">
        <is>
          <t>• 02_PARAMETROS (supuestos: IVA, saldo inicial, etc.)</t>
        </is>
      </c>
    </row>
    <row r="5">
      <c r="A5" s="3" t="inlineStr">
        <is>
          <t>• 04_PROYECTOS (contratos) y 04B_HITOS (facturación por hitos)</t>
        </is>
      </c>
    </row>
    <row r="6">
      <c r="A6" s="3" t="inlineStr">
        <is>
          <t>• 04C_SUGERIDOS (generador de hitos: copiar/pegar a 04B_HITOS)</t>
        </is>
      </c>
    </row>
    <row r="7">
      <c r="A7" s="3" t="inlineStr">
        <is>
          <t>• 05_PERSONAS y 06_OPEX (estructura de costos)</t>
        </is>
      </c>
    </row>
    <row r="8">
      <c r="A8" s="3" t="inlineStr">
        <is>
          <t>• 06C_OPEX_CUSTOM, 06D_COSTOS_DIRECTOS, 07_NO_OPERACIONALES (si necesitas detalle mensual)</t>
        </is>
      </c>
    </row>
    <row r="9">
      <c r="A9" s="3" t="n"/>
    </row>
    <row r="10">
      <c r="A10" s="2" t="inlineStr">
        <is>
          <t>Qué NO editar (cálculos / outputs):</t>
        </is>
      </c>
    </row>
    <row r="11">
      <c r="A11" s="3" t="inlineStr">
        <is>
          <t>• 10_FACTURACION_NETO, 11_IVA_LEDGER, 12_COBRANZAS, 14_FLUJO_CAJA, 20_PYG_MENSUAL, 21_KPIS, 22_DASHBOARD, 99_CHECKS</t>
        </is>
      </c>
    </row>
    <row r="12">
      <c r="A12" s="3" t="n"/>
    </row>
    <row r="13">
      <c r="A13" s="2" t="inlineStr">
        <is>
          <t>Definiciones:</t>
        </is>
      </c>
    </row>
    <row r="14">
      <c r="A14" s="3" t="inlineStr">
        <is>
          <t>• Neto: sin IVA. Bruto: con IVA.</t>
        </is>
      </c>
    </row>
    <row r="15">
      <c r="A15" s="3" t="inlineStr">
        <is>
          <t>• Facturación (devengo): se registra en Mes_facturacion (hitos).</t>
        </is>
      </c>
    </row>
    <row r="16">
      <c r="A16" s="3" t="inlineStr">
        <is>
          <t>• Cobro (caja): Mes_cobro = Mes_facturacion desplazado por DSO.</t>
        </is>
      </c>
    </row>
    <row r="17">
      <c r="A17" s="3" t="inlineStr">
        <is>
          <t>• IVA (F29): se calcula como IVA débito (ventas) - IVA crédito (compras).</t>
        </is>
      </c>
    </row>
    <row r="18">
      <c r="A18" s="3" t="n"/>
    </row>
    <row r="19">
      <c r="A19" s="2" t="inlineStr">
        <is>
          <t>Convención de colores:</t>
        </is>
      </c>
    </row>
    <row r="20">
      <c r="A20" s="3" t="inlineStr">
        <is>
          <t>• Amarillo: inputs editables</t>
        </is>
      </c>
    </row>
    <row r="21">
      <c r="A21" s="3" t="inlineStr">
        <is>
          <t>• Gris: calculado</t>
        </is>
      </c>
    </row>
    <row r="22">
      <c r="A22" s="3" t="inlineStr">
        <is>
          <t>• Verde: KPIs / OK</t>
        </is>
      </c>
    </row>
    <row r="23">
      <c r="A23" s="3" t="inlineStr">
        <is>
          <t>• Rojo: alertas / revisar</t>
        </is>
      </c>
    </row>
    <row r="25">
      <c r="A25" s="24" t="inlineStr">
        <is>
          <t>Escenarios (Base / Conservador / Agresivo)</t>
        </is>
      </c>
    </row>
    <row r="26">
      <c r="A26" t="inlineStr">
        <is>
          <t>1) Elegir escenario en 02_PARAMETROS!ESCENARIO (celda amarilla).</t>
        </is>
      </c>
    </row>
    <row r="27">
      <c r="A27" t="inlineStr">
        <is>
          <t>2) Editar supuestos en 02B_ESCENARIOS (DSO, multiplicadores, probabilidades por Estado).</t>
        </is>
      </c>
    </row>
    <row r="28">
      <c r="A28" t="inlineStr">
        <is>
          <t>3) La probabilidad por Estado pondera ingresos (04B_HITOS). Si no quieres ponderar, pon 1 en todos los estados activos.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</cols>
  <sheetData>
    <row r="1">
      <c r="A1" s="4" t="inlineStr">
        <is>
          <t>Mes_fin</t>
        </is>
      </c>
      <c r="B1" s="4" t="inlineStr">
        <is>
          <t>Mes_txt</t>
        </is>
      </c>
      <c r="C1" s="4" t="inlineStr">
        <is>
          <t>Mes_idx</t>
        </is>
      </c>
    </row>
    <row r="2">
      <c r="A2" s="42" t="n">
        <v>46053</v>
      </c>
      <c r="B2" s="6" t="inlineStr">
        <is>
          <t>Jan-26</t>
        </is>
      </c>
      <c r="C2" s="6" t="n">
        <v>1</v>
      </c>
    </row>
    <row r="3">
      <c r="A3" s="42" t="n">
        <v>46081</v>
      </c>
      <c r="B3" s="6" t="inlineStr">
        <is>
          <t>Feb-26</t>
        </is>
      </c>
      <c r="C3" s="6" t="n">
        <v>2</v>
      </c>
    </row>
    <row r="4">
      <c r="A4" s="42" t="n">
        <v>46112</v>
      </c>
      <c r="B4" s="6" t="inlineStr">
        <is>
          <t>Mar-26</t>
        </is>
      </c>
      <c r="C4" s="6" t="n">
        <v>3</v>
      </c>
    </row>
    <row r="5">
      <c r="A5" s="42" t="n">
        <v>46142</v>
      </c>
      <c r="B5" s="6" t="inlineStr">
        <is>
          <t>Apr-26</t>
        </is>
      </c>
      <c r="C5" s="6" t="n">
        <v>4</v>
      </c>
    </row>
    <row r="6">
      <c r="A6" s="42" t="n">
        <v>46173</v>
      </c>
      <c r="B6" s="6" t="inlineStr">
        <is>
          <t>May-26</t>
        </is>
      </c>
      <c r="C6" s="6" t="n">
        <v>5</v>
      </c>
    </row>
    <row r="7">
      <c r="A7" s="42" t="n">
        <v>46203</v>
      </c>
      <c r="B7" s="6" t="inlineStr">
        <is>
          <t>Jun-26</t>
        </is>
      </c>
      <c r="C7" s="6" t="n">
        <v>6</v>
      </c>
    </row>
    <row r="8">
      <c r="A8" s="42" t="n">
        <v>46234</v>
      </c>
      <c r="B8" s="6" t="inlineStr">
        <is>
          <t>Jul-26</t>
        </is>
      </c>
      <c r="C8" s="6" t="n">
        <v>7</v>
      </c>
    </row>
    <row r="9">
      <c r="A9" s="42" t="n">
        <v>46265</v>
      </c>
      <c r="B9" s="6" t="inlineStr">
        <is>
          <t>Aug-26</t>
        </is>
      </c>
      <c r="C9" s="6" t="n">
        <v>8</v>
      </c>
    </row>
    <row r="10">
      <c r="A10" s="42" t="n">
        <v>46295</v>
      </c>
      <c r="B10" s="6" t="inlineStr">
        <is>
          <t>Sep-26</t>
        </is>
      </c>
      <c r="C10" s="6" t="n">
        <v>9</v>
      </c>
    </row>
    <row r="11">
      <c r="A11" s="42" t="n">
        <v>46326</v>
      </c>
      <c r="B11" s="6" t="inlineStr">
        <is>
          <t>Oct-26</t>
        </is>
      </c>
      <c r="C11" s="6" t="n">
        <v>10</v>
      </c>
    </row>
    <row r="12">
      <c r="A12" s="42" t="n">
        <v>46356</v>
      </c>
      <c r="B12" s="6" t="inlineStr">
        <is>
          <t>Nov-26</t>
        </is>
      </c>
      <c r="C12" s="6" t="n">
        <v>11</v>
      </c>
    </row>
    <row r="13">
      <c r="A13" s="42" t="n">
        <v>46387</v>
      </c>
      <c r="B13" s="6" t="inlineStr">
        <is>
          <t>Dec-26</t>
        </is>
      </c>
      <c r="C13" s="6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60" customWidth="1" min="3" max="3"/>
    <col width="2" customWidth="1" min="4" max="4"/>
  </cols>
  <sheetData>
    <row r="1">
      <c r="A1" s="7" t="inlineStr">
        <is>
          <t>PARÁMETROS / SUPUESTOS</t>
        </is>
      </c>
    </row>
    <row r="3">
      <c r="A3" s="8" t="inlineStr">
        <is>
          <t>Nombre</t>
        </is>
      </c>
      <c r="B3" s="8" t="inlineStr">
        <is>
          <t>Valor</t>
        </is>
      </c>
      <c r="C3" s="8" t="inlineStr">
        <is>
          <t>Descripción</t>
        </is>
      </c>
    </row>
    <row r="4">
      <c r="A4" s="9" t="inlineStr">
        <is>
          <t>ANIO</t>
        </is>
      </c>
      <c r="B4" s="10" t="n">
        <v>2026</v>
      </c>
      <c r="C4" s="11" t="inlineStr">
        <is>
          <t>Año del modelo</t>
        </is>
      </c>
    </row>
    <row r="5">
      <c r="A5" s="9" t="inlineStr">
        <is>
          <t>TASA_IVA</t>
        </is>
      </c>
      <c r="B5" s="43" t="n">
        <v>0.19</v>
      </c>
      <c r="C5" s="11" t="inlineStr">
        <is>
          <t>IVA Chile (19%)</t>
        </is>
      </c>
    </row>
    <row r="6">
      <c r="A6" s="9" t="inlineStr">
        <is>
          <t>SALDO_INICIAL_CAJA</t>
        </is>
      </c>
      <c r="B6" s="44" t="n">
        <v>753242</v>
      </c>
      <c r="C6" s="11" t="inlineStr">
        <is>
          <t>Caja al inicio (enero)</t>
        </is>
      </c>
    </row>
    <row r="7">
      <c r="A7" s="9" t="inlineStr">
        <is>
          <t>DSO_PRIVADO_DEFAULT</t>
        </is>
      </c>
      <c r="B7" s="45">
        <f>INDEX(02B_ESCENARIOS!$B$4:$D$11, MATCH("DSO_PRIVADO_DEFAULT", 02B_ESCENARIOS!$A$4:$A$11, 0), MATCH(ESCENARIO, 02B_ESCENARIOS!$B$3:$D$3, 0))</f>
        <v/>
      </c>
      <c r="C7" s="11" t="inlineStr">
        <is>
          <t>Plazo de cobro default privados (días)</t>
        </is>
      </c>
    </row>
    <row r="8">
      <c r="A8" s="9" t="inlineStr">
        <is>
          <t>DSO_PUBLICO_LT10M_DEFAULT</t>
        </is>
      </c>
      <c r="B8" s="45">
        <f>INDEX(02B_ESCENARIOS!$B$4:$D$11, MATCH("DSO_PUBLICO_LT10M_DEFAULT", 02B_ESCENARIOS!$A$4:$A$11, 0), MATCH(ESCENARIO, 02B_ESCENARIOS!$B$3:$D$3, 0))</f>
        <v/>
      </c>
      <c r="C8" s="11" t="inlineStr">
        <is>
          <t>Plazo de cobro default público &lt;10M (días)</t>
        </is>
      </c>
    </row>
    <row r="9">
      <c r="A9" s="9" t="inlineStr">
        <is>
          <t>DSO_PUBLICO_GTE10M_DEFAULT</t>
        </is>
      </c>
      <c r="B9" s="45">
        <f>INDEX(02B_ESCENARIOS!$B$4:$D$11, MATCH("DSO_PUBLICO_GTE10M_DEFAULT", 02B_ESCENARIOS!$A$4:$A$11, 0), MATCH(ESCENARIO, 02B_ESCENARIOS!$B$3:$D$3, 0))</f>
        <v/>
      </c>
      <c r="C9" s="11" t="inlineStr">
        <is>
          <t>Plazo de cobro default público ≥10M (días)</t>
        </is>
      </c>
    </row>
    <row r="10">
      <c r="A10" s="9" t="inlineStr">
        <is>
          <t>UMBRAL_PUBLICO_10M</t>
        </is>
      </c>
      <c r="B10" s="44" t="n">
        <v>10000000</v>
      </c>
      <c r="C10" s="11" t="inlineStr">
        <is>
          <t>Umbral (CLP neto) para diferenciar público &lt;10M vs ≥10M</t>
        </is>
      </c>
    </row>
    <row r="11">
      <c r="A11" s="14" t="inlineStr">
        <is>
          <t>IVA_REMANENTE_INICIAL</t>
        </is>
      </c>
      <c r="B11" s="44" t="n">
        <v>0</v>
      </c>
      <c r="C11" s="11" t="inlineStr">
        <is>
          <t>Remanente IVA inicial (si aplica)</t>
        </is>
      </c>
    </row>
    <row r="13">
      <c r="A13" s="24" t="inlineStr">
        <is>
          <t>ESCENARIO</t>
        </is>
      </c>
      <c r="B13" s="46" t="inlineStr">
        <is>
          <t>Base</t>
        </is>
      </c>
      <c r="C13" t="inlineStr">
        <is>
          <t>Selector de escenario (Base/Conservador/Agresivo)</t>
        </is>
      </c>
    </row>
    <row r="14">
      <c r="A14" s="24" t="inlineStr">
        <is>
          <t>MULT_PRECIO</t>
        </is>
      </c>
      <c r="B14" s="27">
        <f>INDEX(02B_ESCENARIOS!$B$4:$D$11, MATCH("MULT_PRECIO", 02B_ESCENARIOS!$A$4:$A$11, 0), MATCH(ESCENARIO, 02B_ESCENARIOS!$B$3:$D$3, 0))</f>
        <v/>
      </c>
      <c r="C14" t="inlineStr">
        <is>
          <t>Multiplicador sobre monto neto por proyecto (precio/alcance)</t>
        </is>
      </c>
    </row>
    <row r="15">
      <c r="A15" s="24" t="inlineStr">
        <is>
          <t>MULT_PERSONAS</t>
        </is>
      </c>
      <c r="B15" s="27">
        <f>INDEX(02B_ESCENARIOS!$B$4:$D$11, MATCH("MULT_PERSONAS", 02B_ESCENARIOS!$A$4:$A$11, 0), MATCH(ESCENARIO, 02B_ESCENARIOS!$B$3:$D$3, 0))</f>
        <v/>
      </c>
      <c r="C15" t="inlineStr">
        <is>
          <t>Multiplicador sobre costos de personas (sueldos+honorarios)</t>
        </is>
      </c>
    </row>
    <row r="16">
      <c r="A16" s="24" t="inlineStr">
        <is>
          <t>MULT_OPEX_FIJO</t>
        </is>
      </c>
      <c r="B16" s="27">
        <f>INDEX(02B_ESCENARIOS!$B$4:$D$11, MATCH("MULT_OPEX_FIJO", 02B_ESCENARIOS!$A$4:$A$11, 0), MATCH(ESCENARIO, 02B_ESCENARIOS!$B$3:$D$3, 0))</f>
        <v/>
      </c>
      <c r="C16" t="inlineStr">
        <is>
          <t>Multiplicador sobre OPEX fijo (arriendo, software, etc.)</t>
        </is>
      </c>
    </row>
    <row r="17">
      <c r="A17" s="24" t="inlineStr">
        <is>
          <t>MULT_OPEX_VARIABLE</t>
        </is>
      </c>
      <c r="B17" s="27">
        <f>INDEX(02B_ESCENARIOS!$B$4:$D$11, MATCH("MULT_OPEX_VARIABLE", 02B_ESCENARIOS!$A$4:$A$11, 0), MATCH(ESCENARIO, 02B_ESCENARIOS!$B$3:$D$3, 0))</f>
        <v/>
      </c>
      <c r="C17" t="inlineStr">
        <is>
          <t>Multiplicador sobre OPEX variable (viajes, variables)</t>
        </is>
      </c>
    </row>
    <row r="18">
      <c r="A18" s="24" t="inlineStr">
        <is>
          <t>MULT_COSTO_DIRECTO</t>
        </is>
      </c>
      <c r="B18" s="27">
        <f>INDEX(02B_ESCENARIOS!$B$4:$D$11, MATCH("MULT_COSTO_DIRECTO", 02B_ESCENARIOS!$A$4:$A$11, 0), MATCH(ESCENARIO, 02B_ESCENARIOS!$B$3:$D$3, 0))</f>
        <v/>
      </c>
      <c r="C18" t="inlineStr">
        <is>
          <t>Multiplicador sobre costos directos (insumos/subcontratos)</t>
        </is>
      </c>
    </row>
  </sheetData>
  <mergeCells count="1">
    <mergeCell ref="A1:D1"/>
  </mergeCells>
  <dataValidations count="1">
    <dataValidation sqref="B13" showDropDown="0" showInputMessage="0" showErrorMessage="0" allowBlank="0" type="list">
      <formula1>"Base,Conservador,Agresivo"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</cols>
  <sheetData>
    <row r="1">
      <c r="A1" s="47" t="inlineStr">
        <is>
          <t>ESCENARIOS — Supuestos editables</t>
        </is>
      </c>
    </row>
    <row r="3">
      <c r="A3" s="48" t="inlineStr">
        <is>
          <t>Parámetro</t>
        </is>
      </c>
      <c r="B3" s="48" t="inlineStr">
        <is>
          <t>Base</t>
        </is>
      </c>
      <c r="C3" s="48" t="inlineStr">
        <is>
          <t>Conservador</t>
        </is>
      </c>
      <c r="D3" s="48" t="inlineStr">
        <is>
          <t>Agresivo</t>
        </is>
      </c>
    </row>
    <row r="4">
      <c r="A4" s="49" t="inlineStr">
        <is>
          <t>DSO_PRIVADO_DEFAULT</t>
        </is>
      </c>
      <c r="B4" s="50" t="n">
        <v>30</v>
      </c>
      <c r="C4" s="50" t="n">
        <v>45</v>
      </c>
      <c r="D4" s="50" t="n">
        <v>15</v>
      </c>
    </row>
    <row r="5">
      <c r="A5" s="49" t="inlineStr">
        <is>
          <t>DSO_PUBLICO_LT10M_DEFAULT</t>
        </is>
      </c>
      <c r="B5" s="50" t="n">
        <v>60</v>
      </c>
      <c r="C5" s="50" t="n">
        <v>75</v>
      </c>
      <c r="D5" s="50" t="n">
        <v>45</v>
      </c>
    </row>
    <row r="6">
      <c r="A6" s="49" t="inlineStr">
        <is>
          <t>DSO_PUBLICO_GTE10M_DEFAULT</t>
        </is>
      </c>
      <c r="B6" s="50" t="n">
        <v>60</v>
      </c>
      <c r="C6" s="50" t="n">
        <v>90</v>
      </c>
      <c r="D6" s="50" t="n">
        <v>45</v>
      </c>
    </row>
    <row r="7">
      <c r="A7" s="49" t="inlineStr">
        <is>
          <t>MULT_PRECIO</t>
        </is>
      </c>
      <c r="B7" s="50" t="n">
        <v>1</v>
      </c>
      <c r="C7" s="50" t="n">
        <v>0.95</v>
      </c>
      <c r="D7" s="50" t="n">
        <v>1.05</v>
      </c>
    </row>
    <row r="8">
      <c r="A8" s="49" t="inlineStr">
        <is>
          <t>MULT_PERSONAS</t>
        </is>
      </c>
      <c r="B8" s="50" t="n">
        <v>1</v>
      </c>
      <c r="C8" s="50" t="n">
        <v>0.95</v>
      </c>
      <c r="D8" s="50" t="n">
        <v>1.05</v>
      </c>
    </row>
    <row r="9">
      <c r="A9" s="49" t="inlineStr">
        <is>
          <t>MULT_OPEX_FIJO</t>
        </is>
      </c>
      <c r="B9" s="50" t="n">
        <v>1</v>
      </c>
      <c r="C9" s="50" t="n">
        <v>0.97</v>
      </c>
      <c r="D9" s="50" t="n">
        <v>1.03</v>
      </c>
    </row>
    <row r="10">
      <c r="A10" s="49" t="inlineStr">
        <is>
          <t>MULT_OPEX_VARIABLE</t>
        </is>
      </c>
      <c r="B10" s="50" t="n">
        <v>1</v>
      </c>
      <c r="C10" s="50" t="n">
        <v>0.85</v>
      </c>
      <c r="D10" s="50" t="n">
        <v>1.15</v>
      </c>
    </row>
    <row r="11">
      <c r="A11" s="49" t="inlineStr">
        <is>
          <t>MULT_COSTO_DIRECTO</t>
        </is>
      </c>
      <c r="B11" s="50" t="n">
        <v>1</v>
      </c>
      <c r="C11" s="50" t="n">
        <v>0.95</v>
      </c>
      <c r="D11" s="50" t="n">
        <v>1.05</v>
      </c>
    </row>
    <row r="13">
      <c r="A13" s="24" t="inlineStr">
        <is>
          <t>Probabilidad de conversión por Estado (para proyectos no cerrados) — editable</t>
        </is>
      </c>
    </row>
    <row r="14">
      <c r="A14" s="48" t="inlineStr">
        <is>
          <t>Estado</t>
        </is>
      </c>
      <c r="B14" s="48" t="inlineStr">
        <is>
          <t>Base</t>
        </is>
      </c>
      <c r="C14" s="48" t="inlineStr">
        <is>
          <t>Conservador</t>
        </is>
      </c>
      <c r="D14" s="48" t="inlineStr">
        <is>
          <t>Agresivo</t>
        </is>
      </c>
    </row>
    <row r="15">
      <c r="A15" s="49" t="inlineStr">
        <is>
          <t>Pipeline</t>
        </is>
      </c>
      <c r="B15" s="50" t="n">
        <v>0.6</v>
      </c>
      <c r="C15" s="50" t="n">
        <v>0.3</v>
      </c>
      <c r="D15" s="50" t="n">
        <v>0.8</v>
      </c>
    </row>
    <row r="16">
      <c r="A16" s="49" t="inlineStr">
        <is>
          <t>Contratado</t>
        </is>
      </c>
      <c r="B16" s="50" t="n">
        <v>0.9</v>
      </c>
      <c r="C16" s="50" t="n">
        <v>0.75</v>
      </c>
      <c r="D16" s="50" t="n">
        <v>0.95</v>
      </c>
    </row>
    <row r="17">
      <c r="A17" s="49" t="inlineStr">
        <is>
          <t>En_ejecucion</t>
        </is>
      </c>
      <c r="B17" s="50" t="n">
        <v>1</v>
      </c>
      <c r="C17" s="50" t="n">
        <v>0.9</v>
      </c>
      <c r="D17" s="50" t="n">
        <v>1</v>
      </c>
    </row>
    <row r="18">
      <c r="A18" s="49" t="inlineStr">
        <is>
          <t>Cerrado</t>
        </is>
      </c>
      <c r="B18" s="50" t="n">
        <v>1</v>
      </c>
      <c r="C18" s="50" t="n">
        <v>1</v>
      </c>
      <c r="D18" s="50" t="n">
        <v>1</v>
      </c>
    </row>
    <row r="19">
      <c r="A19" s="49" t="inlineStr">
        <is>
          <t>Perdido</t>
        </is>
      </c>
      <c r="B19" s="50" t="n">
        <v>0</v>
      </c>
      <c r="C19" s="50" t="n">
        <v>0</v>
      </c>
      <c r="D19" s="5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0" customWidth="1" min="3" max="3"/>
    <col width="46" customWidth="1" min="4" max="4"/>
    <col width="26" customWidth="1" min="5" max="5"/>
  </cols>
  <sheetData>
    <row r="1">
      <c r="A1" s="7" t="inlineStr">
        <is>
          <t>TÉRMINOS DE COBRO (DEFAULTS)</t>
        </is>
      </c>
    </row>
    <row r="3">
      <c r="A3" s="8" t="inlineStr">
        <is>
          <t>Tipo_cliente</t>
        </is>
      </c>
      <c r="B3" s="8" t="inlineStr">
        <is>
          <t>DSO_dias_default</t>
        </is>
      </c>
      <c r="C3" s="8" t="inlineStr">
        <is>
          <t>Esquema_hitos_default</t>
        </is>
      </c>
      <c r="D3" s="8" t="inlineStr">
        <is>
          <t>Descripción</t>
        </is>
      </c>
      <c r="E3" s="8" t="inlineStr">
        <is>
          <t>Editable_en</t>
        </is>
      </c>
    </row>
    <row r="4">
      <c r="A4" s="11" t="inlineStr">
        <is>
          <t>Privado</t>
        </is>
      </c>
      <c r="B4" s="15">
        <f>DSO_PRIVADO_DEFAULT</f>
        <v/>
      </c>
      <c r="C4" s="11" t="inlineStr">
        <is>
          <t>50/50</t>
        </is>
      </c>
      <c r="D4" s="11" t="inlineStr">
        <is>
          <t>50% inicio + 50% final</t>
        </is>
      </c>
      <c r="E4" s="11" t="inlineStr">
        <is>
          <t>04B_HITOS o 04C_SUGERIDOS</t>
        </is>
      </c>
    </row>
    <row r="5">
      <c r="A5" s="11" t="inlineStr">
        <is>
          <t>Publico_&lt;10M</t>
        </is>
      </c>
      <c r="B5" s="15">
        <f>DSO_PUBLICO_LT10M_DEFAULT</f>
        <v/>
      </c>
      <c r="C5" s="11" t="inlineStr">
        <is>
          <t>0/100</t>
        </is>
      </c>
      <c r="D5" s="11" t="inlineStr">
        <is>
          <t>100% al final (contratos pequeños)</t>
        </is>
      </c>
      <c r="E5" s="11" t="inlineStr">
        <is>
          <t>04B_HITOS o 04C_SUGERIDOS</t>
        </is>
      </c>
    </row>
    <row r="6">
      <c r="A6" s="11" t="inlineStr">
        <is>
          <t>Publico_&gt;=10M</t>
        </is>
      </c>
      <c r="B6" s="15">
        <f>DSO_PUBLICO_GTE10M_DEFAULT</f>
        <v/>
      </c>
      <c r="C6" s="11" t="inlineStr">
        <is>
          <t>Custom</t>
        </is>
      </c>
      <c r="D6" s="11" t="inlineStr">
        <is>
          <t>Hitos negociables (ej. 30/40/30)</t>
        </is>
      </c>
      <c r="E6" s="11" t="inlineStr">
        <is>
          <t>04B_HITOS o 04C_SUGERIDOS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8" customWidth="1" min="3" max="3"/>
    <col width="16" customWidth="1" min="4" max="4"/>
    <col width="16" customWidth="1" min="5" max="5"/>
    <col width="10" customWidth="1" min="6" max="6"/>
    <col width="12" customWidth="1" min="7" max="7"/>
    <col width="12" customWidth="1" min="8" max="8"/>
    <col width="14" customWidth="1" min="9" max="9"/>
    <col width="16" customWidth="1" min="10" max="10"/>
    <col width="10" customWidth="1" min="11" max="11"/>
    <col width="16" customWidth="1" min="12" max="12"/>
    <col width="40" customWidth="1" min="13" max="13"/>
    <col width="38" customWidth="1" min="14" max="14"/>
  </cols>
  <sheetData>
    <row r="1">
      <c r="A1" s="7" t="inlineStr">
        <is>
          <t>PROYECTOS (Inputs)</t>
        </is>
      </c>
    </row>
    <row r="3">
      <c r="A3" s="8" t="inlineStr">
        <is>
          <t>Proyecto_ID</t>
        </is>
      </c>
      <c r="B3" s="8" t="inlineStr">
        <is>
          <t>Proyecto_nombre</t>
        </is>
      </c>
      <c r="C3" s="8" t="inlineStr">
        <is>
          <t>Cliente</t>
        </is>
      </c>
      <c r="D3" s="8" t="inlineStr">
        <is>
          <t>Tipo_cliente</t>
        </is>
      </c>
      <c r="E3" s="8" t="inlineStr">
        <is>
          <t>Monto_neto_CLP</t>
        </is>
      </c>
      <c r="F3" s="8" t="inlineStr">
        <is>
          <t>IVA_tasa</t>
        </is>
      </c>
      <c r="G3" s="8" t="inlineStr">
        <is>
          <t>Mes_inicio</t>
        </is>
      </c>
      <c r="H3" s="8" t="inlineStr">
        <is>
          <t>Mes_fin</t>
        </is>
      </c>
      <c r="I3" s="8" t="inlineStr">
        <is>
          <t>Estado</t>
        </is>
      </c>
      <c r="J3" s="8" t="inlineStr">
        <is>
          <t>DSO_dias_override</t>
        </is>
      </c>
      <c r="K3" s="8" t="inlineStr">
        <is>
          <t>DSO_dias</t>
        </is>
      </c>
      <c r="L3" s="8" t="inlineStr">
        <is>
          <t>Monto_bruto_CLP</t>
        </is>
      </c>
      <c r="M3" s="8" t="inlineStr">
        <is>
          <t>Fuente</t>
        </is>
      </c>
      <c r="N3" s="8" t="inlineStr">
        <is>
          <t>Notas</t>
        </is>
      </c>
    </row>
    <row r="4">
      <c r="A4" s="16" t="inlineStr">
        <is>
          <t>PRJ-001</t>
        </is>
      </c>
      <c r="B4" s="16" t="inlineStr">
        <is>
          <t>Andromaco</t>
        </is>
      </c>
      <c r="C4" s="16" t="inlineStr">
        <is>
          <t>Andromaco</t>
        </is>
      </c>
      <c r="D4" s="16" t="inlineStr">
        <is>
          <t>Privado</t>
        </is>
      </c>
      <c r="E4" s="44" t="n">
        <v>1890756</v>
      </c>
      <c r="F4" s="43" t="n">
        <v>0.19</v>
      </c>
      <c r="G4" s="51" t="n">
        <v>46142</v>
      </c>
      <c r="H4" s="51" t="n">
        <v>46142</v>
      </c>
      <c r="I4" s="16" t="inlineStr">
        <is>
          <t>Contratado</t>
        </is>
      </c>
      <c r="J4" s="18" t="n"/>
      <c r="K4" s="19">
        <f>IF(ISBLANK(J4),VLOOKUP(D4,03_CLIENTES_TERMINOS!$A:$C,2,FALSE),J4)</f>
        <v/>
      </c>
      <c r="L4" s="52">
        <f>E4*(1+F4)</f>
        <v/>
      </c>
      <c r="M4" s="21" t="inlineStr">
        <is>
          <t>Importado desde PROYECCIÓN 2026.xlsx (FLUJO 2026)</t>
        </is>
      </c>
      <c r="N4" s="22" t="inlineStr">
        <is>
          <t>REVISAR tipo cliente/DSO y hitos según contrato</t>
        </is>
      </c>
    </row>
    <row r="5">
      <c r="A5" s="16" t="inlineStr">
        <is>
          <t>PRJ-002</t>
        </is>
      </c>
      <c r="B5" s="16" t="inlineStr">
        <is>
          <t>Transporte SAE</t>
        </is>
      </c>
      <c r="C5" s="16" t="inlineStr">
        <is>
          <t>Transporte SAE</t>
        </is>
      </c>
      <c r="D5" s="16" t="inlineStr">
        <is>
          <t>Privado</t>
        </is>
      </c>
      <c r="E5" s="44" t="n">
        <v>1560680</v>
      </c>
      <c r="F5" s="43" t="n">
        <v>0.19</v>
      </c>
      <c r="G5" s="51" t="n">
        <v>46081</v>
      </c>
      <c r="H5" s="51" t="n">
        <v>46081</v>
      </c>
      <c r="I5" s="16" t="inlineStr">
        <is>
          <t>Contratado</t>
        </is>
      </c>
      <c r="J5" s="18" t="n"/>
      <c r="K5" s="19">
        <f>IF(ISBLANK(J5),VLOOKUP(D5,03_CLIENTES_TERMINOS!$A:$C,2,FALSE),J5)</f>
        <v/>
      </c>
      <c r="L5" s="52">
        <f>E5*(1+F5)</f>
        <v/>
      </c>
      <c r="M5" s="21" t="inlineStr">
        <is>
          <t>Importado desde PROYECCIÓN 2026.xlsx (FLUJO 2026)</t>
        </is>
      </c>
      <c r="N5" s="22" t="inlineStr">
        <is>
          <t>REVISAR tipo cliente/DSO y hitos según contrato</t>
        </is>
      </c>
    </row>
    <row r="6">
      <c r="A6" s="16" t="inlineStr">
        <is>
          <t>PRJ-003</t>
        </is>
      </c>
      <c r="B6" s="16" t="inlineStr">
        <is>
          <t>Rubbermix</t>
        </is>
      </c>
      <c r="C6" s="16" t="inlineStr">
        <is>
          <t>Rubbermix</t>
        </is>
      </c>
      <c r="D6" s="16" t="inlineStr">
        <is>
          <t>Privado</t>
        </is>
      </c>
      <c r="E6" s="44" t="n">
        <v>2278333</v>
      </c>
      <c r="F6" s="43" t="n">
        <v>0.19</v>
      </c>
      <c r="G6" s="51" t="n">
        <v>46081</v>
      </c>
      <c r="H6" s="51" t="n">
        <v>46081</v>
      </c>
      <c r="I6" s="16" t="inlineStr">
        <is>
          <t>Contratado</t>
        </is>
      </c>
      <c r="J6" s="18" t="n"/>
      <c r="K6" s="19">
        <f>IF(ISBLANK(J6),VLOOKUP(D6,03_CLIENTES_TERMINOS!$A:$C,2,FALSE),J6)</f>
        <v/>
      </c>
      <c r="L6" s="52">
        <f>E6*(1+F6)</f>
        <v/>
      </c>
      <c r="M6" s="21" t="inlineStr">
        <is>
          <t>Importado desde PROYECCIÓN 2026.xlsx (FLUJO 2026)</t>
        </is>
      </c>
      <c r="N6" s="22" t="inlineStr">
        <is>
          <t>REVISAR tipo cliente/DSO y hitos según contrato</t>
        </is>
      </c>
    </row>
    <row r="7">
      <c r="A7" s="16" t="inlineStr">
        <is>
          <t>PRJ-004</t>
        </is>
      </c>
      <c r="B7" s="16" t="inlineStr">
        <is>
          <t>TERQUIM 2025</t>
        </is>
      </c>
      <c r="C7" s="16" t="inlineStr">
        <is>
          <t>TERQUIM 2025</t>
        </is>
      </c>
      <c r="D7" s="16" t="inlineStr">
        <is>
          <t>Privado</t>
        </is>
      </c>
      <c r="E7" s="44" t="n">
        <v>2352941</v>
      </c>
      <c r="F7" s="43" t="n">
        <v>0.19</v>
      </c>
      <c r="G7" s="51" t="n">
        <v>46081</v>
      </c>
      <c r="H7" s="51" t="n">
        <v>46142</v>
      </c>
      <c r="I7" s="16" t="inlineStr">
        <is>
          <t>Contratado</t>
        </is>
      </c>
      <c r="J7" s="18" t="n"/>
      <c r="K7" s="19">
        <f>IF(ISBLANK(J7),VLOOKUP(D7,03_CLIENTES_TERMINOS!$A:$C,2,FALSE),J7)</f>
        <v/>
      </c>
      <c r="L7" s="52">
        <f>E7*(1+F7)</f>
        <v/>
      </c>
      <c r="M7" s="21" t="inlineStr">
        <is>
          <t>Importado desde PROYECCIÓN 2026.xlsx (FLUJO 2026)</t>
        </is>
      </c>
      <c r="N7" s="22" t="inlineStr">
        <is>
          <t>REVISAR tipo cliente/DSO y hitos según contrato</t>
        </is>
      </c>
    </row>
    <row r="8">
      <c r="A8" s="16" t="inlineStr">
        <is>
          <t>PRJ-005</t>
        </is>
      </c>
      <c r="B8" s="16" t="inlineStr">
        <is>
          <t>TERQUIM Reducción</t>
        </is>
      </c>
      <c r="C8" s="16" t="inlineStr">
        <is>
          <t>TERQUIM Reducción</t>
        </is>
      </c>
      <c r="D8" s="16" t="inlineStr">
        <is>
          <t>Privado</t>
        </is>
      </c>
      <c r="E8" s="44" t="n">
        <v>1260504</v>
      </c>
      <c r="F8" s="43" t="n">
        <v>0.19</v>
      </c>
      <c r="G8" s="51" t="n">
        <v>46081</v>
      </c>
      <c r="H8" s="51" t="n">
        <v>46081</v>
      </c>
      <c r="I8" s="16" t="inlineStr">
        <is>
          <t>Contratado</t>
        </is>
      </c>
      <c r="J8" s="18" t="n"/>
      <c r="K8" s="19">
        <f>IF(ISBLANK(J8),VLOOKUP(D8,03_CLIENTES_TERMINOS!$A:$C,2,FALSE),J8)</f>
        <v/>
      </c>
      <c r="L8" s="52">
        <f>E8*(1+F8)</f>
        <v/>
      </c>
      <c r="M8" s="21" t="inlineStr">
        <is>
          <t>Importado desde PROYECCIÓN 2026.xlsx (FLUJO 2026)</t>
        </is>
      </c>
      <c r="N8" s="22" t="inlineStr">
        <is>
          <t>REVISAR tipo cliente/DSO y hitos según contrato</t>
        </is>
      </c>
    </row>
    <row r="9">
      <c r="A9" s="16" t="inlineStr">
        <is>
          <t>PRJ-006</t>
        </is>
      </c>
      <c r="B9" s="16" t="inlineStr">
        <is>
          <t>UNIVERSIDAD DE LA FRONTERA</t>
        </is>
      </c>
      <c r="C9" s="16" t="inlineStr">
        <is>
          <t>UNIVERSIDAD DE LA FRONTERA</t>
        </is>
      </c>
      <c r="D9" s="16" t="inlineStr">
        <is>
          <t>Publico_&lt;10M</t>
        </is>
      </c>
      <c r="E9" s="44" t="n">
        <v>2521008</v>
      </c>
      <c r="F9" s="43" t="n">
        <v>0.19</v>
      </c>
      <c r="G9" s="51" t="n">
        <v>46081</v>
      </c>
      <c r="H9" s="51" t="n">
        <v>46081</v>
      </c>
      <c r="I9" s="16" t="inlineStr">
        <is>
          <t>Contratado</t>
        </is>
      </c>
      <c r="J9" s="18" t="n"/>
      <c r="K9" s="19">
        <f>IF(ISBLANK(J9),VLOOKUP(D9,03_CLIENTES_TERMINOS!$A:$C,2,FALSE),J9)</f>
        <v/>
      </c>
      <c r="L9" s="52">
        <f>E9*(1+F9)</f>
        <v/>
      </c>
      <c r="M9" s="21" t="inlineStr">
        <is>
          <t>Importado desde PROYECCIÓN 2026.xlsx (FLUJO 2026)</t>
        </is>
      </c>
      <c r="N9" s="22" t="inlineStr">
        <is>
          <t>REVISAR tipo cliente/DSO y hitos según contrato</t>
        </is>
      </c>
    </row>
    <row r="10">
      <c r="A10" s="16" t="inlineStr">
        <is>
          <t>PRJ-007</t>
        </is>
      </c>
      <c r="B10" s="16" t="inlineStr">
        <is>
          <t>VIPAL</t>
        </is>
      </c>
      <c r="C10" s="16" t="inlineStr">
        <is>
          <t>VIPAL</t>
        </is>
      </c>
      <c r="D10" s="16" t="inlineStr">
        <is>
          <t>Privado</t>
        </is>
      </c>
      <c r="E10" s="44" t="n">
        <v>2358891</v>
      </c>
      <c r="F10" s="43" t="n">
        <v>0.19</v>
      </c>
      <c r="G10" s="51" t="n">
        <v>46112</v>
      </c>
      <c r="H10" s="51" t="n">
        <v>46112</v>
      </c>
      <c r="I10" s="16" t="inlineStr">
        <is>
          <t>Contratado</t>
        </is>
      </c>
      <c r="J10" s="18" t="n"/>
      <c r="K10" s="19">
        <f>IF(ISBLANK(J10),VLOOKUP(D10,03_CLIENTES_TERMINOS!$A:$C,2,FALSE),J10)</f>
        <v/>
      </c>
      <c r="L10" s="52">
        <f>E10*(1+F10)</f>
        <v/>
      </c>
      <c r="M10" s="21" t="inlineStr">
        <is>
          <t>Importado desde PROYECCIÓN 2026.xlsx (FLUJO 2026)</t>
        </is>
      </c>
      <c r="N10" s="22" t="inlineStr">
        <is>
          <t>REVISAR tipo cliente/DSO y hitos según contrato</t>
        </is>
      </c>
    </row>
    <row r="11">
      <c r="A11" s="16" t="inlineStr">
        <is>
          <t>PRJ-008</t>
        </is>
      </c>
      <c r="B11" s="16" t="inlineStr">
        <is>
          <t>USACH - Voluntariado Maitencillo</t>
        </is>
      </c>
      <c r="C11" s="16" t="inlineStr">
        <is>
          <t>USACH - Voluntariado Maitencillo</t>
        </is>
      </c>
      <c r="D11" s="16" t="inlineStr">
        <is>
          <t>Publico_&lt;10M</t>
        </is>
      </c>
      <c r="E11" s="44" t="n">
        <v>1848739</v>
      </c>
      <c r="F11" s="43" t="n">
        <v>0.19</v>
      </c>
      <c r="G11" s="51" t="n">
        <v>46081</v>
      </c>
      <c r="H11" s="51" t="n">
        <v>46081</v>
      </c>
      <c r="I11" s="16" t="inlineStr">
        <is>
          <t>Contratado</t>
        </is>
      </c>
      <c r="J11" s="18" t="n"/>
      <c r="K11" s="19">
        <f>IF(ISBLANK(J11),VLOOKUP(D11,03_CLIENTES_TERMINOS!$A:$C,2,FALSE),J11)</f>
        <v/>
      </c>
      <c r="L11" s="52">
        <f>E11*(1+F11)</f>
        <v/>
      </c>
      <c r="M11" s="21" t="inlineStr">
        <is>
          <t>Importado desde PROYECCIÓN 2026.xlsx (FLUJO 2026)</t>
        </is>
      </c>
      <c r="N11" s="22" t="inlineStr">
        <is>
          <t>REVISAR tipo cliente/DSO y hitos según contrato</t>
        </is>
      </c>
    </row>
    <row r="12">
      <c r="A12" s="16" t="inlineStr">
        <is>
          <t>PRJ-009</t>
        </is>
      </c>
      <c r="B12" s="16" t="inlineStr">
        <is>
          <t>USACH - Peñaflor</t>
        </is>
      </c>
      <c r="C12" s="16" t="inlineStr">
        <is>
          <t>USACH - Peñaflor</t>
        </is>
      </c>
      <c r="D12" s="16" t="inlineStr">
        <is>
          <t>Publico_&lt;10M</t>
        </is>
      </c>
      <c r="E12" s="44" t="n">
        <v>924370</v>
      </c>
      <c r="F12" s="43" t="n">
        <v>0.19</v>
      </c>
      <c r="G12" s="51" t="n">
        <v>46081</v>
      </c>
      <c r="H12" s="51" t="n">
        <v>46081</v>
      </c>
      <c r="I12" s="16" t="inlineStr">
        <is>
          <t>Contratado</t>
        </is>
      </c>
      <c r="J12" s="18" t="n"/>
      <c r="K12" s="19">
        <f>IF(ISBLANK(J12),VLOOKUP(D12,03_CLIENTES_TERMINOS!$A:$C,2,FALSE),J12)</f>
        <v/>
      </c>
      <c r="L12" s="52">
        <f>E12*(1+F12)</f>
        <v/>
      </c>
      <c r="M12" s="21" t="inlineStr">
        <is>
          <t>Importado desde PROYECCIÓN 2026.xlsx (FLUJO 2026)</t>
        </is>
      </c>
      <c r="N12" s="22" t="inlineStr">
        <is>
          <t>REVISAR tipo cliente/DSO y hitos según contrato</t>
        </is>
      </c>
    </row>
    <row r="13">
      <c r="A13" s="16" t="inlineStr">
        <is>
          <t>PRJ-010</t>
        </is>
      </c>
      <c r="B13" s="16" t="inlineStr">
        <is>
          <t>Geacom</t>
        </is>
      </c>
      <c r="C13" s="16" t="inlineStr">
        <is>
          <t>Geacom</t>
        </is>
      </c>
      <c r="D13" s="16" t="inlineStr">
        <is>
          <t>Privado</t>
        </is>
      </c>
      <c r="E13" s="44" t="n">
        <v>297327</v>
      </c>
      <c r="F13" s="43" t="n">
        <v>0.19</v>
      </c>
      <c r="G13" s="51" t="n">
        <v>46053</v>
      </c>
      <c r="H13" s="51" t="n">
        <v>46053</v>
      </c>
      <c r="I13" s="16" t="inlineStr">
        <is>
          <t>Contratado</t>
        </is>
      </c>
      <c r="J13" s="18" t="n"/>
      <c r="K13" s="19">
        <f>IF(ISBLANK(J13),VLOOKUP(D13,03_CLIENTES_TERMINOS!$A:$C,2,FALSE),J13)</f>
        <v/>
      </c>
      <c r="L13" s="52">
        <f>E13*(1+F13)</f>
        <v/>
      </c>
      <c r="M13" s="21" t="inlineStr">
        <is>
          <t>Importado desde PROYECCIÓN 2026.xlsx (FLUJO 2026)</t>
        </is>
      </c>
      <c r="N13" s="22" t="inlineStr">
        <is>
          <t>REVISAR tipo cliente/DSO y hitos según contrato</t>
        </is>
      </c>
    </row>
    <row r="14">
      <c r="A14" s="16" t="inlineStr">
        <is>
          <t>PRJ-011</t>
        </is>
      </c>
      <c r="B14" s="16" t="inlineStr">
        <is>
          <t>UTEM - Excelencia</t>
        </is>
      </c>
      <c r="C14" s="16" t="inlineStr">
        <is>
          <t>UTEM - Excelencia</t>
        </is>
      </c>
      <c r="D14" s="16" t="inlineStr">
        <is>
          <t>Publico_&lt;10M</t>
        </is>
      </c>
      <c r="E14" s="44" t="n">
        <v>756303</v>
      </c>
      <c r="F14" s="43" t="n">
        <v>0.19</v>
      </c>
      <c r="G14" s="51" t="n">
        <v>46112</v>
      </c>
      <c r="H14" s="51" t="n">
        <v>46112</v>
      </c>
      <c r="I14" s="16" t="inlineStr">
        <is>
          <t>Contratado</t>
        </is>
      </c>
      <c r="J14" s="18" t="n"/>
      <c r="K14" s="19">
        <f>IF(ISBLANK(J14),VLOOKUP(D14,03_CLIENTES_TERMINOS!$A:$C,2,FALSE),J14)</f>
        <v/>
      </c>
      <c r="L14" s="52">
        <f>E14*(1+F14)</f>
        <v/>
      </c>
      <c r="M14" s="21" t="inlineStr">
        <is>
          <t>Importado desde PROYECCIÓN 2026.xlsx (FLUJO 2026)</t>
        </is>
      </c>
      <c r="N14" s="22" t="inlineStr">
        <is>
          <t>REVISAR tipo cliente/DSO y hitos según contrato</t>
        </is>
      </c>
    </row>
    <row r="15">
      <c r="A15" s="16" t="inlineStr">
        <is>
          <t>PRJ-012</t>
        </is>
      </c>
      <c r="B15" s="16" t="inlineStr">
        <is>
          <t>UTEM - Evento</t>
        </is>
      </c>
      <c r="C15" s="16" t="inlineStr">
        <is>
          <t>UTEM - Evento</t>
        </is>
      </c>
      <c r="D15" s="16" t="inlineStr">
        <is>
          <t>Publico_&lt;10M</t>
        </is>
      </c>
      <c r="E15" s="44" t="n">
        <v>1850000</v>
      </c>
      <c r="F15" s="43" t="n">
        <v>0.19</v>
      </c>
      <c r="G15" s="51" t="n">
        <v>46053</v>
      </c>
      <c r="H15" s="51" t="n">
        <v>46053</v>
      </c>
      <c r="I15" s="16" t="inlineStr">
        <is>
          <t>Contratado</t>
        </is>
      </c>
      <c r="J15" s="18" t="n"/>
      <c r="K15" s="19">
        <f>IF(ISBLANK(J15),VLOOKUP(D15,03_CLIENTES_TERMINOS!$A:$C,2,FALSE),J15)</f>
        <v/>
      </c>
      <c r="L15" s="52">
        <f>E15*(1+F15)</f>
        <v/>
      </c>
      <c r="M15" s="21" t="inlineStr">
        <is>
          <t>Importado desde PROYECCIÓN 2026.xlsx (FLUJO 2026)</t>
        </is>
      </c>
      <c r="N15" s="22" t="inlineStr">
        <is>
          <t>REVISAR tipo cliente/DSO y hitos según contrato</t>
        </is>
      </c>
    </row>
    <row r="16">
      <c r="A16" s="16" t="inlineStr">
        <is>
          <t>PRJ-013</t>
        </is>
      </c>
      <c r="B16" s="16" t="inlineStr">
        <is>
          <t>Blumar</t>
        </is>
      </c>
      <c r="C16" s="16" t="inlineStr">
        <is>
          <t>Blumar</t>
        </is>
      </c>
      <c r="D16" s="16" t="inlineStr">
        <is>
          <t>Privado</t>
        </is>
      </c>
      <c r="E16" s="44" t="n">
        <v>4033613</v>
      </c>
      <c r="F16" s="43" t="n">
        <v>0.19</v>
      </c>
      <c r="G16" s="51" t="n">
        <v>46081</v>
      </c>
      <c r="H16" s="51" t="n">
        <v>46173</v>
      </c>
      <c r="I16" s="16" t="inlineStr">
        <is>
          <t>Contratado</t>
        </is>
      </c>
      <c r="J16" s="18" t="n"/>
      <c r="K16" s="19">
        <f>IF(ISBLANK(J16),VLOOKUP(D16,03_CLIENTES_TERMINOS!$A:$C,2,FALSE),J16)</f>
        <v/>
      </c>
      <c r="L16" s="52">
        <f>E16*(1+F16)</f>
        <v/>
      </c>
      <c r="M16" s="21" t="inlineStr">
        <is>
          <t>Importado desde PROYECCIÓN 2026.xlsx (FLUJO 2026)</t>
        </is>
      </c>
      <c r="N16" s="22" t="inlineStr">
        <is>
          <t>REVISAR tipo cliente/DSO y hitos según contrato</t>
        </is>
      </c>
    </row>
    <row r="17">
      <c r="A17" s="16" t="inlineStr">
        <is>
          <t>PRJ-014</t>
        </is>
      </c>
      <c r="B17" s="16" t="inlineStr">
        <is>
          <t>PF Alimentos</t>
        </is>
      </c>
      <c r="C17" s="16" t="inlineStr">
        <is>
          <t>PF Alimentos</t>
        </is>
      </c>
      <c r="D17" s="16" t="inlineStr">
        <is>
          <t>Privado</t>
        </is>
      </c>
      <c r="E17" s="44" t="n">
        <v>1176471</v>
      </c>
      <c r="F17" s="43" t="n">
        <v>0.19</v>
      </c>
      <c r="G17" s="51" t="n">
        <v>46081</v>
      </c>
      <c r="H17" s="51" t="n">
        <v>46142</v>
      </c>
      <c r="I17" s="16" t="inlineStr">
        <is>
          <t>Contratado</t>
        </is>
      </c>
      <c r="J17" s="18" t="n"/>
      <c r="K17" s="19">
        <f>IF(ISBLANK(J17),VLOOKUP(D17,03_CLIENTES_TERMINOS!$A:$C,2,FALSE),J17)</f>
        <v/>
      </c>
      <c r="L17" s="52">
        <f>E17*(1+F17)</f>
        <v/>
      </c>
      <c r="M17" s="21" t="inlineStr">
        <is>
          <t>Importado desde PROYECCIÓN 2026.xlsx (FLUJO 2026)</t>
        </is>
      </c>
      <c r="N17" s="22" t="inlineStr">
        <is>
          <t>REVISAR tipo cliente/DSO y hitos según contrato</t>
        </is>
      </c>
    </row>
    <row r="18">
      <c r="A18" s="16" t="inlineStr">
        <is>
          <t>PRJ-015</t>
        </is>
      </c>
      <c r="B18" s="16" t="inlineStr">
        <is>
          <t>Neumáticos de los Ríos</t>
        </is>
      </c>
      <c r="C18" s="16" t="inlineStr">
        <is>
          <t>Neumáticos de los Ríos</t>
        </is>
      </c>
      <c r="D18" s="16" t="inlineStr">
        <is>
          <t>Privado</t>
        </is>
      </c>
      <c r="E18" s="44" t="n">
        <v>879260</v>
      </c>
      <c r="F18" s="43" t="n">
        <v>0.19</v>
      </c>
      <c r="G18" s="51" t="n">
        <v>46112</v>
      </c>
      <c r="H18" s="51" t="n">
        <v>46142</v>
      </c>
      <c r="I18" s="16" t="inlineStr">
        <is>
          <t>Contratado</t>
        </is>
      </c>
      <c r="J18" s="18" t="n"/>
      <c r="K18" s="19">
        <f>IF(ISBLANK(J18),VLOOKUP(D18,03_CLIENTES_TERMINOS!$A:$C,2,FALSE),J18)</f>
        <v/>
      </c>
      <c r="L18" s="52">
        <f>E18*(1+F18)</f>
        <v/>
      </c>
      <c r="M18" s="21" t="inlineStr">
        <is>
          <t>Importado desde PROYECCIÓN 2026.xlsx (FLUJO 2026)</t>
        </is>
      </c>
      <c r="N18" s="22" t="inlineStr">
        <is>
          <t>REVISAR tipo cliente/DSO y hitos según contrato</t>
        </is>
      </c>
    </row>
    <row r="19">
      <c r="A19" s="16" t="inlineStr">
        <is>
          <t>PRJ-016</t>
        </is>
      </c>
      <c r="B19" s="16" t="inlineStr">
        <is>
          <t>Santos Chomba</t>
        </is>
      </c>
      <c r="C19" s="16" t="inlineStr">
        <is>
          <t>Santos Chomba</t>
        </is>
      </c>
      <c r="D19" s="16" t="inlineStr">
        <is>
          <t>Privado</t>
        </is>
      </c>
      <c r="E19" s="44" t="n">
        <v>1293197</v>
      </c>
      <c r="F19" s="43" t="n">
        <v>0.19</v>
      </c>
      <c r="G19" s="51" t="n">
        <v>46112</v>
      </c>
      <c r="H19" s="51" t="n">
        <v>46173</v>
      </c>
      <c r="I19" s="16" t="inlineStr">
        <is>
          <t>Contratado</t>
        </is>
      </c>
      <c r="J19" s="18" t="n"/>
      <c r="K19" s="19">
        <f>IF(ISBLANK(J19),VLOOKUP(D19,03_CLIENTES_TERMINOS!$A:$C,2,FALSE),J19)</f>
        <v/>
      </c>
      <c r="L19" s="52">
        <f>E19*(1+F19)</f>
        <v/>
      </c>
      <c r="M19" s="21" t="inlineStr">
        <is>
          <t>Importado desde PROYECCIÓN 2026.xlsx (FLUJO 2026)</t>
        </is>
      </c>
      <c r="N19" s="22" t="inlineStr">
        <is>
          <t>REVISAR tipo cliente/DSO y hitos según contrato</t>
        </is>
      </c>
    </row>
    <row r="20">
      <c r="A20" s="16" t="inlineStr">
        <is>
          <t>PRJ-017</t>
        </is>
      </c>
      <c r="B20" s="16" t="inlineStr">
        <is>
          <t>Comercial SP</t>
        </is>
      </c>
      <c r="C20" s="16" t="inlineStr">
        <is>
          <t>Comercial SP</t>
        </is>
      </c>
      <c r="D20" s="16" t="inlineStr">
        <is>
          <t>Privado</t>
        </is>
      </c>
      <c r="E20" s="44" t="n">
        <v>2596639</v>
      </c>
      <c r="F20" s="43" t="n">
        <v>0.19</v>
      </c>
      <c r="G20" s="51" t="n">
        <v>46081</v>
      </c>
      <c r="H20" s="51" t="n">
        <v>46142</v>
      </c>
      <c r="I20" s="16" t="inlineStr">
        <is>
          <t>Contratado</t>
        </is>
      </c>
      <c r="J20" s="18" t="n"/>
      <c r="K20" s="19">
        <f>IF(ISBLANK(J20),VLOOKUP(D20,03_CLIENTES_TERMINOS!$A:$C,2,FALSE),J20)</f>
        <v/>
      </c>
      <c r="L20" s="52">
        <f>E20*(1+F20)</f>
        <v/>
      </c>
      <c r="M20" s="21" t="inlineStr">
        <is>
          <t>Importado desde PROYECCIÓN 2026.xlsx (FLUJO 2026)</t>
        </is>
      </c>
      <c r="N20" s="22" t="inlineStr">
        <is>
          <t>REVISAR tipo cliente/DSO y hitos según contrato</t>
        </is>
      </c>
    </row>
    <row r="21">
      <c r="A21" s="16" t="inlineStr">
        <is>
          <t>PRJ-018</t>
        </is>
      </c>
      <c r="B21" s="16" t="inlineStr">
        <is>
          <t>SAAM SVTI</t>
        </is>
      </c>
      <c r="C21" s="16" t="inlineStr">
        <is>
          <t>SAAM SVTI</t>
        </is>
      </c>
      <c r="D21" s="16" t="inlineStr">
        <is>
          <t>Privado</t>
        </is>
      </c>
      <c r="E21" s="44" t="n">
        <v>3999743</v>
      </c>
      <c r="F21" s="43" t="n">
        <v>0.19</v>
      </c>
      <c r="G21" s="51" t="n">
        <v>46053</v>
      </c>
      <c r="H21" s="51" t="n">
        <v>46053</v>
      </c>
      <c r="I21" s="16" t="inlineStr">
        <is>
          <t>Contratado</t>
        </is>
      </c>
      <c r="J21" s="18" t="n"/>
      <c r="K21" s="19">
        <f>IF(ISBLANK(J21),VLOOKUP(D21,03_CLIENTES_TERMINOS!$A:$C,2,FALSE),J21)</f>
        <v/>
      </c>
      <c r="L21" s="52">
        <f>E21*(1+F21)</f>
        <v/>
      </c>
      <c r="M21" s="21" t="inlineStr">
        <is>
          <t>Importado desde PROYECCIÓN 2026.xlsx (FLUJO 2026)</t>
        </is>
      </c>
      <c r="N21" s="22" t="inlineStr">
        <is>
          <t>REVISAR tipo cliente/DSO y hitos según contrato</t>
        </is>
      </c>
    </row>
    <row r="22">
      <c r="A22" s="16" t="inlineStr">
        <is>
          <t>PRJ-019</t>
        </is>
      </c>
      <c r="B22" s="16" t="inlineStr">
        <is>
          <t>SAAM STI</t>
        </is>
      </c>
      <c r="C22" s="16" t="inlineStr">
        <is>
          <t>SAAM STI</t>
        </is>
      </c>
      <c r="D22" s="16" t="inlineStr">
        <is>
          <t>Privado</t>
        </is>
      </c>
      <c r="E22" s="44" t="n">
        <v>3999743</v>
      </c>
      <c r="F22" s="43" t="n">
        <v>0.19</v>
      </c>
      <c r="G22" s="51" t="n">
        <v>46081</v>
      </c>
      <c r="H22" s="51" t="n">
        <v>46081</v>
      </c>
      <c r="I22" s="16" t="inlineStr">
        <is>
          <t>Contratado</t>
        </is>
      </c>
      <c r="J22" s="18" t="n"/>
      <c r="K22" s="19">
        <f>IF(ISBLANK(J22),VLOOKUP(D22,03_CLIENTES_TERMINOS!$A:$C,2,FALSE),J22)</f>
        <v/>
      </c>
      <c r="L22" s="52">
        <f>E22*(1+F22)</f>
        <v/>
      </c>
      <c r="M22" s="21" t="inlineStr">
        <is>
          <t>Importado desde PROYECCIÓN 2026.xlsx (FLUJO 2026)</t>
        </is>
      </c>
      <c r="N22" s="22" t="inlineStr">
        <is>
          <t>REVISAR tipo cliente/DSO y hitos según contrato</t>
        </is>
      </c>
    </row>
    <row r="23">
      <c r="A23" s="16" t="inlineStr">
        <is>
          <t>PRJ-020</t>
        </is>
      </c>
      <c r="B23" s="16" t="inlineStr">
        <is>
          <t>Optiroute</t>
        </is>
      </c>
      <c r="C23" s="16" t="inlineStr">
        <is>
          <t>Optiroute</t>
        </is>
      </c>
      <c r="D23" s="16" t="inlineStr">
        <is>
          <t>Privado</t>
        </is>
      </c>
      <c r="E23" s="44" t="n">
        <v>1100000</v>
      </c>
      <c r="F23" s="43" t="n">
        <v>0.19</v>
      </c>
      <c r="G23" s="51" t="n">
        <v>46053</v>
      </c>
      <c r="H23" s="51" t="n">
        <v>46053</v>
      </c>
      <c r="I23" s="16" t="inlineStr">
        <is>
          <t>Contratado</t>
        </is>
      </c>
      <c r="J23" s="18" t="n"/>
      <c r="K23" s="19">
        <f>IF(ISBLANK(J23),VLOOKUP(D23,03_CLIENTES_TERMINOS!$A:$C,2,FALSE),J23)</f>
        <v/>
      </c>
      <c r="L23" s="52">
        <f>E23*(1+F23)</f>
        <v/>
      </c>
      <c r="M23" s="21" t="inlineStr">
        <is>
          <t>Importado desde PROYECCIÓN 2026.xlsx (FLUJO 2026)</t>
        </is>
      </c>
      <c r="N23" s="22" t="inlineStr">
        <is>
          <t>REVISAR tipo cliente/DSO y hitos según contrato</t>
        </is>
      </c>
    </row>
    <row r="24">
      <c r="A24" s="16" t="inlineStr">
        <is>
          <t>PRJ-021</t>
        </is>
      </c>
      <c r="B24" s="16" t="inlineStr">
        <is>
          <t>Subsecretaría del Medio Ambiente 1</t>
        </is>
      </c>
      <c r="C24" s="16" t="inlineStr">
        <is>
          <t>Subsecretaría del Medio Ambiente 1</t>
        </is>
      </c>
      <c r="D24" s="16" t="inlineStr">
        <is>
          <t>Publico_&lt;10M</t>
        </is>
      </c>
      <c r="E24" s="44" t="n">
        <v>2731092</v>
      </c>
      <c r="F24" s="43" t="n">
        <v>0.19</v>
      </c>
      <c r="G24" s="51" t="n">
        <v>46053</v>
      </c>
      <c r="H24" s="51" t="n">
        <v>46053</v>
      </c>
      <c r="I24" s="16" t="inlineStr">
        <is>
          <t>Contratado</t>
        </is>
      </c>
      <c r="J24" s="18" t="n"/>
      <c r="K24" s="19">
        <f>IF(ISBLANK(J24),VLOOKUP(D24,03_CLIENTES_TERMINOS!$A:$C,2,FALSE),J24)</f>
        <v/>
      </c>
      <c r="L24" s="52">
        <f>E24*(1+F24)</f>
        <v/>
      </c>
      <c r="M24" s="21" t="inlineStr">
        <is>
          <t>Importado desde PROYECCIÓN 2026.xlsx (FLUJO 2026)</t>
        </is>
      </c>
      <c r="N24" s="22" t="inlineStr">
        <is>
          <t>REVISAR tipo cliente/DSO y hitos según contrato</t>
        </is>
      </c>
    </row>
    <row r="25">
      <c r="A25" s="16" t="inlineStr">
        <is>
          <t>PRJ-022</t>
        </is>
      </c>
      <c r="B25" s="16" t="inlineStr">
        <is>
          <t>Subsecretaría del Medio Ambiente 2</t>
        </is>
      </c>
      <c r="C25" s="16" t="inlineStr">
        <is>
          <t>Subsecretaría del Medio Ambiente 2</t>
        </is>
      </c>
      <c r="D25" s="16" t="inlineStr">
        <is>
          <t>Publico_&lt;10M</t>
        </is>
      </c>
      <c r="E25" s="44" t="n">
        <v>4900001</v>
      </c>
      <c r="F25" s="43" t="n">
        <v>0.19</v>
      </c>
      <c r="G25" s="51" t="n">
        <v>46053</v>
      </c>
      <c r="H25" s="51" t="n">
        <v>46053</v>
      </c>
      <c r="I25" s="16" t="inlineStr">
        <is>
          <t>Contratado</t>
        </is>
      </c>
      <c r="J25" s="18" t="n"/>
      <c r="K25" s="19">
        <f>IF(ISBLANK(J25),VLOOKUP(D25,03_CLIENTES_TERMINOS!$A:$C,2,FALSE),J25)</f>
        <v/>
      </c>
      <c r="L25" s="52">
        <f>E25*(1+F25)</f>
        <v/>
      </c>
      <c r="M25" s="21" t="inlineStr">
        <is>
          <t>Importado desde PROYECCIÓN 2026.xlsx (FLUJO 2026)</t>
        </is>
      </c>
      <c r="N25" s="22" t="inlineStr">
        <is>
          <t>REVISAR tipo cliente/DSO y hitos según contrato</t>
        </is>
      </c>
    </row>
    <row r="26">
      <c r="A26" s="16" t="inlineStr">
        <is>
          <t>PRJ-023</t>
        </is>
      </c>
      <c r="B26" s="16" t="inlineStr">
        <is>
          <t>Subsecretaría del Medio Ambiente 3</t>
        </is>
      </c>
      <c r="C26" s="16" t="inlineStr">
        <is>
          <t>Subsecretaría del Medio Ambiente 3</t>
        </is>
      </c>
      <c r="D26" s="16" t="inlineStr">
        <is>
          <t>Publico_&lt;10M</t>
        </is>
      </c>
      <c r="E26" s="44" t="n">
        <v>1134453</v>
      </c>
      <c r="F26" s="43" t="n">
        <v>0.19</v>
      </c>
      <c r="G26" s="51" t="n">
        <v>46053</v>
      </c>
      <c r="H26" s="51" t="n">
        <v>46053</v>
      </c>
      <c r="I26" s="16" t="inlineStr">
        <is>
          <t>Contratado</t>
        </is>
      </c>
      <c r="J26" s="18" t="n"/>
      <c r="K26" s="19">
        <f>IF(ISBLANK(J26),VLOOKUP(D26,03_CLIENTES_TERMINOS!$A:$C,2,FALSE),J26)</f>
        <v/>
      </c>
      <c r="L26" s="52">
        <f>E26*(1+F26)</f>
        <v/>
      </c>
      <c r="M26" s="21" t="inlineStr">
        <is>
          <t>Importado desde PROYECCIÓN 2026.xlsx (FLUJO 2026)</t>
        </is>
      </c>
      <c r="N26" s="22" t="inlineStr">
        <is>
          <t>REVISAR tipo cliente/DSO y hitos según contrato</t>
        </is>
      </c>
    </row>
    <row r="27">
      <c r="A27" s="16" t="inlineStr">
        <is>
          <t>PRJ-024</t>
        </is>
      </c>
      <c r="B27" s="16" t="inlineStr">
        <is>
          <t>TTGreen Foods</t>
        </is>
      </c>
      <c r="C27" s="16" t="inlineStr">
        <is>
          <t>TTGreen Foods</t>
        </is>
      </c>
      <c r="D27" s="16" t="inlineStr">
        <is>
          <t>Privado</t>
        </is>
      </c>
      <c r="E27" s="44" t="n">
        <v>36134454</v>
      </c>
      <c r="F27" s="43" t="n">
        <v>0.19</v>
      </c>
      <c r="G27" s="51" t="n">
        <v>46112</v>
      </c>
      <c r="H27" s="51" t="n">
        <v>46112</v>
      </c>
      <c r="I27" s="16" t="inlineStr">
        <is>
          <t>Contratado</t>
        </is>
      </c>
      <c r="J27" s="18" t="n"/>
      <c r="K27" s="19">
        <f>IF(ISBLANK(J27),VLOOKUP(D27,03_CLIENTES_TERMINOS!$A:$C,2,FALSE),J27)</f>
        <v/>
      </c>
      <c r="L27" s="52">
        <f>E27*(1+F27)</f>
        <v/>
      </c>
      <c r="M27" s="21" t="inlineStr">
        <is>
          <t>Importado desde PROYECCIÓN 2026.xlsx (FLUJO 2026)</t>
        </is>
      </c>
      <c r="N27" s="22" t="inlineStr">
        <is>
          <t>REVISAR tipo cliente/DSO y hitos según contrato</t>
        </is>
      </c>
    </row>
    <row r="28">
      <c r="A28" s="16" t="inlineStr">
        <is>
          <t>PRJ-025</t>
        </is>
      </c>
      <c r="B28" s="16" t="inlineStr">
        <is>
          <t>Gedes</t>
        </is>
      </c>
      <c r="C28" s="16" t="inlineStr">
        <is>
          <t>Gedes</t>
        </is>
      </c>
      <c r="D28" s="16" t="inlineStr">
        <is>
          <t>Privado</t>
        </is>
      </c>
      <c r="E28" s="44" t="n">
        <v>16806723</v>
      </c>
      <c r="F28" s="43" t="n">
        <v>0.19</v>
      </c>
      <c r="G28" s="51" t="n">
        <v>46173</v>
      </c>
      <c r="H28" s="51" t="n">
        <v>46173</v>
      </c>
      <c r="I28" s="16" t="inlineStr">
        <is>
          <t>Contratado</t>
        </is>
      </c>
      <c r="J28" s="18" t="n"/>
      <c r="K28" s="19">
        <f>IF(ISBLANK(J28),VLOOKUP(D28,03_CLIENTES_TERMINOS!$A:$C,2,FALSE),J28)</f>
        <v/>
      </c>
      <c r="L28" s="52">
        <f>E28*(1+F28)</f>
        <v/>
      </c>
      <c r="M28" s="21" t="inlineStr">
        <is>
          <t>Importado desde PROYECCIÓN 2026.xlsx (FLUJO 2026)</t>
        </is>
      </c>
      <c r="N28" s="22" t="inlineStr">
        <is>
          <t>REVISAR tipo cliente/DSO y hitos según contrato</t>
        </is>
      </c>
    </row>
  </sheetData>
  <mergeCells count="1">
    <mergeCell ref="A1:N1"/>
  </mergeCells>
  <dataValidations count="2">
    <dataValidation sqref="D4:D28" showDropDown="0" showInputMessage="0" showErrorMessage="0" allowBlank="0" type="list">
      <formula1>"Privado,Publico_&lt;10M,Publico_&gt;=10M"</formula1>
    </dataValidation>
    <dataValidation sqref="I4:I28" showDropDown="0" showInputMessage="0" showErrorMessage="0" allowBlank="0" type="list">
      <formula1>"Pipeline,Contratado,En_ejecucion,Cerrado,Perdido"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4" customWidth="1" min="4" max="4"/>
    <col width="16" customWidth="1" min="5" max="5"/>
    <col width="14" customWidth="1" min="6" max="6"/>
    <col width="16" customWidth="1" min="7" max="7"/>
    <col width="10" customWidth="1" min="8" max="8"/>
    <col width="10" customWidth="1" min="9" max="9"/>
    <col width="12" customWidth="1" min="10" max="10"/>
    <col width="16" customWidth="1" min="11" max="11"/>
    <col width="28" customWidth="1" min="12" max="12"/>
    <col width="24" customWidth="1" min="13" max="13"/>
  </cols>
  <sheetData>
    <row r="1">
      <c r="A1" s="7" t="inlineStr">
        <is>
          <t>HITOS DE FACTURACIÓN (Inputs) — editable en A:D, L:M</t>
        </is>
      </c>
    </row>
    <row r="3">
      <c r="A3" s="8" t="inlineStr">
        <is>
          <t>Proyecto_ID</t>
        </is>
      </c>
      <c r="B3" s="8" t="inlineStr">
        <is>
          <t>Hito_n</t>
        </is>
      </c>
      <c r="C3" s="8" t="inlineStr">
        <is>
          <t>Mes_facturacion</t>
        </is>
      </c>
      <c r="D3" s="8" t="inlineStr">
        <is>
          <t>Pct_facturacion</t>
        </is>
      </c>
      <c r="E3" s="8" t="inlineStr">
        <is>
          <t>Monto_neto_hito</t>
        </is>
      </c>
      <c r="F3" s="8" t="inlineStr">
        <is>
          <t>IVA_hito</t>
        </is>
      </c>
      <c r="G3" s="8" t="inlineStr">
        <is>
          <t>Monto_bruto_hito</t>
        </is>
      </c>
      <c r="H3" s="8" t="inlineStr">
        <is>
          <t>DSO_dias</t>
        </is>
      </c>
      <c r="I3" s="8" t="inlineStr">
        <is>
          <t>Shift_meses</t>
        </is>
      </c>
      <c r="J3" s="8" t="inlineStr">
        <is>
          <t>Mes_cobro</t>
        </is>
      </c>
      <c r="K3" s="8" t="inlineStr">
        <is>
          <t>Cobro_bruto_hito</t>
        </is>
      </c>
      <c r="L3" s="8" t="inlineStr">
        <is>
          <t>Glosa</t>
        </is>
      </c>
      <c r="M3" s="8" t="inlineStr">
        <is>
          <t>Notas</t>
        </is>
      </c>
    </row>
    <row r="4">
      <c r="A4" s="16" t="inlineStr">
        <is>
          <t>PRJ-001</t>
        </is>
      </c>
      <c r="B4" s="18" t="n">
        <v>1</v>
      </c>
      <c r="C4" s="51" t="n">
        <v>46142</v>
      </c>
      <c r="D4" s="43" t="n">
        <v>0.5</v>
      </c>
      <c r="E4" s="52">
        <f>D4*VLOOKUP(A4,04_PROYECTOS!$A:$N,5,FALSE)*MULT_PRECIO*INDEX(02B_ESCENARIOS!$B$15:$D$19, MATCH(VLOOKUP(A4,04_PROYECTOS!$A:$N,9,FALSE), 02B_ESCENARIOS!$A$15:$A$19, 0), MATCH(ESCENARIO, 02B_ESCENARIOS!$B$14:$D$14, 0))</f>
        <v/>
      </c>
      <c r="F4" s="52">
        <f>E4*VLOOKUP(A4,04_PROYECTOS!$A:$N,6,FALSE)</f>
        <v/>
      </c>
      <c r="G4" s="52">
        <f>E4+F4</f>
        <v/>
      </c>
      <c r="H4" s="19">
        <f>VLOOKUP(A4,04_PROYECTOS!$A:$N,11,FALSE)</f>
        <v/>
      </c>
      <c r="I4" s="19">
        <f>ROUNDUP(H4/30,0)</f>
        <v/>
      </c>
      <c r="J4" s="53">
        <f>EDATE(C4,I4)</f>
        <v/>
      </c>
      <c r="K4" s="52">
        <f>G4</f>
        <v/>
      </c>
      <c r="L4" s="16" t="inlineStr">
        <is>
          <t>Inicio 50%</t>
        </is>
      </c>
      <c r="M4" s="16" t="inlineStr"/>
    </row>
    <row r="5">
      <c r="A5" s="16" t="inlineStr">
        <is>
          <t>PRJ-001</t>
        </is>
      </c>
      <c r="B5" s="18" t="n">
        <v>2</v>
      </c>
      <c r="C5" s="51" t="n">
        <v>46142</v>
      </c>
      <c r="D5" s="43" t="n">
        <v>0.5</v>
      </c>
      <c r="E5" s="52">
        <f>D5*VLOOKUP(A5,04_PROYECTOS!$A:$N,5,FALSE)*MULT_PRECIO*INDEX(02B_ESCENARIOS!$B$15:$D$19, MATCH(VLOOKUP(A5,04_PROYECTOS!$A:$N,9,FALSE), 02B_ESCENARIOS!$A$15:$A$19, 0), MATCH(ESCENARIO, 02B_ESCENARIOS!$B$14:$D$14, 0))</f>
        <v/>
      </c>
      <c r="F5" s="52">
        <f>E5*VLOOKUP(A5,04_PROYECTOS!$A:$N,6,FALSE)</f>
        <v/>
      </c>
      <c r="G5" s="52">
        <f>E5+F5</f>
        <v/>
      </c>
      <c r="H5" s="19">
        <f>VLOOKUP(A5,04_PROYECTOS!$A:$N,11,FALSE)</f>
        <v/>
      </c>
      <c r="I5" s="19">
        <f>ROUNDUP(H5/30,0)</f>
        <v/>
      </c>
      <c r="J5" s="53">
        <f>EDATE(C5,I5)</f>
        <v/>
      </c>
      <c r="K5" s="52">
        <f>G5</f>
        <v/>
      </c>
      <c r="L5" s="16" t="inlineStr">
        <is>
          <t>Final 50%</t>
        </is>
      </c>
      <c r="M5" s="16" t="inlineStr"/>
    </row>
    <row r="6">
      <c r="A6" s="16" t="inlineStr">
        <is>
          <t>PRJ-002</t>
        </is>
      </c>
      <c r="B6" s="18" t="n">
        <v>1</v>
      </c>
      <c r="C6" s="51" t="n">
        <v>46081</v>
      </c>
      <c r="D6" s="43" t="n">
        <v>0.5</v>
      </c>
      <c r="E6" s="52">
        <f>D6*VLOOKUP(A6,04_PROYECTOS!$A:$N,5,FALSE)*MULT_PRECIO*INDEX(02B_ESCENARIOS!$B$15:$D$19, MATCH(VLOOKUP(A6,04_PROYECTOS!$A:$N,9,FALSE), 02B_ESCENARIOS!$A$15:$A$19, 0), MATCH(ESCENARIO, 02B_ESCENARIOS!$B$14:$D$14, 0))</f>
        <v/>
      </c>
      <c r="F6" s="52">
        <f>E6*VLOOKUP(A6,04_PROYECTOS!$A:$N,6,FALSE)</f>
        <v/>
      </c>
      <c r="G6" s="52">
        <f>E6+F6</f>
        <v/>
      </c>
      <c r="H6" s="19">
        <f>VLOOKUP(A6,04_PROYECTOS!$A:$N,11,FALSE)</f>
        <v/>
      </c>
      <c r="I6" s="19">
        <f>ROUNDUP(H6/30,0)</f>
        <v/>
      </c>
      <c r="J6" s="53">
        <f>EDATE(C6,I6)</f>
        <v/>
      </c>
      <c r="K6" s="52">
        <f>G6</f>
        <v/>
      </c>
      <c r="L6" s="16" t="inlineStr">
        <is>
          <t>Inicio 50%</t>
        </is>
      </c>
      <c r="M6" s="16" t="inlineStr"/>
    </row>
    <row r="7">
      <c r="A7" s="16" t="inlineStr">
        <is>
          <t>PRJ-002</t>
        </is>
      </c>
      <c r="B7" s="18" t="n">
        <v>2</v>
      </c>
      <c r="C7" s="51" t="n">
        <v>46081</v>
      </c>
      <c r="D7" s="43" t="n">
        <v>0.5</v>
      </c>
      <c r="E7" s="52">
        <f>D7*VLOOKUP(A7,04_PROYECTOS!$A:$N,5,FALSE)*MULT_PRECIO*INDEX(02B_ESCENARIOS!$B$15:$D$19, MATCH(VLOOKUP(A7,04_PROYECTOS!$A:$N,9,FALSE), 02B_ESCENARIOS!$A$15:$A$19, 0), MATCH(ESCENARIO, 02B_ESCENARIOS!$B$14:$D$14, 0))</f>
        <v/>
      </c>
      <c r="F7" s="52">
        <f>E7*VLOOKUP(A7,04_PROYECTOS!$A:$N,6,FALSE)</f>
        <v/>
      </c>
      <c r="G7" s="52">
        <f>E7+F7</f>
        <v/>
      </c>
      <c r="H7" s="19">
        <f>VLOOKUP(A7,04_PROYECTOS!$A:$N,11,FALSE)</f>
        <v/>
      </c>
      <c r="I7" s="19">
        <f>ROUNDUP(H7/30,0)</f>
        <v/>
      </c>
      <c r="J7" s="53">
        <f>EDATE(C7,I7)</f>
        <v/>
      </c>
      <c r="K7" s="52">
        <f>G7</f>
        <v/>
      </c>
      <c r="L7" s="16" t="inlineStr">
        <is>
          <t>Final 50%</t>
        </is>
      </c>
      <c r="M7" s="16" t="inlineStr"/>
    </row>
    <row r="8">
      <c r="A8" s="16" t="inlineStr">
        <is>
          <t>PRJ-003</t>
        </is>
      </c>
      <c r="B8" s="18" t="n">
        <v>1</v>
      </c>
      <c r="C8" s="51" t="n">
        <v>46081</v>
      </c>
      <c r="D8" s="43" t="n">
        <v>0.5</v>
      </c>
      <c r="E8" s="52">
        <f>D8*VLOOKUP(A8,04_PROYECTOS!$A:$N,5,FALSE)*MULT_PRECIO*INDEX(02B_ESCENARIOS!$B$15:$D$19, MATCH(VLOOKUP(A8,04_PROYECTOS!$A:$N,9,FALSE), 02B_ESCENARIOS!$A$15:$A$19, 0), MATCH(ESCENARIO, 02B_ESCENARIOS!$B$14:$D$14, 0))</f>
        <v/>
      </c>
      <c r="F8" s="52">
        <f>E8*VLOOKUP(A8,04_PROYECTOS!$A:$N,6,FALSE)</f>
        <v/>
      </c>
      <c r="G8" s="52">
        <f>E8+F8</f>
        <v/>
      </c>
      <c r="H8" s="19">
        <f>VLOOKUP(A8,04_PROYECTOS!$A:$N,11,FALSE)</f>
        <v/>
      </c>
      <c r="I8" s="19">
        <f>ROUNDUP(H8/30,0)</f>
        <v/>
      </c>
      <c r="J8" s="53">
        <f>EDATE(C8,I8)</f>
        <v/>
      </c>
      <c r="K8" s="52">
        <f>G8</f>
        <v/>
      </c>
      <c r="L8" s="16" t="inlineStr">
        <is>
          <t>Inicio 50%</t>
        </is>
      </c>
      <c r="M8" s="16" t="inlineStr"/>
    </row>
    <row r="9">
      <c r="A9" s="16" t="inlineStr">
        <is>
          <t>PRJ-003</t>
        </is>
      </c>
      <c r="B9" s="18" t="n">
        <v>2</v>
      </c>
      <c r="C9" s="51" t="n">
        <v>46081</v>
      </c>
      <c r="D9" s="43" t="n">
        <v>0.5</v>
      </c>
      <c r="E9" s="52">
        <f>D9*VLOOKUP(A9,04_PROYECTOS!$A:$N,5,FALSE)*MULT_PRECIO*INDEX(02B_ESCENARIOS!$B$15:$D$19, MATCH(VLOOKUP(A9,04_PROYECTOS!$A:$N,9,FALSE), 02B_ESCENARIOS!$A$15:$A$19, 0), MATCH(ESCENARIO, 02B_ESCENARIOS!$B$14:$D$14, 0))</f>
        <v/>
      </c>
      <c r="F9" s="52">
        <f>E9*VLOOKUP(A9,04_PROYECTOS!$A:$N,6,FALSE)</f>
        <v/>
      </c>
      <c r="G9" s="52">
        <f>E9+F9</f>
        <v/>
      </c>
      <c r="H9" s="19">
        <f>VLOOKUP(A9,04_PROYECTOS!$A:$N,11,FALSE)</f>
        <v/>
      </c>
      <c r="I9" s="19">
        <f>ROUNDUP(H9/30,0)</f>
        <v/>
      </c>
      <c r="J9" s="53">
        <f>EDATE(C9,I9)</f>
        <v/>
      </c>
      <c r="K9" s="52">
        <f>G9</f>
        <v/>
      </c>
      <c r="L9" s="16" t="inlineStr">
        <is>
          <t>Final 50%</t>
        </is>
      </c>
      <c r="M9" s="16" t="inlineStr"/>
    </row>
    <row r="10">
      <c r="A10" s="16" t="inlineStr">
        <is>
          <t>PRJ-004</t>
        </is>
      </c>
      <c r="B10" s="18" t="n">
        <v>1</v>
      </c>
      <c r="C10" s="51" t="n">
        <v>46081</v>
      </c>
      <c r="D10" s="43" t="n">
        <v>0.5</v>
      </c>
      <c r="E10" s="52">
        <f>D10*VLOOKUP(A10,04_PROYECTOS!$A:$N,5,FALSE)*MULT_PRECIO*INDEX(02B_ESCENARIOS!$B$15:$D$19, MATCH(VLOOKUP(A10,04_PROYECTOS!$A:$N,9,FALSE), 02B_ESCENARIOS!$A$15:$A$19, 0), MATCH(ESCENARIO, 02B_ESCENARIOS!$B$14:$D$14, 0))</f>
        <v/>
      </c>
      <c r="F10" s="52">
        <f>E10*VLOOKUP(A10,04_PROYECTOS!$A:$N,6,FALSE)</f>
        <v/>
      </c>
      <c r="G10" s="52">
        <f>E10+F10</f>
        <v/>
      </c>
      <c r="H10" s="19">
        <f>VLOOKUP(A10,04_PROYECTOS!$A:$N,11,FALSE)</f>
        <v/>
      </c>
      <c r="I10" s="19">
        <f>ROUNDUP(H10/30,0)</f>
        <v/>
      </c>
      <c r="J10" s="53">
        <f>EDATE(C10,I10)</f>
        <v/>
      </c>
      <c r="K10" s="52">
        <f>G10</f>
        <v/>
      </c>
      <c r="L10" s="16" t="inlineStr">
        <is>
          <t>Inicio 50%</t>
        </is>
      </c>
      <c r="M10" s="16" t="inlineStr"/>
    </row>
    <row r="11">
      <c r="A11" s="16" t="inlineStr">
        <is>
          <t>PRJ-004</t>
        </is>
      </c>
      <c r="B11" s="18" t="n">
        <v>2</v>
      </c>
      <c r="C11" s="51" t="n">
        <v>46142</v>
      </c>
      <c r="D11" s="43" t="n">
        <v>0.5</v>
      </c>
      <c r="E11" s="52">
        <f>D11*VLOOKUP(A11,04_PROYECTOS!$A:$N,5,FALSE)*MULT_PRECIO*INDEX(02B_ESCENARIOS!$B$15:$D$19, MATCH(VLOOKUP(A11,04_PROYECTOS!$A:$N,9,FALSE), 02B_ESCENARIOS!$A$15:$A$19, 0), MATCH(ESCENARIO, 02B_ESCENARIOS!$B$14:$D$14, 0))</f>
        <v/>
      </c>
      <c r="F11" s="52">
        <f>E11*VLOOKUP(A11,04_PROYECTOS!$A:$N,6,FALSE)</f>
        <v/>
      </c>
      <c r="G11" s="52">
        <f>E11+F11</f>
        <v/>
      </c>
      <c r="H11" s="19">
        <f>VLOOKUP(A11,04_PROYECTOS!$A:$N,11,FALSE)</f>
        <v/>
      </c>
      <c r="I11" s="19">
        <f>ROUNDUP(H11/30,0)</f>
        <v/>
      </c>
      <c r="J11" s="53">
        <f>EDATE(C11,I11)</f>
        <v/>
      </c>
      <c r="K11" s="52">
        <f>G11</f>
        <v/>
      </c>
      <c r="L11" s="16" t="inlineStr">
        <is>
          <t>Final 50%</t>
        </is>
      </c>
      <c r="M11" s="16" t="inlineStr"/>
    </row>
    <row r="12">
      <c r="A12" s="16" t="inlineStr">
        <is>
          <t>PRJ-005</t>
        </is>
      </c>
      <c r="B12" s="18" t="n">
        <v>1</v>
      </c>
      <c r="C12" s="51" t="n">
        <v>46081</v>
      </c>
      <c r="D12" s="43" t="n">
        <v>0.5</v>
      </c>
      <c r="E12" s="52">
        <f>D12*VLOOKUP(A12,04_PROYECTOS!$A:$N,5,FALSE)*MULT_PRECIO*INDEX(02B_ESCENARIOS!$B$15:$D$19, MATCH(VLOOKUP(A12,04_PROYECTOS!$A:$N,9,FALSE), 02B_ESCENARIOS!$A$15:$A$19, 0), MATCH(ESCENARIO, 02B_ESCENARIOS!$B$14:$D$14, 0))</f>
        <v/>
      </c>
      <c r="F12" s="52">
        <f>E12*VLOOKUP(A12,04_PROYECTOS!$A:$N,6,FALSE)</f>
        <v/>
      </c>
      <c r="G12" s="52">
        <f>E12+F12</f>
        <v/>
      </c>
      <c r="H12" s="19">
        <f>VLOOKUP(A12,04_PROYECTOS!$A:$N,11,FALSE)</f>
        <v/>
      </c>
      <c r="I12" s="19">
        <f>ROUNDUP(H12/30,0)</f>
        <v/>
      </c>
      <c r="J12" s="53">
        <f>EDATE(C12,I12)</f>
        <v/>
      </c>
      <c r="K12" s="52">
        <f>G12</f>
        <v/>
      </c>
      <c r="L12" s="16" t="inlineStr">
        <is>
          <t>Inicio 50%</t>
        </is>
      </c>
      <c r="M12" s="16" t="inlineStr"/>
    </row>
    <row r="13">
      <c r="A13" s="16" t="inlineStr">
        <is>
          <t>PRJ-005</t>
        </is>
      </c>
      <c r="B13" s="18" t="n">
        <v>2</v>
      </c>
      <c r="C13" s="51" t="n">
        <v>46081</v>
      </c>
      <c r="D13" s="43" t="n">
        <v>0.5</v>
      </c>
      <c r="E13" s="52">
        <f>D13*VLOOKUP(A13,04_PROYECTOS!$A:$N,5,FALSE)*MULT_PRECIO*INDEX(02B_ESCENARIOS!$B$15:$D$19, MATCH(VLOOKUP(A13,04_PROYECTOS!$A:$N,9,FALSE), 02B_ESCENARIOS!$A$15:$A$19, 0), MATCH(ESCENARIO, 02B_ESCENARIOS!$B$14:$D$14, 0))</f>
        <v/>
      </c>
      <c r="F13" s="52">
        <f>E13*VLOOKUP(A13,04_PROYECTOS!$A:$N,6,FALSE)</f>
        <v/>
      </c>
      <c r="G13" s="52">
        <f>E13+F13</f>
        <v/>
      </c>
      <c r="H13" s="19">
        <f>VLOOKUP(A13,04_PROYECTOS!$A:$N,11,FALSE)</f>
        <v/>
      </c>
      <c r="I13" s="19">
        <f>ROUNDUP(H13/30,0)</f>
        <v/>
      </c>
      <c r="J13" s="53">
        <f>EDATE(C13,I13)</f>
        <v/>
      </c>
      <c r="K13" s="52">
        <f>G13</f>
        <v/>
      </c>
      <c r="L13" s="16" t="inlineStr">
        <is>
          <t>Final 50%</t>
        </is>
      </c>
      <c r="M13" s="16" t="inlineStr"/>
    </row>
    <row r="14">
      <c r="A14" s="16" t="inlineStr">
        <is>
          <t>PRJ-006</t>
        </is>
      </c>
      <c r="B14" s="18" t="n">
        <v>1</v>
      </c>
      <c r="C14" s="51" t="n">
        <v>46081</v>
      </c>
      <c r="D14" s="43" t="n">
        <v>1</v>
      </c>
      <c r="E14" s="52">
        <f>D14*VLOOKUP(A14,04_PROYECTOS!$A:$N,5,FALSE)*MULT_PRECIO*INDEX(02B_ESCENARIOS!$B$15:$D$19, MATCH(VLOOKUP(A14,04_PROYECTOS!$A:$N,9,FALSE), 02B_ESCENARIOS!$A$15:$A$19, 0), MATCH(ESCENARIO, 02B_ESCENARIOS!$B$14:$D$14, 0))</f>
        <v/>
      </c>
      <c r="F14" s="52">
        <f>E14*VLOOKUP(A14,04_PROYECTOS!$A:$N,6,FALSE)</f>
        <v/>
      </c>
      <c r="G14" s="52">
        <f>E14+F14</f>
        <v/>
      </c>
      <c r="H14" s="19">
        <f>VLOOKUP(A14,04_PROYECTOS!$A:$N,11,FALSE)</f>
        <v/>
      </c>
      <c r="I14" s="19">
        <f>ROUNDUP(H14/30,0)</f>
        <v/>
      </c>
      <c r="J14" s="53">
        <f>EDATE(C14,I14)</f>
        <v/>
      </c>
      <c r="K14" s="52">
        <f>G14</f>
        <v/>
      </c>
      <c r="L14" s="16" t="inlineStr">
        <is>
          <t>Pago final público &lt;10M</t>
        </is>
      </c>
      <c r="M14" s="16" t="inlineStr"/>
    </row>
    <row r="15">
      <c r="A15" s="16" t="inlineStr">
        <is>
          <t>PRJ-007</t>
        </is>
      </c>
      <c r="B15" s="18" t="n">
        <v>1</v>
      </c>
      <c r="C15" s="51" t="n">
        <v>46112</v>
      </c>
      <c r="D15" s="43" t="n">
        <v>0.5</v>
      </c>
      <c r="E15" s="52">
        <f>D15*VLOOKUP(A15,04_PROYECTOS!$A:$N,5,FALSE)*MULT_PRECIO*INDEX(02B_ESCENARIOS!$B$15:$D$19, MATCH(VLOOKUP(A15,04_PROYECTOS!$A:$N,9,FALSE), 02B_ESCENARIOS!$A$15:$A$19, 0), MATCH(ESCENARIO, 02B_ESCENARIOS!$B$14:$D$14, 0))</f>
        <v/>
      </c>
      <c r="F15" s="52">
        <f>E15*VLOOKUP(A15,04_PROYECTOS!$A:$N,6,FALSE)</f>
        <v/>
      </c>
      <c r="G15" s="52">
        <f>E15+F15</f>
        <v/>
      </c>
      <c r="H15" s="19">
        <f>VLOOKUP(A15,04_PROYECTOS!$A:$N,11,FALSE)</f>
        <v/>
      </c>
      <c r="I15" s="19">
        <f>ROUNDUP(H15/30,0)</f>
        <v/>
      </c>
      <c r="J15" s="53">
        <f>EDATE(C15,I15)</f>
        <v/>
      </c>
      <c r="K15" s="52">
        <f>G15</f>
        <v/>
      </c>
      <c r="L15" s="16" t="inlineStr">
        <is>
          <t>Inicio 50%</t>
        </is>
      </c>
      <c r="M15" s="16" t="inlineStr"/>
    </row>
    <row r="16">
      <c r="A16" s="16" t="inlineStr">
        <is>
          <t>PRJ-007</t>
        </is>
      </c>
      <c r="B16" s="18" t="n">
        <v>2</v>
      </c>
      <c r="C16" s="51" t="n">
        <v>46112</v>
      </c>
      <c r="D16" s="43" t="n">
        <v>0.5</v>
      </c>
      <c r="E16" s="52">
        <f>D16*VLOOKUP(A16,04_PROYECTOS!$A:$N,5,FALSE)*MULT_PRECIO*INDEX(02B_ESCENARIOS!$B$15:$D$19, MATCH(VLOOKUP(A16,04_PROYECTOS!$A:$N,9,FALSE), 02B_ESCENARIOS!$A$15:$A$19, 0), MATCH(ESCENARIO, 02B_ESCENARIOS!$B$14:$D$14, 0))</f>
        <v/>
      </c>
      <c r="F16" s="52">
        <f>E16*VLOOKUP(A16,04_PROYECTOS!$A:$N,6,FALSE)</f>
        <v/>
      </c>
      <c r="G16" s="52">
        <f>E16+F16</f>
        <v/>
      </c>
      <c r="H16" s="19">
        <f>VLOOKUP(A16,04_PROYECTOS!$A:$N,11,FALSE)</f>
        <v/>
      </c>
      <c r="I16" s="19">
        <f>ROUNDUP(H16/30,0)</f>
        <v/>
      </c>
      <c r="J16" s="53">
        <f>EDATE(C16,I16)</f>
        <v/>
      </c>
      <c r="K16" s="52">
        <f>G16</f>
        <v/>
      </c>
      <c r="L16" s="16" t="inlineStr">
        <is>
          <t>Final 50%</t>
        </is>
      </c>
      <c r="M16" s="16" t="inlineStr"/>
    </row>
    <row r="17">
      <c r="A17" s="16" t="inlineStr">
        <is>
          <t>PRJ-008</t>
        </is>
      </c>
      <c r="B17" s="18" t="n">
        <v>1</v>
      </c>
      <c r="C17" s="51" t="n">
        <v>46081</v>
      </c>
      <c r="D17" s="43" t="n">
        <v>1</v>
      </c>
      <c r="E17" s="52">
        <f>D17*VLOOKUP(A17,04_PROYECTOS!$A:$N,5,FALSE)*MULT_PRECIO*INDEX(02B_ESCENARIOS!$B$15:$D$19, MATCH(VLOOKUP(A17,04_PROYECTOS!$A:$N,9,FALSE), 02B_ESCENARIOS!$A$15:$A$19, 0), MATCH(ESCENARIO, 02B_ESCENARIOS!$B$14:$D$14, 0))</f>
        <v/>
      </c>
      <c r="F17" s="52">
        <f>E17*VLOOKUP(A17,04_PROYECTOS!$A:$N,6,FALSE)</f>
        <v/>
      </c>
      <c r="G17" s="52">
        <f>E17+F17</f>
        <v/>
      </c>
      <c r="H17" s="19">
        <f>VLOOKUP(A17,04_PROYECTOS!$A:$N,11,FALSE)</f>
        <v/>
      </c>
      <c r="I17" s="19">
        <f>ROUNDUP(H17/30,0)</f>
        <v/>
      </c>
      <c r="J17" s="53">
        <f>EDATE(C17,I17)</f>
        <v/>
      </c>
      <c r="K17" s="52">
        <f>G17</f>
        <v/>
      </c>
      <c r="L17" s="16" t="inlineStr">
        <is>
          <t>Pago final público &lt;10M</t>
        </is>
      </c>
      <c r="M17" s="16" t="inlineStr"/>
    </row>
    <row r="18">
      <c r="A18" s="16" t="inlineStr">
        <is>
          <t>PRJ-009</t>
        </is>
      </c>
      <c r="B18" s="18" t="n">
        <v>1</v>
      </c>
      <c r="C18" s="51" t="n">
        <v>46081</v>
      </c>
      <c r="D18" s="43" t="n">
        <v>1</v>
      </c>
      <c r="E18" s="52">
        <f>D18*VLOOKUP(A18,04_PROYECTOS!$A:$N,5,FALSE)*MULT_PRECIO*INDEX(02B_ESCENARIOS!$B$15:$D$19, MATCH(VLOOKUP(A18,04_PROYECTOS!$A:$N,9,FALSE), 02B_ESCENARIOS!$A$15:$A$19, 0), MATCH(ESCENARIO, 02B_ESCENARIOS!$B$14:$D$14, 0))</f>
        <v/>
      </c>
      <c r="F18" s="52">
        <f>E18*VLOOKUP(A18,04_PROYECTOS!$A:$N,6,FALSE)</f>
        <v/>
      </c>
      <c r="G18" s="52">
        <f>E18+F18</f>
        <v/>
      </c>
      <c r="H18" s="19">
        <f>VLOOKUP(A18,04_PROYECTOS!$A:$N,11,FALSE)</f>
        <v/>
      </c>
      <c r="I18" s="19">
        <f>ROUNDUP(H18/30,0)</f>
        <v/>
      </c>
      <c r="J18" s="53">
        <f>EDATE(C18,I18)</f>
        <v/>
      </c>
      <c r="K18" s="52">
        <f>G18</f>
        <v/>
      </c>
      <c r="L18" s="16" t="inlineStr">
        <is>
          <t>Pago final público &lt;10M</t>
        </is>
      </c>
      <c r="M18" s="16" t="inlineStr"/>
    </row>
    <row r="19">
      <c r="A19" s="16" t="inlineStr">
        <is>
          <t>PRJ-010</t>
        </is>
      </c>
      <c r="B19" s="18" t="n">
        <v>1</v>
      </c>
      <c r="C19" s="51" t="n">
        <v>46053</v>
      </c>
      <c r="D19" s="43" t="n">
        <v>0.5</v>
      </c>
      <c r="E19" s="52">
        <f>D19*VLOOKUP(A19,04_PROYECTOS!$A:$N,5,FALSE)*MULT_PRECIO*INDEX(02B_ESCENARIOS!$B$15:$D$19, MATCH(VLOOKUP(A19,04_PROYECTOS!$A:$N,9,FALSE), 02B_ESCENARIOS!$A$15:$A$19, 0), MATCH(ESCENARIO, 02B_ESCENARIOS!$B$14:$D$14, 0))</f>
        <v/>
      </c>
      <c r="F19" s="52">
        <f>E19*VLOOKUP(A19,04_PROYECTOS!$A:$N,6,FALSE)</f>
        <v/>
      </c>
      <c r="G19" s="52">
        <f>E19+F19</f>
        <v/>
      </c>
      <c r="H19" s="19">
        <f>VLOOKUP(A19,04_PROYECTOS!$A:$N,11,FALSE)</f>
        <v/>
      </c>
      <c r="I19" s="19">
        <f>ROUNDUP(H19/30,0)</f>
        <v/>
      </c>
      <c r="J19" s="53">
        <f>EDATE(C19,I19)</f>
        <v/>
      </c>
      <c r="K19" s="52">
        <f>G19</f>
        <v/>
      </c>
      <c r="L19" s="16" t="inlineStr">
        <is>
          <t>Inicio 50%</t>
        </is>
      </c>
      <c r="M19" s="16" t="inlineStr"/>
    </row>
    <row r="20">
      <c r="A20" s="16" t="inlineStr">
        <is>
          <t>PRJ-010</t>
        </is>
      </c>
      <c r="B20" s="18" t="n">
        <v>2</v>
      </c>
      <c r="C20" s="51" t="n">
        <v>46053</v>
      </c>
      <c r="D20" s="43" t="n">
        <v>0.5</v>
      </c>
      <c r="E20" s="52">
        <f>D20*VLOOKUP(A20,04_PROYECTOS!$A:$N,5,FALSE)*MULT_PRECIO*INDEX(02B_ESCENARIOS!$B$15:$D$19, MATCH(VLOOKUP(A20,04_PROYECTOS!$A:$N,9,FALSE), 02B_ESCENARIOS!$A$15:$A$19, 0), MATCH(ESCENARIO, 02B_ESCENARIOS!$B$14:$D$14, 0))</f>
        <v/>
      </c>
      <c r="F20" s="52">
        <f>E20*VLOOKUP(A20,04_PROYECTOS!$A:$N,6,FALSE)</f>
        <v/>
      </c>
      <c r="G20" s="52">
        <f>E20+F20</f>
        <v/>
      </c>
      <c r="H20" s="19">
        <f>VLOOKUP(A20,04_PROYECTOS!$A:$N,11,FALSE)</f>
        <v/>
      </c>
      <c r="I20" s="19">
        <f>ROUNDUP(H20/30,0)</f>
        <v/>
      </c>
      <c r="J20" s="53">
        <f>EDATE(C20,I20)</f>
        <v/>
      </c>
      <c r="K20" s="52">
        <f>G20</f>
        <v/>
      </c>
      <c r="L20" s="16" t="inlineStr">
        <is>
          <t>Final 50%</t>
        </is>
      </c>
      <c r="M20" s="16" t="inlineStr"/>
    </row>
    <row r="21">
      <c r="A21" s="16" t="inlineStr">
        <is>
          <t>PRJ-011</t>
        </is>
      </c>
      <c r="B21" s="18" t="n">
        <v>1</v>
      </c>
      <c r="C21" s="51" t="n">
        <v>46112</v>
      </c>
      <c r="D21" s="43" t="n">
        <v>1</v>
      </c>
      <c r="E21" s="52">
        <f>D21*VLOOKUP(A21,04_PROYECTOS!$A:$N,5,FALSE)*MULT_PRECIO*INDEX(02B_ESCENARIOS!$B$15:$D$19, MATCH(VLOOKUP(A21,04_PROYECTOS!$A:$N,9,FALSE), 02B_ESCENARIOS!$A$15:$A$19, 0), MATCH(ESCENARIO, 02B_ESCENARIOS!$B$14:$D$14, 0))</f>
        <v/>
      </c>
      <c r="F21" s="52">
        <f>E21*VLOOKUP(A21,04_PROYECTOS!$A:$N,6,FALSE)</f>
        <v/>
      </c>
      <c r="G21" s="52">
        <f>E21+F21</f>
        <v/>
      </c>
      <c r="H21" s="19">
        <f>VLOOKUP(A21,04_PROYECTOS!$A:$N,11,FALSE)</f>
        <v/>
      </c>
      <c r="I21" s="19">
        <f>ROUNDUP(H21/30,0)</f>
        <v/>
      </c>
      <c r="J21" s="53">
        <f>EDATE(C21,I21)</f>
        <v/>
      </c>
      <c r="K21" s="52">
        <f>G21</f>
        <v/>
      </c>
      <c r="L21" s="16" t="inlineStr">
        <is>
          <t>Pago final público &lt;10M</t>
        </is>
      </c>
      <c r="M21" s="16" t="inlineStr"/>
    </row>
    <row r="22">
      <c r="A22" s="16" t="inlineStr">
        <is>
          <t>PRJ-012</t>
        </is>
      </c>
      <c r="B22" s="18" t="n">
        <v>1</v>
      </c>
      <c r="C22" s="51" t="n">
        <v>46053</v>
      </c>
      <c r="D22" s="43" t="n">
        <v>1</v>
      </c>
      <c r="E22" s="52">
        <f>D22*VLOOKUP(A22,04_PROYECTOS!$A:$N,5,FALSE)*MULT_PRECIO*INDEX(02B_ESCENARIOS!$B$15:$D$19, MATCH(VLOOKUP(A22,04_PROYECTOS!$A:$N,9,FALSE), 02B_ESCENARIOS!$A$15:$A$19, 0), MATCH(ESCENARIO, 02B_ESCENARIOS!$B$14:$D$14, 0))</f>
        <v/>
      </c>
      <c r="F22" s="52">
        <f>E22*VLOOKUP(A22,04_PROYECTOS!$A:$N,6,FALSE)</f>
        <v/>
      </c>
      <c r="G22" s="52">
        <f>E22+F22</f>
        <v/>
      </c>
      <c r="H22" s="19">
        <f>VLOOKUP(A22,04_PROYECTOS!$A:$N,11,FALSE)</f>
        <v/>
      </c>
      <c r="I22" s="19">
        <f>ROUNDUP(H22/30,0)</f>
        <v/>
      </c>
      <c r="J22" s="53">
        <f>EDATE(C22,I22)</f>
        <v/>
      </c>
      <c r="K22" s="52">
        <f>G22</f>
        <v/>
      </c>
      <c r="L22" s="16" t="inlineStr">
        <is>
          <t>Pago final público &lt;10M</t>
        </is>
      </c>
      <c r="M22" s="16" t="inlineStr"/>
    </row>
    <row r="23">
      <c r="A23" s="16" t="inlineStr">
        <is>
          <t>PRJ-013</t>
        </is>
      </c>
      <c r="B23" s="18" t="n">
        <v>1</v>
      </c>
      <c r="C23" s="51" t="n">
        <v>46081</v>
      </c>
      <c r="D23" s="43" t="n">
        <v>0.5</v>
      </c>
      <c r="E23" s="52">
        <f>D23*VLOOKUP(A23,04_PROYECTOS!$A:$N,5,FALSE)*MULT_PRECIO*INDEX(02B_ESCENARIOS!$B$15:$D$19, MATCH(VLOOKUP(A23,04_PROYECTOS!$A:$N,9,FALSE), 02B_ESCENARIOS!$A$15:$A$19, 0), MATCH(ESCENARIO, 02B_ESCENARIOS!$B$14:$D$14, 0))</f>
        <v/>
      </c>
      <c r="F23" s="52">
        <f>E23*VLOOKUP(A23,04_PROYECTOS!$A:$N,6,FALSE)</f>
        <v/>
      </c>
      <c r="G23" s="52">
        <f>E23+F23</f>
        <v/>
      </c>
      <c r="H23" s="19">
        <f>VLOOKUP(A23,04_PROYECTOS!$A:$N,11,FALSE)</f>
        <v/>
      </c>
      <c r="I23" s="19">
        <f>ROUNDUP(H23/30,0)</f>
        <v/>
      </c>
      <c r="J23" s="53">
        <f>EDATE(C23,I23)</f>
        <v/>
      </c>
      <c r="K23" s="52">
        <f>G23</f>
        <v/>
      </c>
      <c r="L23" s="16" t="inlineStr">
        <is>
          <t>Inicio 50%</t>
        </is>
      </c>
      <c r="M23" s="16" t="inlineStr"/>
    </row>
    <row r="24">
      <c r="A24" s="16" t="inlineStr">
        <is>
          <t>PRJ-013</t>
        </is>
      </c>
      <c r="B24" s="18" t="n">
        <v>2</v>
      </c>
      <c r="C24" s="51" t="n">
        <v>46173</v>
      </c>
      <c r="D24" s="43" t="n">
        <v>0.5</v>
      </c>
      <c r="E24" s="52">
        <f>D24*VLOOKUP(A24,04_PROYECTOS!$A:$N,5,FALSE)*MULT_PRECIO*INDEX(02B_ESCENARIOS!$B$15:$D$19, MATCH(VLOOKUP(A24,04_PROYECTOS!$A:$N,9,FALSE), 02B_ESCENARIOS!$A$15:$A$19, 0), MATCH(ESCENARIO, 02B_ESCENARIOS!$B$14:$D$14, 0))</f>
        <v/>
      </c>
      <c r="F24" s="52">
        <f>E24*VLOOKUP(A24,04_PROYECTOS!$A:$N,6,FALSE)</f>
        <v/>
      </c>
      <c r="G24" s="52">
        <f>E24+F24</f>
        <v/>
      </c>
      <c r="H24" s="19">
        <f>VLOOKUP(A24,04_PROYECTOS!$A:$N,11,FALSE)</f>
        <v/>
      </c>
      <c r="I24" s="19">
        <f>ROUNDUP(H24/30,0)</f>
        <v/>
      </c>
      <c r="J24" s="53">
        <f>EDATE(C24,I24)</f>
        <v/>
      </c>
      <c r="K24" s="52">
        <f>G24</f>
        <v/>
      </c>
      <c r="L24" s="16" t="inlineStr">
        <is>
          <t>Final 50%</t>
        </is>
      </c>
      <c r="M24" s="16" t="inlineStr"/>
    </row>
    <row r="25">
      <c r="A25" s="16" t="inlineStr">
        <is>
          <t>PRJ-014</t>
        </is>
      </c>
      <c r="B25" s="18" t="n">
        <v>1</v>
      </c>
      <c r="C25" s="51" t="n">
        <v>46081</v>
      </c>
      <c r="D25" s="43" t="n">
        <v>0.5</v>
      </c>
      <c r="E25" s="52">
        <f>D25*VLOOKUP(A25,04_PROYECTOS!$A:$N,5,FALSE)*MULT_PRECIO*INDEX(02B_ESCENARIOS!$B$15:$D$19, MATCH(VLOOKUP(A25,04_PROYECTOS!$A:$N,9,FALSE), 02B_ESCENARIOS!$A$15:$A$19, 0), MATCH(ESCENARIO, 02B_ESCENARIOS!$B$14:$D$14, 0))</f>
        <v/>
      </c>
      <c r="F25" s="52">
        <f>E25*VLOOKUP(A25,04_PROYECTOS!$A:$N,6,FALSE)</f>
        <v/>
      </c>
      <c r="G25" s="52">
        <f>E25+F25</f>
        <v/>
      </c>
      <c r="H25" s="19">
        <f>VLOOKUP(A25,04_PROYECTOS!$A:$N,11,FALSE)</f>
        <v/>
      </c>
      <c r="I25" s="19">
        <f>ROUNDUP(H25/30,0)</f>
        <v/>
      </c>
      <c r="J25" s="53">
        <f>EDATE(C25,I25)</f>
        <v/>
      </c>
      <c r="K25" s="52">
        <f>G25</f>
        <v/>
      </c>
      <c r="L25" s="16" t="inlineStr">
        <is>
          <t>Inicio 50%</t>
        </is>
      </c>
      <c r="M25" s="16" t="inlineStr"/>
    </row>
    <row r="26">
      <c r="A26" s="16" t="inlineStr">
        <is>
          <t>PRJ-014</t>
        </is>
      </c>
      <c r="B26" s="18" t="n">
        <v>2</v>
      </c>
      <c r="C26" s="51" t="n">
        <v>46142</v>
      </c>
      <c r="D26" s="43" t="n">
        <v>0.5</v>
      </c>
      <c r="E26" s="52">
        <f>D26*VLOOKUP(A26,04_PROYECTOS!$A:$N,5,FALSE)*MULT_PRECIO*INDEX(02B_ESCENARIOS!$B$15:$D$19, MATCH(VLOOKUP(A26,04_PROYECTOS!$A:$N,9,FALSE), 02B_ESCENARIOS!$A$15:$A$19, 0), MATCH(ESCENARIO, 02B_ESCENARIOS!$B$14:$D$14, 0))</f>
        <v/>
      </c>
      <c r="F26" s="52">
        <f>E26*VLOOKUP(A26,04_PROYECTOS!$A:$N,6,FALSE)</f>
        <v/>
      </c>
      <c r="G26" s="52">
        <f>E26+F26</f>
        <v/>
      </c>
      <c r="H26" s="19">
        <f>VLOOKUP(A26,04_PROYECTOS!$A:$N,11,FALSE)</f>
        <v/>
      </c>
      <c r="I26" s="19">
        <f>ROUNDUP(H26/30,0)</f>
        <v/>
      </c>
      <c r="J26" s="53">
        <f>EDATE(C26,I26)</f>
        <v/>
      </c>
      <c r="K26" s="52">
        <f>G26</f>
        <v/>
      </c>
      <c r="L26" s="16" t="inlineStr">
        <is>
          <t>Final 50%</t>
        </is>
      </c>
      <c r="M26" s="16" t="inlineStr"/>
    </row>
    <row r="27">
      <c r="A27" s="16" t="inlineStr">
        <is>
          <t>PRJ-015</t>
        </is>
      </c>
      <c r="B27" s="18" t="n">
        <v>1</v>
      </c>
      <c r="C27" s="51" t="n">
        <v>46112</v>
      </c>
      <c r="D27" s="43" t="n">
        <v>0.5</v>
      </c>
      <c r="E27" s="52">
        <f>D27*VLOOKUP(A27,04_PROYECTOS!$A:$N,5,FALSE)*MULT_PRECIO*INDEX(02B_ESCENARIOS!$B$15:$D$19, MATCH(VLOOKUP(A27,04_PROYECTOS!$A:$N,9,FALSE), 02B_ESCENARIOS!$A$15:$A$19, 0), MATCH(ESCENARIO, 02B_ESCENARIOS!$B$14:$D$14, 0))</f>
        <v/>
      </c>
      <c r="F27" s="52">
        <f>E27*VLOOKUP(A27,04_PROYECTOS!$A:$N,6,FALSE)</f>
        <v/>
      </c>
      <c r="G27" s="52">
        <f>E27+F27</f>
        <v/>
      </c>
      <c r="H27" s="19">
        <f>VLOOKUP(A27,04_PROYECTOS!$A:$N,11,FALSE)</f>
        <v/>
      </c>
      <c r="I27" s="19">
        <f>ROUNDUP(H27/30,0)</f>
        <v/>
      </c>
      <c r="J27" s="53">
        <f>EDATE(C27,I27)</f>
        <v/>
      </c>
      <c r="K27" s="52">
        <f>G27</f>
        <v/>
      </c>
      <c r="L27" s="16" t="inlineStr">
        <is>
          <t>Inicio 50%</t>
        </is>
      </c>
      <c r="M27" s="16" t="inlineStr"/>
    </row>
    <row r="28">
      <c r="A28" s="16" t="inlineStr">
        <is>
          <t>PRJ-015</t>
        </is>
      </c>
      <c r="B28" s="18" t="n">
        <v>2</v>
      </c>
      <c r="C28" s="51" t="n">
        <v>46142</v>
      </c>
      <c r="D28" s="43" t="n">
        <v>0.5</v>
      </c>
      <c r="E28" s="52">
        <f>D28*VLOOKUP(A28,04_PROYECTOS!$A:$N,5,FALSE)*MULT_PRECIO*INDEX(02B_ESCENARIOS!$B$15:$D$19, MATCH(VLOOKUP(A28,04_PROYECTOS!$A:$N,9,FALSE), 02B_ESCENARIOS!$A$15:$A$19, 0), MATCH(ESCENARIO, 02B_ESCENARIOS!$B$14:$D$14, 0))</f>
        <v/>
      </c>
      <c r="F28" s="52">
        <f>E28*VLOOKUP(A28,04_PROYECTOS!$A:$N,6,FALSE)</f>
        <v/>
      </c>
      <c r="G28" s="52">
        <f>E28+F28</f>
        <v/>
      </c>
      <c r="H28" s="19">
        <f>VLOOKUP(A28,04_PROYECTOS!$A:$N,11,FALSE)</f>
        <v/>
      </c>
      <c r="I28" s="19">
        <f>ROUNDUP(H28/30,0)</f>
        <v/>
      </c>
      <c r="J28" s="53">
        <f>EDATE(C28,I28)</f>
        <v/>
      </c>
      <c r="K28" s="52">
        <f>G28</f>
        <v/>
      </c>
      <c r="L28" s="16" t="inlineStr">
        <is>
          <t>Final 50%</t>
        </is>
      </c>
      <c r="M28" s="16" t="inlineStr"/>
    </row>
    <row r="29">
      <c r="A29" s="16" t="inlineStr">
        <is>
          <t>PRJ-016</t>
        </is>
      </c>
      <c r="B29" s="18" t="n">
        <v>1</v>
      </c>
      <c r="C29" s="51" t="n">
        <v>46112</v>
      </c>
      <c r="D29" s="43" t="n">
        <v>0.5</v>
      </c>
      <c r="E29" s="52">
        <f>D29*VLOOKUP(A29,04_PROYECTOS!$A:$N,5,FALSE)*MULT_PRECIO*INDEX(02B_ESCENARIOS!$B$15:$D$19, MATCH(VLOOKUP(A29,04_PROYECTOS!$A:$N,9,FALSE), 02B_ESCENARIOS!$A$15:$A$19, 0), MATCH(ESCENARIO, 02B_ESCENARIOS!$B$14:$D$14, 0))</f>
        <v/>
      </c>
      <c r="F29" s="52">
        <f>E29*VLOOKUP(A29,04_PROYECTOS!$A:$N,6,FALSE)</f>
        <v/>
      </c>
      <c r="G29" s="52">
        <f>E29+F29</f>
        <v/>
      </c>
      <c r="H29" s="19">
        <f>VLOOKUP(A29,04_PROYECTOS!$A:$N,11,FALSE)</f>
        <v/>
      </c>
      <c r="I29" s="19">
        <f>ROUNDUP(H29/30,0)</f>
        <v/>
      </c>
      <c r="J29" s="53">
        <f>EDATE(C29,I29)</f>
        <v/>
      </c>
      <c r="K29" s="52">
        <f>G29</f>
        <v/>
      </c>
      <c r="L29" s="16" t="inlineStr">
        <is>
          <t>Inicio 50%</t>
        </is>
      </c>
      <c r="M29" s="16" t="inlineStr"/>
    </row>
    <row r="30">
      <c r="A30" s="16" t="inlineStr">
        <is>
          <t>PRJ-016</t>
        </is>
      </c>
      <c r="B30" s="18" t="n">
        <v>2</v>
      </c>
      <c r="C30" s="51" t="n">
        <v>46173</v>
      </c>
      <c r="D30" s="43" t="n">
        <v>0.5</v>
      </c>
      <c r="E30" s="52">
        <f>D30*VLOOKUP(A30,04_PROYECTOS!$A:$N,5,FALSE)*MULT_PRECIO*INDEX(02B_ESCENARIOS!$B$15:$D$19, MATCH(VLOOKUP(A30,04_PROYECTOS!$A:$N,9,FALSE), 02B_ESCENARIOS!$A$15:$A$19, 0), MATCH(ESCENARIO, 02B_ESCENARIOS!$B$14:$D$14, 0))</f>
        <v/>
      </c>
      <c r="F30" s="52">
        <f>E30*VLOOKUP(A30,04_PROYECTOS!$A:$N,6,FALSE)</f>
        <v/>
      </c>
      <c r="G30" s="52">
        <f>E30+F30</f>
        <v/>
      </c>
      <c r="H30" s="19">
        <f>VLOOKUP(A30,04_PROYECTOS!$A:$N,11,FALSE)</f>
        <v/>
      </c>
      <c r="I30" s="19">
        <f>ROUNDUP(H30/30,0)</f>
        <v/>
      </c>
      <c r="J30" s="53">
        <f>EDATE(C30,I30)</f>
        <v/>
      </c>
      <c r="K30" s="52">
        <f>G30</f>
        <v/>
      </c>
      <c r="L30" s="16" t="inlineStr">
        <is>
          <t>Final 50%</t>
        </is>
      </c>
      <c r="M30" s="16" t="inlineStr"/>
    </row>
    <row r="31">
      <c r="A31" s="16" t="inlineStr">
        <is>
          <t>PRJ-017</t>
        </is>
      </c>
      <c r="B31" s="18" t="n">
        <v>1</v>
      </c>
      <c r="C31" s="51" t="n">
        <v>46081</v>
      </c>
      <c r="D31" s="43" t="n">
        <v>0.5</v>
      </c>
      <c r="E31" s="52">
        <f>D31*VLOOKUP(A31,04_PROYECTOS!$A:$N,5,FALSE)*MULT_PRECIO*INDEX(02B_ESCENARIOS!$B$15:$D$19, MATCH(VLOOKUP(A31,04_PROYECTOS!$A:$N,9,FALSE), 02B_ESCENARIOS!$A$15:$A$19, 0), MATCH(ESCENARIO, 02B_ESCENARIOS!$B$14:$D$14, 0))</f>
        <v/>
      </c>
      <c r="F31" s="52">
        <f>E31*VLOOKUP(A31,04_PROYECTOS!$A:$N,6,FALSE)</f>
        <v/>
      </c>
      <c r="G31" s="52">
        <f>E31+F31</f>
        <v/>
      </c>
      <c r="H31" s="19">
        <f>VLOOKUP(A31,04_PROYECTOS!$A:$N,11,FALSE)</f>
        <v/>
      </c>
      <c r="I31" s="19">
        <f>ROUNDUP(H31/30,0)</f>
        <v/>
      </c>
      <c r="J31" s="53">
        <f>EDATE(C31,I31)</f>
        <v/>
      </c>
      <c r="K31" s="52">
        <f>G31</f>
        <v/>
      </c>
      <c r="L31" s="16" t="inlineStr">
        <is>
          <t>Inicio 50%</t>
        </is>
      </c>
      <c r="M31" s="16" t="inlineStr"/>
    </row>
    <row r="32">
      <c r="A32" s="16" t="inlineStr">
        <is>
          <t>PRJ-017</t>
        </is>
      </c>
      <c r="B32" s="18" t="n">
        <v>2</v>
      </c>
      <c r="C32" s="51" t="n">
        <v>46142</v>
      </c>
      <c r="D32" s="43" t="n">
        <v>0.5</v>
      </c>
      <c r="E32" s="52">
        <f>D32*VLOOKUP(A32,04_PROYECTOS!$A:$N,5,FALSE)*MULT_PRECIO*INDEX(02B_ESCENARIOS!$B$15:$D$19, MATCH(VLOOKUP(A32,04_PROYECTOS!$A:$N,9,FALSE), 02B_ESCENARIOS!$A$15:$A$19, 0), MATCH(ESCENARIO, 02B_ESCENARIOS!$B$14:$D$14, 0))</f>
        <v/>
      </c>
      <c r="F32" s="52">
        <f>E32*VLOOKUP(A32,04_PROYECTOS!$A:$N,6,FALSE)</f>
        <v/>
      </c>
      <c r="G32" s="52">
        <f>E32+F32</f>
        <v/>
      </c>
      <c r="H32" s="19">
        <f>VLOOKUP(A32,04_PROYECTOS!$A:$N,11,FALSE)</f>
        <v/>
      </c>
      <c r="I32" s="19">
        <f>ROUNDUP(H32/30,0)</f>
        <v/>
      </c>
      <c r="J32" s="53">
        <f>EDATE(C32,I32)</f>
        <v/>
      </c>
      <c r="K32" s="52">
        <f>G32</f>
        <v/>
      </c>
      <c r="L32" s="16" t="inlineStr">
        <is>
          <t>Final 50%</t>
        </is>
      </c>
      <c r="M32" s="16" t="inlineStr"/>
    </row>
    <row r="33">
      <c r="A33" s="16" t="inlineStr">
        <is>
          <t>PRJ-018</t>
        </is>
      </c>
      <c r="B33" s="18" t="n">
        <v>1</v>
      </c>
      <c r="C33" s="51" t="n">
        <v>46053</v>
      </c>
      <c r="D33" s="43" t="n">
        <v>0.5</v>
      </c>
      <c r="E33" s="52">
        <f>D33*VLOOKUP(A33,04_PROYECTOS!$A:$N,5,FALSE)*MULT_PRECIO*INDEX(02B_ESCENARIOS!$B$15:$D$19, MATCH(VLOOKUP(A33,04_PROYECTOS!$A:$N,9,FALSE), 02B_ESCENARIOS!$A$15:$A$19, 0), MATCH(ESCENARIO, 02B_ESCENARIOS!$B$14:$D$14, 0))</f>
        <v/>
      </c>
      <c r="F33" s="52">
        <f>E33*VLOOKUP(A33,04_PROYECTOS!$A:$N,6,FALSE)</f>
        <v/>
      </c>
      <c r="G33" s="52">
        <f>E33+F33</f>
        <v/>
      </c>
      <c r="H33" s="19">
        <f>VLOOKUP(A33,04_PROYECTOS!$A:$N,11,FALSE)</f>
        <v/>
      </c>
      <c r="I33" s="19">
        <f>ROUNDUP(H33/30,0)</f>
        <v/>
      </c>
      <c r="J33" s="53">
        <f>EDATE(C33,I33)</f>
        <v/>
      </c>
      <c r="K33" s="52">
        <f>G33</f>
        <v/>
      </c>
      <c r="L33" s="16" t="inlineStr">
        <is>
          <t>Inicio 50%</t>
        </is>
      </c>
      <c r="M33" s="16" t="inlineStr"/>
    </row>
    <row r="34">
      <c r="A34" s="16" t="inlineStr">
        <is>
          <t>PRJ-018</t>
        </is>
      </c>
      <c r="B34" s="18" t="n">
        <v>2</v>
      </c>
      <c r="C34" s="51" t="n">
        <v>46053</v>
      </c>
      <c r="D34" s="43" t="n">
        <v>0.5</v>
      </c>
      <c r="E34" s="52">
        <f>D34*VLOOKUP(A34,04_PROYECTOS!$A:$N,5,FALSE)*MULT_PRECIO*INDEX(02B_ESCENARIOS!$B$15:$D$19, MATCH(VLOOKUP(A34,04_PROYECTOS!$A:$N,9,FALSE), 02B_ESCENARIOS!$A$15:$A$19, 0), MATCH(ESCENARIO, 02B_ESCENARIOS!$B$14:$D$14, 0))</f>
        <v/>
      </c>
      <c r="F34" s="52">
        <f>E34*VLOOKUP(A34,04_PROYECTOS!$A:$N,6,FALSE)</f>
        <v/>
      </c>
      <c r="G34" s="52">
        <f>E34+F34</f>
        <v/>
      </c>
      <c r="H34" s="19">
        <f>VLOOKUP(A34,04_PROYECTOS!$A:$N,11,FALSE)</f>
        <v/>
      </c>
      <c r="I34" s="19">
        <f>ROUNDUP(H34/30,0)</f>
        <v/>
      </c>
      <c r="J34" s="53">
        <f>EDATE(C34,I34)</f>
        <v/>
      </c>
      <c r="K34" s="52">
        <f>G34</f>
        <v/>
      </c>
      <c r="L34" s="16" t="inlineStr">
        <is>
          <t>Final 50%</t>
        </is>
      </c>
      <c r="M34" s="16" t="inlineStr"/>
    </row>
    <row r="35">
      <c r="A35" s="16" t="inlineStr">
        <is>
          <t>PRJ-019</t>
        </is>
      </c>
      <c r="B35" s="18" t="n">
        <v>1</v>
      </c>
      <c r="C35" s="51" t="n">
        <v>46081</v>
      </c>
      <c r="D35" s="43" t="n">
        <v>0.5</v>
      </c>
      <c r="E35" s="52">
        <f>D35*VLOOKUP(A35,04_PROYECTOS!$A:$N,5,FALSE)*MULT_PRECIO*INDEX(02B_ESCENARIOS!$B$15:$D$19, MATCH(VLOOKUP(A35,04_PROYECTOS!$A:$N,9,FALSE), 02B_ESCENARIOS!$A$15:$A$19, 0), MATCH(ESCENARIO, 02B_ESCENARIOS!$B$14:$D$14, 0))</f>
        <v/>
      </c>
      <c r="F35" s="52">
        <f>E35*VLOOKUP(A35,04_PROYECTOS!$A:$N,6,FALSE)</f>
        <v/>
      </c>
      <c r="G35" s="52">
        <f>E35+F35</f>
        <v/>
      </c>
      <c r="H35" s="19">
        <f>VLOOKUP(A35,04_PROYECTOS!$A:$N,11,FALSE)</f>
        <v/>
      </c>
      <c r="I35" s="19">
        <f>ROUNDUP(H35/30,0)</f>
        <v/>
      </c>
      <c r="J35" s="53">
        <f>EDATE(C35,I35)</f>
        <v/>
      </c>
      <c r="K35" s="52">
        <f>G35</f>
        <v/>
      </c>
      <c r="L35" s="16" t="inlineStr">
        <is>
          <t>Inicio 50%</t>
        </is>
      </c>
      <c r="M35" s="16" t="inlineStr"/>
    </row>
    <row r="36">
      <c r="A36" s="16" t="inlineStr">
        <is>
          <t>PRJ-019</t>
        </is>
      </c>
      <c r="B36" s="18" t="n">
        <v>2</v>
      </c>
      <c r="C36" s="51" t="n">
        <v>46081</v>
      </c>
      <c r="D36" s="43" t="n">
        <v>0.5</v>
      </c>
      <c r="E36" s="52">
        <f>D36*VLOOKUP(A36,04_PROYECTOS!$A:$N,5,FALSE)*MULT_PRECIO*INDEX(02B_ESCENARIOS!$B$15:$D$19, MATCH(VLOOKUP(A36,04_PROYECTOS!$A:$N,9,FALSE), 02B_ESCENARIOS!$A$15:$A$19, 0), MATCH(ESCENARIO, 02B_ESCENARIOS!$B$14:$D$14, 0))</f>
        <v/>
      </c>
      <c r="F36" s="52">
        <f>E36*VLOOKUP(A36,04_PROYECTOS!$A:$N,6,FALSE)</f>
        <v/>
      </c>
      <c r="G36" s="52">
        <f>E36+F36</f>
        <v/>
      </c>
      <c r="H36" s="19">
        <f>VLOOKUP(A36,04_PROYECTOS!$A:$N,11,FALSE)</f>
        <v/>
      </c>
      <c r="I36" s="19">
        <f>ROUNDUP(H36/30,0)</f>
        <v/>
      </c>
      <c r="J36" s="53">
        <f>EDATE(C36,I36)</f>
        <v/>
      </c>
      <c r="K36" s="52">
        <f>G36</f>
        <v/>
      </c>
      <c r="L36" s="16" t="inlineStr">
        <is>
          <t>Final 50%</t>
        </is>
      </c>
      <c r="M36" s="16" t="inlineStr"/>
    </row>
    <row r="37">
      <c r="A37" s="16" t="inlineStr">
        <is>
          <t>PRJ-020</t>
        </is>
      </c>
      <c r="B37" s="18" t="n">
        <v>1</v>
      </c>
      <c r="C37" s="51" t="n">
        <v>46053</v>
      </c>
      <c r="D37" s="43" t="n">
        <v>0.5</v>
      </c>
      <c r="E37" s="52">
        <f>D37*VLOOKUP(A37,04_PROYECTOS!$A:$N,5,FALSE)*MULT_PRECIO*INDEX(02B_ESCENARIOS!$B$15:$D$19, MATCH(VLOOKUP(A37,04_PROYECTOS!$A:$N,9,FALSE), 02B_ESCENARIOS!$A$15:$A$19, 0), MATCH(ESCENARIO, 02B_ESCENARIOS!$B$14:$D$14, 0))</f>
        <v/>
      </c>
      <c r="F37" s="52">
        <f>E37*VLOOKUP(A37,04_PROYECTOS!$A:$N,6,FALSE)</f>
        <v/>
      </c>
      <c r="G37" s="52">
        <f>E37+F37</f>
        <v/>
      </c>
      <c r="H37" s="19">
        <f>VLOOKUP(A37,04_PROYECTOS!$A:$N,11,FALSE)</f>
        <v/>
      </c>
      <c r="I37" s="19">
        <f>ROUNDUP(H37/30,0)</f>
        <v/>
      </c>
      <c r="J37" s="53">
        <f>EDATE(C37,I37)</f>
        <v/>
      </c>
      <c r="K37" s="52">
        <f>G37</f>
        <v/>
      </c>
      <c r="L37" s="16" t="inlineStr">
        <is>
          <t>Inicio 50%</t>
        </is>
      </c>
      <c r="M37" s="16" t="inlineStr"/>
    </row>
    <row r="38">
      <c r="A38" s="16" t="inlineStr">
        <is>
          <t>PRJ-020</t>
        </is>
      </c>
      <c r="B38" s="18" t="n">
        <v>2</v>
      </c>
      <c r="C38" s="51" t="n">
        <v>46053</v>
      </c>
      <c r="D38" s="43" t="n">
        <v>0.5</v>
      </c>
      <c r="E38" s="52">
        <f>D38*VLOOKUP(A38,04_PROYECTOS!$A:$N,5,FALSE)*MULT_PRECIO*INDEX(02B_ESCENARIOS!$B$15:$D$19, MATCH(VLOOKUP(A38,04_PROYECTOS!$A:$N,9,FALSE), 02B_ESCENARIOS!$A$15:$A$19, 0), MATCH(ESCENARIO, 02B_ESCENARIOS!$B$14:$D$14, 0))</f>
        <v/>
      </c>
      <c r="F38" s="52">
        <f>E38*VLOOKUP(A38,04_PROYECTOS!$A:$N,6,FALSE)</f>
        <v/>
      </c>
      <c r="G38" s="52">
        <f>E38+F38</f>
        <v/>
      </c>
      <c r="H38" s="19">
        <f>VLOOKUP(A38,04_PROYECTOS!$A:$N,11,FALSE)</f>
        <v/>
      </c>
      <c r="I38" s="19">
        <f>ROUNDUP(H38/30,0)</f>
        <v/>
      </c>
      <c r="J38" s="53">
        <f>EDATE(C38,I38)</f>
        <v/>
      </c>
      <c r="K38" s="52">
        <f>G38</f>
        <v/>
      </c>
      <c r="L38" s="16" t="inlineStr">
        <is>
          <t>Final 50%</t>
        </is>
      </c>
      <c r="M38" s="16" t="inlineStr"/>
    </row>
    <row r="39">
      <c r="A39" s="16" t="inlineStr">
        <is>
          <t>PRJ-021</t>
        </is>
      </c>
      <c r="B39" s="18" t="n">
        <v>1</v>
      </c>
      <c r="C39" s="51" t="n">
        <v>46053</v>
      </c>
      <c r="D39" s="43" t="n">
        <v>1</v>
      </c>
      <c r="E39" s="52">
        <f>D39*VLOOKUP(A39,04_PROYECTOS!$A:$N,5,FALSE)*MULT_PRECIO*INDEX(02B_ESCENARIOS!$B$15:$D$19, MATCH(VLOOKUP(A39,04_PROYECTOS!$A:$N,9,FALSE), 02B_ESCENARIOS!$A$15:$A$19, 0), MATCH(ESCENARIO, 02B_ESCENARIOS!$B$14:$D$14, 0))</f>
        <v/>
      </c>
      <c r="F39" s="52">
        <f>E39*VLOOKUP(A39,04_PROYECTOS!$A:$N,6,FALSE)</f>
        <v/>
      </c>
      <c r="G39" s="52">
        <f>E39+F39</f>
        <v/>
      </c>
      <c r="H39" s="19">
        <f>VLOOKUP(A39,04_PROYECTOS!$A:$N,11,FALSE)</f>
        <v/>
      </c>
      <c r="I39" s="19">
        <f>ROUNDUP(H39/30,0)</f>
        <v/>
      </c>
      <c r="J39" s="53">
        <f>EDATE(C39,I39)</f>
        <v/>
      </c>
      <c r="K39" s="52">
        <f>G39</f>
        <v/>
      </c>
      <c r="L39" s="16" t="inlineStr">
        <is>
          <t>Pago final público &lt;10M</t>
        </is>
      </c>
      <c r="M39" s="16" t="inlineStr"/>
    </row>
    <row r="40">
      <c r="A40" s="16" t="inlineStr">
        <is>
          <t>PRJ-022</t>
        </is>
      </c>
      <c r="B40" s="18" t="n">
        <v>1</v>
      </c>
      <c r="C40" s="51" t="n">
        <v>46053</v>
      </c>
      <c r="D40" s="43" t="n">
        <v>1</v>
      </c>
      <c r="E40" s="52">
        <f>D40*VLOOKUP(A40,04_PROYECTOS!$A:$N,5,FALSE)*MULT_PRECIO*INDEX(02B_ESCENARIOS!$B$15:$D$19, MATCH(VLOOKUP(A40,04_PROYECTOS!$A:$N,9,FALSE), 02B_ESCENARIOS!$A$15:$A$19, 0), MATCH(ESCENARIO, 02B_ESCENARIOS!$B$14:$D$14, 0))</f>
        <v/>
      </c>
      <c r="F40" s="52">
        <f>E40*VLOOKUP(A40,04_PROYECTOS!$A:$N,6,FALSE)</f>
        <v/>
      </c>
      <c r="G40" s="52">
        <f>E40+F40</f>
        <v/>
      </c>
      <c r="H40" s="19">
        <f>VLOOKUP(A40,04_PROYECTOS!$A:$N,11,FALSE)</f>
        <v/>
      </c>
      <c r="I40" s="19">
        <f>ROUNDUP(H40/30,0)</f>
        <v/>
      </c>
      <c r="J40" s="53">
        <f>EDATE(C40,I40)</f>
        <v/>
      </c>
      <c r="K40" s="52">
        <f>G40</f>
        <v/>
      </c>
      <c r="L40" s="16" t="inlineStr">
        <is>
          <t>Pago final público &lt;10M</t>
        </is>
      </c>
      <c r="M40" s="16" t="inlineStr"/>
    </row>
    <row r="41">
      <c r="A41" s="16" t="inlineStr">
        <is>
          <t>PRJ-023</t>
        </is>
      </c>
      <c r="B41" s="18" t="n">
        <v>1</v>
      </c>
      <c r="C41" s="51" t="n">
        <v>46053</v>
      </c>
      <c r="D41" s="43" t="n">
        <v>1</v>
      </c>
      <c r="E41" s="52">
        <f>D41*VLOOKUP(A41,04_PROYECTOS!$A:$N,5,FALSE)*MULT_PRECIO*INDEX(02B_ESCENARIOS!$B$15:$D$19, MATCH(VLOOKUP(A41,04_PROYECTOS!$A:$N,9,FALSE), 02B_ESCENARIOS!$A$15:$A$19, 0), MATCH(ESCENARIO, 02B_ESCENARIOS!$B$14:$D$14, 0))</f>
        <v/>
      </c>
      <c r="F41" s="52">
        <f>E41*VLOOKUP(A41,04_PROYECTOS!$A:$N,6,FALSE)</f>
        <v/>
      </c>
      <c r="G41" s="52">
        <f>E41+F41</f>
        <v/>
      </c>
      <c r="H41" s="19">
        <f>VLOOKUP(A41,04_PROYECTOS!$A:$N,11,FALSE)</f>
        <v/>
      </c>
      <c r="I41" s="19">
        <f>ROUNDUP(H41/30,0)</f>
        <v/>
      </c>
      <c r="J41" s="53">
        <f>EDATE(C41,I41)</f>
        <v/>
      </c>
      <c r="K41" s="52">
        <f>G41</f>
        <v/>
      </c>
      <c r="L41" s="16" t="inlineStr">
        <is>
          <t>Pago final público &lt;10M</t>
        </is>
      </c>
      <c r="M41" s="16" t="inlineStr"/>
    </row>
    <row r="42">
      <c r="A42" s="16" t="inlineStr">
        <is>
          <t>PRJ-024</t>
        </is>
      </c>
      <c r="B42" s="18" t="n">
        <v>1</v>
      </c>
      <c r="C42" s="51" t="n">
        <v>46112</v>
      </c>
      <c r="D42" s="43" t="n">
        <v>0.5</v>
      </c>
      <c r="E42" s="52">
        <f>D42*VLOOKUP(A42,04_PROYECTOS!$A:$N,5,FALSE)*MULT_PRECIO*INDEX(02B_ESCENARIOS!$B$15:$D$19, MATCH(VLOOKUP(A42,04_PROYECTOS!$A:$N,9,FALSE), 02B_ESCENARIOS!$A$15:$A$19, 0), MATCH(ESCENARIO, 02B_ESCENARIOS!$B$14:$D$14, 0))</f>
        <v/>
      </c>
      <c r="F42" s="52">
        <f>E42*VLOOKUP(A42,04_PROYECTOS!$A:$N,6,FALSE)</f>
        <v/>
      </c>
      <c r="G42" s="52">
        <f>E42+F42</f>
        <v/>
      </c>
      <c r="H42" s="19">
        <f>VLOOKUP(A42,04_PROYECTOS!$A:$N,11,FALSE)</f>
        <v/>
      </c>
      <c r="I42" s="19">
        <f>ROUNDUP(H42/30,0)</f>
        <v/>
      </c>
      <c r="J42" s="53">
        <f>EDATE(C42,I42)</f>
        <v/>
      </c>
      <c r="K42" s="52">
        <f>G42</f>
        <v/>
      </c>
      <c r="L42" s="16" t="inlineStr">
        <is>
          <t>Inicio 50%</t>
        </is>
      </c>
      <c r="M42" s="16" t="inlineStr"/>
    </row>
    <row r="43">
      <c r="A43" s="16" t="inlineStr">
        <is>
          <t>PRJ-024</t>
        </is>
      </c>
      <c r="B43" s="18" t="n">
        <v>2</v>
      </c>
      <c r="C43" s="51" t="n">
        <v>46112</v>
      </c>
      <c r="D43" s="43" t="n">
        <v>0.5</v>
      </c>
      <c r="E43" s="52">
        <f>D43*VLOOKUP(A43,04_PROYECTOS!$A:$N,5,FALSE)*MULT_PRECIO*INDEX(02B_ESCENARIOS!$B$15:$D$19, MATCH(VLOOKUP(A43,04_PROYECTOS!$A:$N,9,FALSE), 02B_ESCENARIOS!$A$15:$A$19, 0), MATCH(ESCENARIO, 02B_ESCENARIOS!$B$14:$D$14, 0))</f>
        <v/>
      </c>
      <c r="F43" s="52">
        <f>E43*VLOOKUP(A43,04_PROYECTOS!$A:$N,6,FALSE)</f>
        <v/>
      </c>
      <c r="G43" s="52">
        <f>E43+F43</f>
        <v/>
      </c>
      <c r="H43" s="19">
        <f>VLOOKUP(A43,04_PROYECTOS!$A:$N,11,FALSE)</f>
        <v/>
      </c>
      <c r="I43" s="19">
        <f>ROUNDUP(H43/30,0)</f>
        <v/>
      </c>
      <c r="J43" s="53">
        <f>EDATE(C43,I43)</f>
        <v/>
      </c>
      <c r="K43" s="52">
        <f>G43</f>
        <v/>
      </c>
      <c r="L43" s="16" t="inlineStr">
        <is>
          <t>Final 50%</t>
        </is>
      </c>
      <c r="M43" s="16" t="inlineStr"/>
    </row>
    <row r="44">
      <c r="A44" s="16" t="inlineStr">
        <is>
          <t>PRJ-025</t>
        </is>
      </c>
      <c r="B44" s="18" t="n">
        <v>1</v>
      </c>
      <c r="C44" s="51" t="n">
        <v>46173</v>
      </c>
      <c r="D44" s="43" t="n">
        <v>0.5</v>
      </c>
      <c r="E44" s="52">
        <f>D44*VLOOKUP(A44,04_PROYECTOS!$A:$N,5,FALSE)*MULT_PRECIO*INDEX(02B_ESCENARIOS!$B$15:$D$19, MATCH(VLOOKUP(A44,04_PROYECTOS!$A:$N,9,FALSE), 02B_ESCENARIOS!$A$15:$A$19, 0), MATCH(ESCENARIO, 02B_ESCENARIOS!$B$14:$D$14, 0))</f>
        <v/>
      </c>
      <c r="F44" s="52">
        <f>E44*VLOOKUP(A44,04_PROYECTOS!$A:$N,6,FALSE)</f>
        <v/>
      </c>
      <c r="G44" s="52">
        <f>E44+F44</f>
        <v/>
      </c>
      <c r="H44" s="19">
        <f>VLOOKUP(A44,04_PROYECTOS!$A:$N,11,FALSE)</f>
        <v/>
      </c>
      <c r="I44" s="19">
        <f>ROUNDUP(H44/30,0)</f>
        <v/>
      </c>
      <c r="J44" s="53">
        <f>EDATE(C44,I44)</f>
        <v/>
      </c>
      <c r="K44" s="52">
        <f>G44</f>
        <v/>
      </c>
      <c r="L44" s="16" t="inlineStr">
        <is>
          <t>Inicio 50%</t>
        </is>
      </c>
      <c r="M44" s="16" t="inlineStr"/>
    </row>
    <row r="45">
      <c r="A45" s="16" t="inlineStr">
        <is>
          <t>PRJ-025</t>
        </is>
      </c>
      <c r="B45" s="18" t="n">
        <v>2</v>
      </c>
      <c r="C45" s="51" t="n">
        <v>46173</v>
      </c>
      <c r="D45" s="43" t="n">
        <v>0.5</v>
      </c>
      <c r="E45" s="52">
        <f>D45*VLOOKUP(A45,04_PROYECTOS!$A:$N,5,FALSE)*MULT_PRECIO*INDEX(02B_ESCENARIOS!$B$15:$D$19, MATCH(VLOOKUP(A45,04_PROYECTOS!$A:$N,9,FALSE), 02B_ESCENARIOS!$A$15:$A$19, 0), MATCH(ESCENARIO, 02B_ESCENARIOS!$B$14:$D$14, 0))</f>
        <v/>
      </c>
      <c r="F45" s="52">
        <f>E45*VLOOKUP(A45,04_PROYECTOS!$A:$N,6,FALSE)</f>
        <v/>
      </c>
      <c r="G45" s="52">
        <f>E45+F45</f>
        <v/>
      </c>
      <c r="H45" s="19">
        <f>VLOOKUP(A45,04_PROYECTOS!$A:$N,11,FALSE)</f>
        <v/>
      </c>
      <c r="I45" s="19">
        <f>ROUNDUP(H45/30,0)</f>
        <v/>
      </c>
      <c r="J45" s="53">
        <f>EDATE(C45,I45)</f>
        <v/>
      </c>
      <c r="K45" s="52">
        <f>G45</f>
        <v/>
      </c>
      <c r="L45" s="16" t="inlineStr">
        <is>
          <t>Final 50%</t>
        </is>
      </c>
      <c r="M45" s="16" t="inlineStr"/>
    </row>
  </sheetData>
  <mergeCells count="1">
    <mergeCell ref="A1:M1"/>
  </mergeCells>
  <dataValidations count="2">
    <dataValidation sqref="A4:A45" showDropDown="0" showInputMessage="0" showErrorMessage="0" allowBlank="0" type="list">
      <formula1>=04_PROYECTOS!$A$4:$A$28</formula1>
    </dataValidation>
    <dataValidation sqref="D4:D45" showDropDown="0" showInputMessage="0" showErrorMessage="0" allowBlank="0" type="decimal" operator="between">
      <formula1>0</formula1>
      <formula2>1</formula2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4" customWidth="1" min="4" max="4"/>
    <col width="30" customWidth="1" min="5" max="5"/>
    <col width="10" customWidth="1" min="6" max="6"/>
    <col width="10" customWidth="1" min="7" max="7"/>
    <col width="12" customWidth="1" min="8" max="8"/>
  </cols>
  <sheetData>
    <row r="1">
      <c r="A1" s="7" t="inlineStr">
        <is>
          <t>GENERADOR DE HITOS (Sugeridos) — copiar/pegar valores a 04B_HITOS</t>
        </is>
      </c>
    </row>
    <row r="3">
      <c r="A3" s="24" t="inlineStr">
        <is>
          <t>Proyecto_ID (selección):</t>
        </is>
      </c>
      <c r="B3" s="25" t="n"/>
    </row>
    <row r="5">
      <c r="A5" s="9" t="inlineStr">
        <is>
          <t>Nombre</t>
        </is>
      </c>
      <c r="B5" s="26">
        <f>IFERROR(VLOOKUP($B$3,04_PROYECTOS!$A:$N,2,FALSE),"")</f>
        <v/>
      </c>
      <c r="D5" s="14" t="inlineStr">
        <is>
          <t>Meses_entre_inicio_fin</t>
        </is>
      </c>
      <c r="E5" s="27">
        <f>IF(AND(ISNUMBER($B$10),ISNUMBER($B$11)),DATEDIF($B$10,$B$11,"m"),0)</f>
        <v/>
      </c>
    </row>
    <row r="6">
      <c r="A6" s="9" t="inlineStr">
        <is>
          <t>Cliente</t>
        </is>
      </c>
      <c r="B6" s="26">
        <f>IFERROR(VLOOKUP($B$3,04_PROYECTOS!$A:$N,3,FALSE),"")</f>
        <v/>
      </c>
      <c r="D6" s="14" t="inlineStr">
        <is>
          <t>Mes_medio (aprox)</t>
        </is>
      </c>
      <c r="E6" s="54">
        <f>IF(AND(ISNUMBER($B$10),ISNUMBER($B$11)),EDATE($B$10,ROUNDUP($E$5/2,0)),"")</f>
        <v/>
      </c>
    </row>
    <row r="7">
      <c r="A7" s="9" t="inlineStr">
        <is>
          <t>Tipo_cliente</t>
        </is>
      </c>
      <c r="B7" s="26">
        <f>IFERROR(VLOOKUP($B$3,04_PROYECTOS!$A:$N,4,FALSE),"")</f>
        <v/>
      </c>
    </row>
    <row r="8">
      <c r="A8" s="9" t="inlineStr">
        <is>
          <t>Monto_neto</t>
        </is>
      </c>
      <c r="B8" s="52">
        <f>IFERROR(VLOOKUP($B$3,04_PROYECTOS!$A:$N,5,FALSE),0)</f>
        <v/>
      </c>
    </row>
    <row r="9">
      <c r="A9" s="9" t="inlineStr">
        <is>
          <t>IVA_tasa</t>
        </is>
      </c>
      <c r="B9" s="55">
        <f>IFERROR(VLOOKUP($B$3,04_PROYECTOS!$A:$N,6,FALSE),TASA_IVA)</f>
        <v/>
      </c>
    </row>
    <row r="10">
      <c r="A10" s="9" t="inlineStr">
        <is>
          <t>Mes_inicio</t>
        </is>
      </c>
      <c r="B10" s="53">
        <f>IFERROR(VLOOKUP($B$3,04_PROYECTOS!$A:$N,7,FALSE),"")</f>
        <v/>
      </c>
    </row>
    <row r="11">
      <c r="A11" s="9" t="inlineStr">
        <is>
          <t>Mes_fin</t>
        </is>
      </c>
      <c r="B11" s="53">
        <f>IFERROR(VLOOKUP($B$3,04_PROYECTOS!$A:$N,8,FALSE),"")</f>
        <v/>
      </c>
    </row>
    <row r="12">
      <c r="A12" s="9" t="inlineStr">
        <is>
          <t>DSO_dias</t>
        </is>
      </c>
      <c r="B12" s="19">
        <f>IFERROR(VLOOKUP($B$3,04_PROYECTOS!$A:$N,11,FALSE),0)</f>
        <v/>
      </c>
    </row>
    <row r="14">
      <c r="A14" s="30" t="inlineStr">
        <is>
          <t>Sugeridos (copiar columnas A:E y pegar como valores en 04B_HITOS)</t>
        </is>
      </c>
    </row>
    <row r="16">
      <c r="A16" s="8" t="inlineStr">
        <is>
          <t>Proyecto_ID</t>
        </is>
      </c>
      <c r="B16" s="8" t="inlineStr">
        <is>
          <t>Hito_n</t>
        </is>
      </c>
      <c r="C16" s="8" t="inlineStr">
        <is>
          <t>Mes_facturacion</t>
        </is>
      </c>
      <c r="D16" s="8" t="inlineStr">
        <is>
          <t>Pct_facturacion</t>
        </is>
      </c>
      <c r="E16" s="8" t="inlineStr">
        <is>
          <t>Glosa</t>
        </is>
      </c>
      <c r="F16" s="8" t="inlineStr">
        <is>
          <t>DSO_dias</t>
        </is>
      </c>
      <c r="G16" s="8" t="inlineStr">
        <is>
          <t>Shift_meses</t>
        </is>
      </c>
      <c r="H16" s="8" t="inlineStr">
        <is>
          <t>Mes_cobro</t>
        </is>
      </c>
    </row>
    <row r="17">
      <c r="A17" s="16">
        <f>$B$3</f>
        <v/>
      </c>
      <c r="B17" s="18" t="n">
        <v>1</v>
      </c>
      <c r="C17" s="51">
        <f>IF($B$7="Privado",$B$10,IF($B$7="Publico_&lt;10M",$B$11,IF($B$7="Publico_&gt;=10M",$B$10,"")))</f>
        <v/>
      </c>
      <c r="D17" s="43">
        <f>IF($B$7="Privado",0.5,IF($B$7="Publico_&lt;10M",1,IF($B$7="Publico_&gt;=10M",0.3,"")))</f>
        <v/>
      </c>
      <c r="E17" s="16">
        <f>IF($B$7="Privado","Inicio 50%",IF($B$7="Publico_&lt;10M","Pago final público &lt;10M",IF($B$7="Publico_&gt;=10M","Avance 30%","")))</f>
        <v/>
      </c>
      <c r="F17" s="19">
        <f>$B$12</f>
        <v/>
      </c>
      <c r="G17" s="19">
        <f>ROUNDUP(F17/30,0)</f>
        <v/>
      </c>
      <c r="H17" s="53">
        <f>IF(ISNUMBER(C17),EDATE(C17,G17),"")</f>
        <v/>
      </c>
    </row>
    <row r="18">
      <c r="A18" s="16">
        <f>$B$3</f>
        <v/>
      </c>
      <c r="B18" s="18" t="n">
        <v>2</v>
      </c>
      <c r="C18" s="51">
        <f>IF($B$7="Privado",$B$11,IF($B$7="Publico_&gt;=10M",$E$6,""))</f>
        <v/>
      </c>
      <c r="D18" s="43">
        <f>IF($B$7="Privado",0.5,IF($B$7="Publico_&gt;=10M",0.4,""))</f>
        <v/>
      </c>
      <c r="E18" s="16">
        <f>IF($B$7="Privado","Final 50%",IF($B$7="Publico_&gt;=10M","Avance 40% (revisar)",""))</f>
        <v/>
      </c>
      <c r="F18" s="19">
        <f>$B$12</f>
        <v/>
      </c>
      <c r="G18" s="19">
        <f>ROUNDUP(F18/30,0)</f>
        <v/>
      </c>
      <c r="H18" s="53">
        <f>IF(ISNUMBER(C18),EDATE(C18,G18),"")</f>
        <v/>
      </c>
    </row>
    <row r="19">
      <c r="A19" s="16">
        <f>$B$3</f>
        <v/>
      </c>
      <c r="B19" s="18" t="n">
        <v>3</v>
      </c>
      <c r="C19" s="51">
        <f>IF($B$7="Publico_&gt;=10M",$B$11,"")</f>
        <v/>
      </c>
      <c r="D19" s="43">
        <f>IF($B$7="Publico_&gt;=10M",0.3,"")</f>
        <v/>
      </c>
      <c r="E19" s="16">
        <f>IF($B$7="Publico_&gt;=10M","Final 30%","")</f>
        <v/>
      </c>
      <c r="F19" s="19">
        <f>$B$12</f>
        <v/>
      </c>
      <c r="G19" s="19">
        <f>ROUNDUP(F19/30,0)</f>
        <v/>
      </c>
      <c r="H19" s="53">
        <f>IF(ISNUMBER(C19),EDATE(C19,G19),"")</f>
        <v/>
      </c>
    </row>
    <row r="20">
      <c r="A20" s="16">
        <f>$B$3</f>
        <v/>
      </c>
      <c r="B20" s="18" t="n">
        <v>4</v>
      </c>
      <c r="C20" s="51" t="inlineStr"/>
      <c r="D20" s="43" t="inlineStr"/>
      <c r="E20" s="16" t="inlineStr"/>
      <c r="F20" s="19">
        <f>$B$12</f>
        <v/>
      </c>
      <c r="G20" s="19">
        <f>ROUNDUP(F20/30,0)</f>
        <v/>
      </c>
      <c r="H20" s="53">
        <f>IF(ISNUMBER(C20),EDATE(C20,G20),"")</f>
        <v/>
      </c>
    </row>
    <row r="21">
      <c r="A21" s="16">
        <f>$B$3</f>
        <v/>
      </c>
      <c r="B21" s="18" t="n">
        <v>5</v>
      </c>
      <c r="C21" s="51" t="inlineStr"/>
      <c r="D21" s="43" t="inlineStr"/>
      <c r="E21" s="16" t="inlineStr"/>
      <c r="F21" s="19">
        <f>$B$12</f>
        <v/>
      </c>
      <c r="G21" s="19">
        <f>ROUNDUP(F21/30,0)</f>
        <v/>
      </c>
      <c r="H21" s="53">
        <f>IF(ISNUMBER(C21),EDATE(C21,G21),"")</f>
        <v/>
      </c>
    </row>
  </sheetData>
  <mergeCells count="1">
    <mergeCell ref="A1:H1"/>
  </mergeCells>
  <dataValidations count="1">
    <dataValidation sqref="B3" showDropDown="0" showInputMessage="0" showErrorMessage="0" allowBlank="1" type="list">
      <formula1>=04_PROYECTOS!$A$4:$A$28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4" customWidth="1" min="11" max="11"/>
    <col width="12" customWidth="1" min="12" max="12"/>
    <col width="14" customWidth="1" min="13" max="13"/>
    <col width="16" customWidth="1" min="14" max="14"/>
    <col width="40" customWidth="1" min="15" max="15"/>
  </cols>
  <sheetData>
    <row r="1">
      <c r="A1" s="7" t="inlineStr">
        <is>
          <t>PERSONAS (Inputs)</t>
        </is>
      </c>
    </row>
    <row r="3">
      <c r="A3" s="8" t="inlineStr">
        <is>
          <t>Persona_ID</t>
        </is>
      </c>
      <c r="B3" s="8" t="inlineStr">
        <is>
          <t>Nombre</t>
        </is>
      </c>
      <c r="C3" s="8" t="inlineStr">
        <is>
          <t>Rol</t>
        </is>
      </c>
      <c r="D3" s="8" t="inlineStr">
        <is>
          <t>Tipo_vinculo</t>
        </is>
      </c>
      <c r="E3" s="8" t="inlineStr">
        <is>
          <t>Monto_base_mensual</t>
        </is>
      </c>
      <c r="F3" s="8" t="inlineStr">
        <is>
          <t>Previred_pct</t>
        </is>
      </c>
      <c r="G3" s="8" t="inlineStr">
        <is>
          <t>Mes_inicio</t>
        </is>
      </c>
      <c r="H3" s="8" t="inlineStr">
        <is>
          <t>Mes_fin</t>
        </is>
      </c>
      <c r="I3" s="8" t="inlineStr">
        <is>
          <t>Reajuste_pct_anual</t>
        </is>
      </c>
      <c r="J3" s="8" t="inlineStr">
        <is>
          <t>Bono_mes_1</t>
        </is>
      </c>
      <c r="K3" s="8" t="inlineStr">
        <is>
          <t>Monto_bono_1</t>
        </is>
      </c>
      <c r="L3" s="8" t="inlineStr">
        <is>
          <t>Bono_mes_2</t>
        </is>
      </c>
      <c r="M3" s="8" t="inlineStr">
        <is>
          <t>Monto_bono_2</t>
        </is>
      </c>
      <c r="N3" s="8" t="inlineStr">
        <is>
          <t>Centro_costo</t>
        </is>
      </c>
      <c r="O3" s="8" t="inlineStr">
        <is>
          <t>Notas</t>
        </is>
      </c>
    </row>
    <row r="4">
      <c r="A4" s="16" t="inlineStr">
        <is>
          <t>PER-001</t>
        </is>
      </c>
      <c r="B4" s="16" t="inlineStr">
        <is>
          <t>Equipo contrato (sueldo imponible)</t>
        </is>
      </c>
      <c r="C4" s="16" t="inlineStr">
        <is>
          <t>Equipo</t>
        </is>
      </c>
      <c r="D4" s="16" t="inlineStr">
        <is>
          <t>Contrato</t>
        </is>
      </c>
      <c r="E4" s="44" t="n">
        <v>5400000</v>
      </c>
      <c r="F4" s="43" t="n">
        <v>0.3519</v>
      </c>
      <c r="G4" s="51" t="n">
        <v>46053</v>
      </c>
      <c r="H4" s="51" t="n">
        <v>46387</v>
      </c>
      <c r="I4" s="43" t="n">
        <v>0</v>
      </c>
      <c r="J4" s="51" t="n">
        <v>46053</v>
      </c>
      <c r="K4" s="44" t="n">
        <v>2505000</v>
      </c>
      <c r="L4" s="51" t="n"/>
      <c r="M4" s="44" t="n">
        <v>0</v>
      </c>
      <c r="N4" s="16" t="inlineStr">
        <is>
          <t>Operaciones</t>
        </is>
      </c>
      <c r="O4" s="16" t="inlineStr">
        <is>
          <t>Importado: en enero hay componente adicional (base+bono). Revisar estructura real.</t>
        </is>
      </c>
    </row>
    <row r="5">
      <c r="A5" s="16" t="inlineStr">
        <is>
          <t>PER-002</t>
        </is>
      </c>
      <c r="B5" s="16" t="inlineStr">
        <is>
          <t>Felipe Cornejo</t>
        </is>
      </c>
      <c r="C5" s="16" t="inlineStr">
        <is>
          <t>Honorarios</t>
        </is>
      </c>
      <c r="D5" s="16" t="inlineStr">
        <is>
          <t>Honorarios</t>
        </is>
      </c>
      <c r="E5" s="44" t="n">
        <v>1641527</v>
      </c>
      <c r="F5" s="43" t="n">
        <v>0</v>
      </c>
      <c r="G5" s="51" t="n">
        <v>46053</v>
      </c>
      <c r="H5" s="51" t="n">
        <v>46387</v>
      </c>
      <c r="I5" s="43" t="n">
        <v>0</v>
      </c>
      <c r="J5" s="51" t="n">
        <v>46112</v>
      </c>
      <c r="K5" s="44" t="n">
        <v>1641527</v>
      </c>
      <c r="L5" s="51" t="n"/>
      <c r="M5" s="44" t="n">
        <v>0</v>
      </c>
      <c r="N5" s="16" t="inlineStr">
        <is>
          <t>Admin</t>
        </is>
      </c>
      <c r="O5" s="16" t="inlineStr">
        <is>
          <t>Importado: marzo muestra doble boleta (bono). Revisar.</t>
        </is>
      </c>
    </row>
    <row r="6">
      <c r="A6" s="16" t="inlineStr">
        <is>
          <t>PER-003</t>
        </is>
      </c>
      <c r="B6" s="16" t="inlineStr">
        <is>
          <t>Sebastián Aris</t>
        </is>
      </c>
      <c r="C6" s="16" t="inlineStr">
        <is>
          <t>Honorarios</t>
        </is>
      </c>
      <c r="D6" s="16" t="inlineStr">
        <is>
          <t>Honorarios</t>
        </is>
      </c>
      <c r="E6" s="44" t="n">
        <v>702532</v>
      </c>
      <c r="F6" s="43" t="n">
        <v>0</v>
      </c>
      <c r="G6" s="51" t="n">
        <v>46053</v>
      </c>
      <c r="H6" s="51" t="n">
        <v>46387</v>
      </c>
      <c r="I6" s="43" t="n">
        <v>0</v>
      </c>
      <c r="J6" s="51" t="n"/>
      <c r="K6" s="44" t="n">
        <v>0</v>
      </c>
      <c r="L6" s="51" t="n"/>
      <c r="M6" s="44" t="n">
        <v>0</v>
      </c>
      <c r="N6" s="16" t="inlineStr">
        <is>
          <t>Operaciones</t>
        </is>
      </c>
      <c r="O6" s="16" t="inlineStr">
        <is>
          <t>Importado.</t>
        </is>
      </c>
    </row>
    <row r="7">
      <c r="A7" s="16" t="inlineStr">
        <is>
          <t>PER-004</t>
        </is>
      </c>
      <c r="B7" s="16" t="inlineStr">
        <is>
          <t>Nicolás Urra</t>
        </is>
      </c>
      <c r="C7" s="16" t="inlineStr">
        <is>
          <t>Honorarios</t>
        </is>
      </c>
      <c r="D7" s="16" t="inlineStr">
        <is>
          <t>Honorarios</t>
        </is>
      </c>
      <c r="E7" s="44" t="n">
        <v>400000</v>
      </c>
      <c r="F7" s="43" t="n">
        <v>0</v>
      </c>
      <c r="G7" s="51" t="n">
        <v>46053</v>
      </c>
      <c r="H7" s="51" t="n">
        <v>46387</v>
      </c>
      <c r="I7" s="43" t="n">
        <v>0</v>
      </c>
      <c r="J7" s="51" t="n"/>
      <c r="K7" s="44" t="n">
        <v>0</v>
      </c>
      <c r="L7" s="51" t="n"/>
      <c r="M7" s="44" t="n">
        <v>0</v>
      </c>
      <c r="N7" s="16" t="inlineStr">
        <is>
          <t>Operaciones</t>
        </is>
      </c>
      <c r="O7" s="16" t="inlineStr">
        <is>
          <t>Importado.</t>
        </is>
      </c>
    </row>
    <row r="8">
      <c r="A8" s="16" t="inlineStr">
        <is>
          <t>PER-005</t>
        </is>
      </c>
      <c r="B8" s="16" t="inlineStr">
        <is>
          <t>Agustina Noguera</t>
        </is>
      </c>
      <c r="C8" s="16" t="inlineStr">
        <is>
          <t>Honorarios</t>
        </is>
      </c>
      <c r="D8" s="16" t="inlineStr">
        <is>
          <t>Honorarios</t>
        </is>
      </c>
      <c r="E8" s="44" t="n">
        <v>1000000</v>
      </c>
      <c r="F8" s="43" t="n">
        <v>0</v>
      </c>
      <c r="G8" s="51" t="n">
        <v>46112</v>
      </c>
      <c r="H8" s="51" t="n">
        <v>46387</v>
      </c>
      <c r="I8" s="43" t="n">
        <v>0</v>
      </c>
      <c r="J8" s="51" t="n"/>
      <c r="K8" s="44" t="n">
        <v>0</v>
      </c>
      <c r="L8" s="51" t="n"/>
      <c r="M8" s="44" t="n">
        <v>0</v>
      </c>
      <c r="N8" s="16" t="inlineStr">
        <is>
          <t>Operaciones</t>
        </is>
      </c>
      <c r="O8" s="16" t="inlineStr">
        <is>
          <t>Importado: inicia en marzo.</t>
        </is>
      </c>
    </row>
    <row r="9">
      <c r="A9" s="16" t="inlineStr">
        <is>
          <t>PER-006</t>
        </is>
      </c>
      <c r="B9" s="16" t="inlineStr">
        <is>
          <t>Bonos/Aguinaldos (equipo)</t>
        </is>
      </c>
      <c r="C9" s="16" t="inlineStr">
        <is>
          <t>Bonos</t>
        </is>
      </c>
      <c r="D9" s="16" t="inlineStr">
        <is>
          <t>Contrato</t>
        </is>
      </c>
      <c r="E9" s="44" t="n">
        <v>0</v>
      </c>
      <c r="F9" s="43" t="n">
        <v>0</v>
      </c>
      <c r="G9" s="51" t="n">
        <v>46053</v>
      </c>
      <c r="H9" s="51" t="n">
        <v>46387</v>
      </c>
      <c r="I9" s="43" t="n">
        <v>0</v>
      </c>
      <c r="J9" s="51" t="n">
        <v>46295</v>
      </c>
      <c r="K9" s="44" t="n">
        <v>300000</v>
      </c>
      <c r="L9" s="51" t="n">
        <v>46387</v>
      </c>
      <c r="M9" s="44" t="n">
        <v>300000</v>
      </c>
      <c r="N9" s="16" t="inlineStr">
        <is>
          <t>Operaciones</t>
        </is>
      </c>
      <c r="O9" s="16" t="inlineStr">
        <is>
          <t>Importado: aguinaldos sep y dic. Revisar asignación real.</t>
        </is>
      </c>
    </row>
  </sheetData>
  <mergeCells count="1">
    <mergeCell ref="A1:O1"/>
  </mergeCells>
  <dataValidations count="1">
    <dataValidation sqref="D4:D9" showDropDown="0" showInputMessage="0" showErrorMessage="0" allowBlank="0" type="list">
      <formula1>"Contrato,Honorarios"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2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7" t="inlineStr">
        <is>
          <t>PERSONAS — PLAN MENSUAL (Calculado)</t>
        </is>
      </c>
    </row>
    <row r="3">
      <c r="A3" s="8" t="inlineStr">
        <is>
          <t>Persona_ID</t>
        </is>
      </c>
      <c r="B3" s="8" t="inlineStr">
        <is>
          <t>Tipo_linea</t>
        </is>
      </c>
      <c r="C3" s="8" t="inlineStr">
        <is>
          <t>Nombre</t>
        </is>
      </c>
      <c r="D3" s="31" t="n">
        <v>46053</v>
      </c>
      <c r="E3" s="31" t="n">
        <v>46081</v>
      </c>
      <c r="F3" s="31" t="n">
        <v>46112</v>
      </c>
      <c r="G3" s="31" t="n">
        <v>46142</v>
      </c>
      <c r="H3" s="31" t="n">
        <v>46173</v>
      </c>
      <c r="I3" s="31" t="n">
        <v>46203</v>
      </c>
      <c r="J3" s="31" t="n">
        <v>46234</v>
      </c>
      <c r="K3" s="31" t="n">
        <v>46265</v>
      </c>
      <c r="L3" s="31" t="n">
        <v>46295</v>
      </c>
      <c r="M3" s="31" t="n">
        <v>46326</v>
      </c>
      <c r="N3" s="31" t="n">
        <v>46356</v>
      </c>
      <c r="O3" s="31" t="n">
        <v>46387</v>
      </c>
      <c r="P3" s="8" t="inlineStr">
        <is>
          <t>Total_Año</t>
        </is>
      </c>
    </row>
    <row r="4">
      <c r="A4" s="32" t="inlineStr">
        <is>
          <t>PER-001</t>
        </is>
      </c>
      <c r="B4" s="32" t="inlineStr">
        <is>
          <t>PAGO</t>
        </is>
      </c>
      <c r="C4" s="32" t="inlineStr">
        <is>
          <t>Equipo contrato (sueldo imponible)</t>
        </is>
      </c>
      <c r="D4" s="56">
        <f>IF(AND(D$3&gt;=VLOOKUP($A4,05_PERSONAS!$A:$O,7,FALSE),D$3&lt;=VLOOKUP($A4,05_PERSONAS!$A:$O,8,FALSE)),-VLOOKUP($A4,05_PERSONAS!$A:$O,5,FALSE),0)+IF(D$3=VLOOKUP($A4,05_PERSONAS!$A:$O,10,FALSE),-VLOOKUP($A4,05_PERSONAS!$A:$O,11,FALSE),0)+IF(D$3=VLOOKUP($A4,05_PERSONAS!$A:$O,12,FALSE),-VLOOKUP($A4,05_PERSONAS!$A:$O,13,FALSE),0)</f>
        <v/>
      </c>
      <c r="E4" s="56">
        <f>IF(AND(E$3&gt;=VLOOKUP($A4,05_PERSONAS!$A:$O,7,FALSE),E$3&lt;=VLOOKUP($A4,05_PERSONAS!$A:$O,8,FALSE)),-VLOOKUP($A4,05_PERSONAS!$A:$O,5,FALSE),0)+IF(E$3=VLOOKUP($A4,05_PERSONAS!$A:$O,10,FALSE),-VLOOKUP($A4,05_PERSONAS!$A:$O,11,FALSE),0)+IF(E$3=VLOOKUP($A4,05_PERSONAS!$A:$O,12,FALSE),-VLOOKUP($A4,05_PERSONAS!$A:$O,13,FALSE),0)</f>
        <v/>
      </c>
      <c r="F4" s="56">
        <f>IF(AND(F$3&gt;=VLOOKUP($A4,05_PERSONAS!$A:$O,7,FALSE),F$3&lt;=VLOOKUP($A4,05_PERSONAS!$A:$O,8,FALSE)),-VLOOKUP($A4,05_PERSONAS!$A:$O,5,FALSE),0)+IF(F$3=VLOOKUP($A4,05_PERSONAS!$A:$O,10,FALSE),-VLOOKUP($A4,05_PERSONAS!$A:$O,11,FALSE),0)+IF(F$3=VLOOKUP($A4,05_PERSONAS!$A:$O,12,FALSE),-VLOOKUP($A4,05_PERSONAS!$A:$O,13,FALSE),0)</f>
        <v/>
      </c>
      <c r="G4" s="56">
        <f>IF(AND(G$3&gt;=VLOOKUP($A4,05_PERSONAS!$A:$O,7,FALSE),G$3&lt;=VLOOKUP($A4,05_PERSONAS!$A:$O,8,FALSE)),-VLOOKUP($A4,05_PERSONAS!$A:$O,5,FALSE),0)+IF(G$3=VLOOKUP($A4,05_PERSONAS!$A:$O,10,FALSE),-VLOOKUP($A4,05_PERSONAS!$A:$O,11,FALSE),0)+IF(G$3=VLOOKUP($A4,05_PERSONAS!$A:$O,12,FALSE),-VLOOKUP($A4,05_PERSONAS!$A:$O,13,FALSE),0)</f>
        <v/>
      </c>
      <c r="H4" s="56">
        <f>IF(AND(H$3&gt;=VLOOKUP($A4,05_PERSONAS!$A:$O,7,FALSE),H$3&lt;=VLOOKUP($A4,05_PERSONAS!$A:$O,8,FALSE)),-VLOOKUP($A4,05_PERSONAS!$A:$O,5,FALSE),0)+IF(H$3=VLOOKUP($A4,05_PERSONAS!$A:$O,10,FALSE),-VLOOKUP($A4,05_PERSONAS!$A:$O,11,FALSE),0)+IF(H$3=VLOOKUP($A4,05_PERSONAS!$A:$O,12,FALSE),-VLOOKUP($A4,05_PERSONAS!$A:$O,13,FALSE),0)</f>
        <v/>
      </c>
      <c r="I4" s="56">
        <f>IF(AND(I$3&gt;=VLOOKUP($A4,05_PERSONAS!$A:$O,7,FALSE),I$3&lt;=VLOOKUP($A4,05_PERSONAS!$A:$O,8,FALSE)),-VLOOKUP($A4,05_PERSONAS!$A:$O,5,FALSE),0)+IF(I$3=VLOOKUP($A4,05_PERSONAS!$A:$O,10,FALSE),-VLOOKUP($A4,05_PERSONAS!$A:$O,11,FALSE),0)+IF(I$3=VLOOKUP($A4,05_PERSONAS!$A:$O,12,FALSE),-VLOOKUP($A4,05_PERSONAS!$A:$O,13,FALSE),0)</f>
        <v/>
      </c>
      <c r="J4" s="56">
        <f>IF(AND(J$3&gt;=VLOOKUP($A4,05_PERSONAS!$A:$O,7,FALSE),J$3&lt;=VLOOKUP($A4,05_PERSONAS!$A:$O,8,FALSE)),-VLOOKUP($A4,05_PERSONAS!$A:$O,5,FALSE),0)+IF(J$3=VLOOKUP($A4,05_PERSONAS!$A:$O,10,FALSE),-VLOOKUP($A4,05_PERSONAS!$A:$O,11,FALSE),0)+IF(J$3=VLOOKUP($A4,05_PERSONAS!$A:$O,12,FALSE),-VLOOKUP($A4,05_PERSONAS!$A:$O,13,FALSE),0)</f>
        <v/>
      </c>
      <c r="K4" s="56">
        <f>IF(AND(K$3&gt;=VLOOKUP($A4,05_PERSONAS!$A:$O,7,FALSE),K$3&lt;=VLOOKUP($A4,05_PERSONAS!$A:$O,8,FALSE)),-VLOOKUP($A4,05_PERSONAS!$A:$O,5,FALSE),0)+IF(K$3=VLOOKUP($A4,05_PERSONAS!$A:$O,10,FALSE),-VLOOKUP($A4,05_PERSONAS!$A:$O,11,FALSE),0)+IF(K$3=VLOOKUP($A4,05_PERSONAS!$A:$O,12,FALSE),-VLOOKUP($A4,05_PERSONAS!$A:$O,13,FALSE),0)</f>
        <v/>
      </c>
      <c r="L4" s="56">
        <f>IF(AND(L$3&gt;=VLOOKUP($A4,05_PERSONAS!$A:$O,7,FALSE),L$3&lt;=VLOOKUP($A4,05_PERSONAS!$A:$O,8,FALSE)),-VLOOKUP($A4,05_PERSONAS!$A:$O,5,FALSE),0)+IF(L$3=VLOOKUP($A4,05_PERSONAS!$A:$O,10,FALSE),-VLOOKUP($A4,05_PERSONAS!$A:$O,11,FALSE),0)+IF(L$3=VLOOKUP($A4,05_PERSONAS!$A:$O,12,FALSE),-VLOOKUP($A4,05_PERSONAS!$A:$O,13,FALSE),0)</f>
        <v/>
      </c>
      <c r="M4" s="56">
        <f>IF(AND(M$3&gt;=VLOOKUP($A4,05_PERSONAS!$A:$O,7,FALSE),M$3&lt;=VLOOKUP($A4,05_PERSONAS!$A:$O,8,FALSE)),-VLOOKUP($A4,05_PERSONAS!$A:$O,5,FALSE),0)+IF(M$3=VLOOKUP($A4,05_PERSONAS!$A:$O,10,FALSE),-VLOOKUP($A4,05_PERSONAS!$A:$O,11,FALSE),0)+IF(M$3=VLOOKUP($A4,05_PERSONAS!$A:$O,12,FALSE),-VLOOKUP($A4,05_PERSONAS!$A:$O,13,FALSE),0)</f>
        <v/>
      </c>
      <c r="N4" s="56">
        <f>IF(AND(N$3&gt;=VLOOKUP($A4,05_PERSONAS!$A:$O,7,FALSE),N$3&lt;=VLOOKUP($A4,05_PERSONAS!$A:$O,8,FALSE)),-VLOOKUP($A4,05_PERSONAS!$A:$O,5,FALSE),0)+IF(N$3=VLOOKUP($A4,05_PERSONAS!$A:$O,10,FALSE),-VLOOKUP($A4,05_PERSONAS!$A:$O,11,FALSE),0)+IF(N$3=VLOOKUP($A4,05_PERSONAS!$A:$O,12,FALSE),-VLOOKUP($A4,05_PERSONAS!$A:$O,13,FALSE),0)</f>
        <v/>
      </c>
      <c r="O4" s="56">
        <f>IF(AND(O$3&gt;=VLOOKUP($A4,05_PERSONAS!$A:$O,7,FALSE),O$3&lt;=VLOOKUP($A4,05_PERSONAS!$A:$O,8,FALSE)),-VLOOKUP($A4,05_PERSONAS!$A:$O,5,FALSE),0)+IF(O$3=VLOOKUP($A4,05_PERSONAS!$A:$O,10,FALSE),-VLOOKUP($A4,05_PERSONAS!$A:$O,11,FALSE),0)+IF(O$3=VLOOKUP($A4,05_PERSONAS!$A:$O,12,FALSE),-VLOOKUP($A4,05_PERSONAS!$A:$O,13,FALSE),0)</f>
        <v/>
      </c>
      <c r="P4" s="56">
        <f>SUM(D4:O4)</f>
        <v/>
      </c>
    </row>
    <row r="5">
      <c r="A5" s="32" t="inlineStr">
        <is>
          <t>PER-001</t>
        </is>
      </c>
      <c r="B5" s="32" t="inlineStr">
        <is>
          <t>PREVIRED</t>
        </is>
      </c>
      <c r="C5" s="32" t="inlineStr">
        <is>
          <t>Equipo contrato (sueldo imponible)</t>
        </is>
      </c>
      <c r="D5" s="56">
        <f>IF(VLOOKUP($A5,05_PERSONAS!$A:$O,4,FALSE)="Contrato",IF(AND(D$3&gt;=VLOOKUP($A5,05_PERSONAS!$A:$O,7,FALSE),D$3&lt;=VLOOKUP($A5,05_PERSONAS!$A:$O,8,FALSE)),-VLOOKUP($A5,05_PERSONAS!$A:$O,5,FALSE),0)*VLOOKUP($A5,05_PERSONAS!$A:$O,6,FALSE),0)</f>
        <v/>
      </c>
      <c r="E5" s="56">
        <f>IF(VLOOKUP($A5,05_PERSONAS!$A:$O,4,FALSE)="Contrato",IF(AND(E$3&gt;=VLOOKUP($A5,05_PERSONAS!$A:$O,7,FALSE),E$3&lt;=VLOOKUP($A5,05_PERSONAS!$A:$O,8,FALSE)),-VLOOKUP($A5,05_PERSONAS!$A:$O,5,FALSE),0)*VLOOKUP($A5,05_PERSONAS!$A:$O,6,FALSE),0)</f>
        <v/>
      </c>
      <c r="F5" s="56">
        <f>IF(VLOOKUP($A5,05_PERSONAS!$A:$O,4,FALSE)="Contrato",IF(AND(F$3&gt;=VLOOKUP($A5,05_PERSONAS!$A:$O,7,FALSE),F$3&lt;=VLOOKUP($A5,05_PERSONAS!$A:$O,8,FALSE)),-VLOOKUP($A5,05_PERSONAS!$A:$O,5,FALSE),0)*VLOOKUP($A5,05_PERSONAS!$A:$O,6,FALSE),0)</f>
        <v/>
      </c>
      <c r="G5" s="56">
        <f>IF(VLOOKUP($A5,05_PERSONAS!$A:$O,4,FALSE)="Contrato",IF(AND(G$3&gt;=VLOOKUP($A5,05_PERSONAS!$A:$O,7,FALSE),G$3&lt;=VLOOKUP($A5,05_PERSONAS!$A:$O,8,FALSE)),-VLOOKUP($A5,05_PERSONAS!$A:$O,5,FALSE),0)*VLOOKUP($A5,05_PERSONAS!$A:$O,6,FALSE),0)</f>
        <v/>
      </c>
      <c r="H5" s="56">
        <f>IF(VLOOKUP($A5,05_PERSONAS!$A:$O,4,FALSE)="Contrato",IF(AND(H$3&gt;=VLOOKUP($A5,05_PERSONAS!$A:$O,7,FALSE),H$3&lt;=VLOOKUP($A5,05_PERSONAS!$A:$O,8,FALSE)),-VLOOKUP($A5,05_PERSONAS!$A:$O,5,FALSE),0)*VLOOKUP($A5,05_PERSONAS!$A:$O,6,FALSE),0)</f>
        <v/>
      </c>
      <c r="I5" s="56">
        <f>IF(VLOOKUP($A5,05_PERSONAS!$A:$O,4,FALSE)="Contrato",IF(AND(I$3&gt;=VLOOKUP($A5,05_PERSONAS!$A:$O,7,FALSE),I$3&lt;=VLOOKUP($A5,05_PERSONAS!$A:$O,8,FALSE)),-VLOOKUP($A5,05_PERSONAS!$A:$O,5,FALSE),0)*VLOOKUP($A5,05_PERSONAS!$A:$O,6,FALSE),0)</f>
        <v/>
      </c>
      <c r="J5" s="56">
        <f>IF(VLOOKUP($A5,05_PERSONAS!$A:$O,4,FALSE)="Contrato",IF(AND(J$3&gt;=VLOOKUP($A5,05_PERSONAS!$A:$O,7,FALSE),J$3&lt;=VLOOKUP($A5,05_PERSONAS!$A:$O,8,FALSE)),-VLOOKUP($A5,05_PERSONAS!$A:$O,5,FALSE),0)*VLOOKUP($A5,05_PERSONAS!$A:$O,6,FALSE),0)</f>
        <v/>
      </c>
      <c r="K5" s="56">
        <f>IF(VLOOKUP($A5,05_PERSONAS!$A:$O,4,FALSE)="Contrato",IF(AND(K$3&gt;=VLOOKUP($A5,05_PERSONAS!$A:$O,7,FALSE),K$3&lt;=VLOOKUP($A5,05_PERSONAS!$A:$O,8,FALSE)),-VLOOKUP($A5,05_PERSONAS!$A:$O,5,FALSE),0)*VLOOKUP($A5,05_PERSONAS!$A:$O,6,FALSE),0)</f>
        <v/>
      </c>
      <c r="L5" s="56">
        <f>IF(VLOOKUP($A5,05_PERSONAS!$A:$O,4,FALSE)="Contrato",IF(AND(L$3&gt;=VLOOKUP($A5,05_PERSONAS!$A:$O,7,FALSE),L$3&lt;=VLOOKUP($A5,05_PERSONAS!$A:$O,8,FALSE)),-VLOOKUP($A5,05_PERSONAS!$A:$O,5,FALSE),0)*VLOOKUP($A5,05_PERSONAS!$A:$O,6,FALSE),0)</f>
        <v/>
      </c>
      <c r="M5" s="56">
        <f>IF(VLOOKUP($A5,05_PERSONAS!$A:$O,4,FALSE)="Contrato",IF(AND(M$3&gt;=VLOOKUP($A5,05_PERSONAS!$A:$O,7,FALSE),M$3&lt;=VLOOKUP($A5,05_PERSONAS!$A:$O,8,FALSE)),-VLOOKUP($A5,05_PERSONAS!$A:$O,5,FALSE),0)*VLOOKUP($A5,05_PERSONAS!$A:$O,6,FALSE),0)</f>
        <v/>
      </c>
      <c r="N5" s="56">
        <f>IF(VLOOKUP($A5,05_PERSONAS!$A:$O,4,FALSE)="Contrato",IF(AND(N$3&gt;=VLOOKUP($A5,05_PERSONAS!$A:$O,7,FALSE),N$3&lt;=VLOOKUP($A5,05_PERSONAS!$A:$O,8,FALSE)),-VLOOKUP($A5,05_PERSONAS!$A:$O,5,FALSE),0)*VLOOKUP($A5,05_PERSONAS!$A:$O,6,FALSE),0)</f>
        <v/>
      </c>
      <c r="O5" s="56">
        <f>IF(VLOOKUP($A5,05_PERSONAS!$A:$O,4,FALSE)="Contrato",IF(AND(O$3&gt;=VLOOKUP($A5,05_PERSONAS!$A:$O,7,FALSE),O$3&lt;=VLOOKUP($A5,05_PERSONAS!$A:$O,8,FALSE)),-VLOOKUP($A5,05_PERSONAS!$A:$O,5,FALSE),0)*VLOOKUP($A5,05_PERSONAS!$A:$O,6,FALSE),0)</f>
        <v/>
      </c>
      <c r="P5" s="56">
        <f>SUM(D5:O5)</f>
        <v/>
      </c>
    </row>
    <row r="6">
      <c r="A6" s="32" t="inlineStr">
        <is>
          <t>PER-002</t>
        </is>
      </c>
      <c r="B6" s="32" t="inlineStr">
        <is>
          <t>PAGO</t>
        </is>
      </c>
      <c r="C6" s="32" t="inlineStr">
        <is>
          <t>Felipe Cornejo</t>
        </is>
      </c>
      <c r="D6" s="56">
        <f>IF(AND(D$3&gt;=VLOOKUP($A6,05_PERSONAS!$A:$O,7,FALSE),D$3&lt;=VLOOKUP($A6,05_PERSONAS!$A:$O,8,FALSE)),-VLOOKUP($A6,05_PERSONAS!$A:$O,5,FALSE),0)+IF(D$3=VLOOKUP($A6,05_PERSONAS!$A:$O,10,FALSE),-VLOOKUP($A6,05_PERSONAS!$A:$O,11,FALSE),0)+IF(D$3=VLOOKUP($A6,05_PERSONAS!$A:$O,12,FALSE),-VLOOKUP($A6,05_PERSONAS!$A:$O,13,FALSE),0)</f>
        <v/>
      </c>
      <c r="E6" s="56">
        <f>IF(AND(E$3&gt;=VLOOKUP($A6,05_PERSONAS!$A:$O,7,FALSE),E$3&lt;=VLOOKUP($A6,05_PERSONAS!$A:$O,8,FALSE)),-VLOOKUP($A6,05_PERSONAS!$A:$O,5,FALSE),0)+IF(E$3=VLOOKUP($A6,05_PERSONAS!$A:$O,10,FALSE),-VLOOKUP($A6,05_PERSONAS!$A:$O,11,FALSE),0)+IF(E$3=VLOOKUP($A6,05_PERSONAS!$A:$O,12,FALSE),-VLOOKUP($A6,05_PERSONAS!$A:$O,13,FALSE),0)</f>
        <v/>
      </c>
      <c r="F6" s="56">
        <f>IF(AND(F$3&gt;=VLOOKUP($A6,05_PERSONAS!$A:$O,7,FALSE),F$3&lt;=VLOOKUP($A6,05_PERSONAS!$A:$O,8,FALSE)),-VLOOKUP($A6,05_PERSONAS!$A:$O,5,FALSE),0)+IF(F$3=VLOOKUP($A6,05_PERSONAS!$A:$O,10,FALSE),-VLOOKUP($A6,05_PERSONAS!$A:$O,11,FALSE),0)+IF(F$3=VLOOKUP($A6,05_PERSONAS!$A:$O,12,FALSE),-VLOOKUP($A6,05_PERSONAS!$A:$O,13,FALSE),0)</f>
        <v/>
      </c>
      <c r="G6" s="56">
        <f>IF(AND(G$3&gt;=VLOOKUP($A6,05_PERSONAS!$A:$O,7,FALSE),G$3&lt;=VLOOKUP($A6,05_PERSONAS!$A:$O,8,FALSE)),-VLOOKUP($A6,05_PERSONAS!$A:$O,5,FALSE),0)+IF(G$3=VLOOKUP($A6,05_PERSONAS!$A:$O,10,FALSE),-VLOOKUP($A6,05_PERSONAS!$A:$O,11,FALSE),0)+IF(G$3=VLOOKUP($A6,05_PERSONAS!$A:$O,12,FALSE),-VLOOKUP($A6,05_PERSONAS!$A:$O,13,FALSE),0)</f>
        <v/>
      </c>
      <c r="H6" s="56">
        <f>IF(AND(H$3&gt;=VLOOKUP($A6,05_PERSONAS!$A:$O,7,FALSE),H$3&lt;=VLOOKUP($A6,05_PERSONAS!$A:$O,8,FALSE)),-VLOOKUP($A6,05_PERSONAS!$A:$O,5,FALSE),0)+IF(H$3=VLOOKUP($A6,05_PERSONAS!$A:$O,10,FALSE),-VLOOKUP($A6,05_PERSONAS!$A:$O,11,FALSE),0)+IF(H$3=VLOOKUP($A6,05_PERSONAS!$A:$O,12,FALSE),-VLOOKUP($A6,05_PERSONAS!$A:$O,13,FALSE),0)</f>
        <v/>
      </c>
      <c r="I6" s="56">
        <f>IF(AND(I$3&gt;=VLOOKUP($A6,05_PERSONAS!$A:$O,7,FALSE),I$3&lt;=VLOOKUP($A6,05_PERSONAS!$A:$O,8,FALSE)),-VLOOKUP($A6,05_PERSONAS!$A:$O,5,FALSE),0)+IF(I$3=VLOOKUP($A6,05_PERSONAS!$A:$O,10,FALSE),-VLOOKUP($A6,05_PERSONAS!$A:$O,11,FALSE),0)+IF(I$3=VLOOKUP($A6,05_PERSONAS!$A:$O,12,FALSE),-VLOOKUP($A6,05_PERSONAS!$A:$O,13,FALSE),0)</f>
        <v/>
      </c>
      <c r="J6" s="56">
        <f>IF(AND(J$3&gt;=VLOOKUP($A6,05_PERSONAS!$A:$O,7,FALSE),J$3&lt;=VLOOKUP($A6,05_PERSONAS!$A:$O,8,FALSE)),-VLOOKUP($A6,05_PERSONAS!$A:$O,5,FALSE),0)+IF(J$3=VLOOKUP($A6,05_PERSONAS!$A:$O,10,FALSE),-VLOOKUP($A6,05_PERSONAS!$A:$O,11,FALSE),0)+IF(J$3=VLOOKUP($A6,05_PERSONAS!$A:$O,12,FALSE),-VLOOKUP($A6,05_PERSONAS!$A:$O,13,FALSE),0)</f>
        <v/>
      </c>
      <c r="K6" s="56">
        <f>IF(AND(K$3&gt;=VLOOKUP($A6,05_PERSONAS!$A:$O,7,FALSE),K$3&lt;=VLOOKUP($A6,05_PERSONAS!$A:$O,8,FALSE)),-VLOOKUP($A6,05_PERSONAS!$A:$O,5,FALSE),0)+IF(K$3=VLOOKUP($A6,05_PERSONAS!$A:$O,10,FALSE),-VLOOKUP($A6,05_PERSONAS!$A:$O,11,FALSE),0)+IF(K$3=VLOOKUP($A6,05_PERSONAS!$A:$O,12,FALSE),-VLOOKUP($A6,05_PERSONAS!$A:$O,13,FALSE),0)</f>
        <v/>
      </c>
      <c r="L6" s="56">
        <f>IF(AND(L$3&gt;=VLOOKUP($A6,05_PERSONAS!$A:$O,7,FALSE),L$3&lt;=VLOOKUP($A6,05_PERSONAS!$A:$O,8,FALSE)),-VLOOKUP($A6,05_PERSONAS!$A:$O,5,FALSE),0)+IF(L$3=VLOOKUP($A6,05_PERSONAS!$A:$O,10,FALSE),-VLOOKUP($A6,05_PERSONAS!$A:$O,11,FALSE),0)+IF(L$3=VLOOKUP($A6,05_PERSONAS!$A:$O,12,FALSE),-VLOOKUP($A6,05_PERSONAS!$A:$O,13,FALSE),0)</f>
        <v/>
      </c>
      <c r="M6" s="56">
        <f>IF(AND(M$3&gt;=VLOOKUP($A6,05_PERSONAS!$A:$O,7,FALSE),M$3&lt;=VLOOKUP($A6,05_PERSONAS!$A:$O,8,FALSE)),-VLOOKUP($A6,05_PERSONAS!$A:$O,5,FALSE),0)+IF(M$3=VLOOKUP($A6,05_PERSONAS!$A:$O,10,FALSE),-VLOOKUP($A6,05_PERSONAS!$A:$O,11,FALSE),0)+IF(M$3=VLOOKUP($A6,05_PERSONAS!$A:$O,12,FALSE),-VLOOKUP($A6,05_PERSONAS!$A:$O,13,FALSE),0)</f>
        <v/>
      </c>
      <c r="N6" s="56">
        <f>IF(AND(N$3&gt;=VLOOKUP($A6,05_PERSONAS!$A:$O,7,FALSE),N$3&lt;=VLOOKUP($A6,05_PERSONAS!$A:$O,8,FALSE)),-VLOOKUP($A6,05_PERSONAS!$A:$O,5,FALSE),0)+IF(N$3=VLOOKUP($A6,05_PERSONAS!$A:$O,10,FALSE),-VLOOKUP($A6,05_PERSONAS!$A:$O,11,FALSE),0)+IF(N$3=VLOOKUP($A6,05_PERSONAS!$A:$O,12,FALSE),-VLOOKUP($A6,05_PERSONAS!$A:$O,13,FALSE),0)</f>
        <v/>
      </c>
      <c r="O6" s="56">
        <f>IF(AND(O$3&gt;=VLOOKUP($A6,05_PERSONAS!$A:$O,7,FALSE),O$3&lt;=VLOOKUP($A6,05_PERSONAS!$A:$O,8,FALSE)),-VLOOKUP($A6,05_PERSONAS!$A:$O,5,FALSE),0)+IF(O$3=VLOOKUP($A6,05_PERSONAS!$A:$O,10,FALSE),-VLOOKUP($A6,05_PERSONAS!$A:$O,11,FALSE),0)+IF(O$3=VLOOKUP($A6,05_PERSONAS!$A:$O,12,FALSE),-VLOOKUP($A6,05_PERSONAS!$A:$O,13,FALSE),0)</f>
        <v/>
      </c>
      <c r="P6" s="56">
        <f>SUM(D6:O6)</f>
        <v/>
      </c>
    </row>
    <row r="7">
      <c r="A7" s="32" t="inlineStr">
        <is>
          <t>PER-003</t>
        </is>
      </c>
      <c r="B7" s="32" t="inlineStr">
        <is>
          <t>PAGO</t>
        </is>
      </c>
      <c r="C7" s="32" t="inlineStr">
        <is>
          <t>Sebastián Aris</t>
        </is>
      </c>
      <c r="D7" s="56">
        <f>IF(AND(D$3&gt;=VLOOKUP($A7,05_PERSONAS!$A:$O,7,FALSE),D$3&lt;=VLOOKUP($A7,05_PERSONAS!$A:$O,8,FALSE)),-VLOOKUP($A7,05_PERSONAS!$A:$O,5,FALSE),0)+IF(D$3=VLOOKUP($A7,05_PERSONAS!$A:$O,10,FALSE),-VLOOKUP($A7,05_PERSONAS!$A:$O,11,FALSE),0)+IF(D$3=VLOOKUP($A7,05_PERSONAS!$A:$O,12,FALSE),-VLOOKUP($A7,05_PERSONAS!$A:$O,13,FALSE),0)</f>
        <v/>
      </c>
      <c r="E7" s="56">
        <f>IF(AND(E$3&gt;=VLOOKUP($A7,05_PERSONAS!$A:$O,7,FALSE),E$3&lt;=VLOOKUP($A7,05_PERSONAS!$A:$O,8,FALSE)),-VLOOKUP($A7,05_PERSONAS!$A:$O,5,FALSE),0)+IF(E$3=VLOOKUP($A7,05_PERSONAS!$A:$O,10,FALSE),-VLOOKUP($A7,05_PERSONAS!$A:$O,11,FALSE),0)+IF(E$3=VLOOKUP($A7,05_PERSONAS!$A:$O,12,FALSE),-VLOOKUP($A7,05_PERSONAS!$A:$O,13,FALSE),0)</f>
        <v/>
      </c>
      <c r="F7" s="56">
        <f>IF(AND(F$3&gt;=VLOOKUP($A7,05_PERSONAS!$A:$O,7,FALSE),F$3&lt;=VLOOKUP($A7,05_PERSONAS!$A:$O,8,FALSE)),-VLOOKUP($A7,05_PERSONAS!$A:$O,5,FALSE),0)+IF(F$3=VLOOKUP($A7,05_PERSONAS!$A:$O,10,FALSE),-VLOOKUP($A7,05_PERSONAS!$A:$O,11,FALSE),0)+IF(F$3=VLOOKUP($A7,05_PERSONAS!$A:$O,12,FALSE),-VLOOKUP($A7,05_PERSONAS!$A:$O,13,FALSE),0)</f>
        <v/>
      </c>
      <c r="G7" s="56">
        <f>IF(AND(G$3&gt;=VLOOKUP($A7,05_PERSONAS!$A:$O,7,FALSE),G$3&lt;=VLOOKUP($A7,05_PERSONAS!$A:$O,8,FALSE)),-VLOOKUP($A7,05_PERSONAS!$A:$O,5,FALSE),0)+IF(G$3=VLOOKUP($A7,05_PERSONAS!$A:$O,10,FALSE),-VLOOKUP($A7,05_PERSONAS!$A:$O,11,FALSE),0)+IF(G$3=VLOOKUP($A7,05_PERSONAS!$A:$O,12,FALSE),-VLOOKUP($A7,05_PERSONAS!$A:$O,13,FALSE),0)</f>
        <v/>
      </c>
      <c r="H7" s="56">
        <f>IF(AND(H$3&gt;=VLOOKUP($A7,05_PERSONAS!$A:$O,7,FALSE),H$3&lt;=VLOOKUP($A7,05_PERSONAS!$A:$O,8,FALSE)),-VLOOKUP($A7,05_PERSONAS!$A:$O,5,FALSE),0)+IF(H$3=VLOOKUP($A7,05_PERSONAS!$A:$O,10,FALSE),-VLOOKUP($A7,05_PERSONAS!$A:$O,11,FALSE),0)+IF(H$3=VLOOKUP($A7,05_PERSONAS!$A:$O,12,FALSE),-VLOOKUP($A7,05_PERSONAS!$A:$O,13,FALSE),0)</f>
        <v/>
      </c>
      <c r="I7" s="56">
        <f>IF(AND(I$3&gt;=VLOOKUP($A7,05_PERSONAS!$A:$O,7,FALSE),I$3&lt;=VLOOKUP($A7,05_PERSONAS!$A:$O,8,FALSE)),-VLOOKUP($A7,05_PERSONAS!$A:$O,5,FALSE),0)+IF(I$3=VLOOKUP($A7,05_PERSONAS!$A:$O,10,FALSE),-VLOOKUP($A7,05_PERSONAS!$A:$O,11,FALSE),0)+IF(I$3=VLOOKUP($A7,05_PERSONAS!$A:$O,12,FALSE),-VLOOKUP($A7,05_PERSONAS!$A:$O,13,FALSE),0)</f>
        <v/>
      </c>
      <c r="J7" s="56">
        <f>IF(AND(J$3&gt;=VLOOKUP($A7,05_PERSONAS!$A:$O,7,FALSE),J$3&lt;=VLOOKUP($A7,05_PERSONAS!$A:$O,8,FALSE)),-VLOOKUP($A7,05_PERSONAS!$A:$O,5,FALSE),0)+IF(J$3=VLOOKUP($A7,05_PERSONAS!$A:$O,10,FALSE),-VLOOKUP($A7,05_PERSONAS!$A:$O,11,FALSE),0)+IF(J$3=VLOOKUP($A7,05_PERSONAS!$A:$O,12,FALSE),-VLOOKUP($A7,05_PERSONAS!$A:$O,13,FALSE),0)</f>
        <v/>
      </c>
      <c r="K7" s="56">
        <f>IF(AND(K$3&gt;=VLOOKUP($A7,05_PERSONAS!$A:$O,7,FALSE),K$3&lt;=VLOOKUP($A7,05_PERSONAS!$A:$O,8,FALSE)),-VLOOKUP($A7,05_PERSONAS!$A:$O,5,FALSE),0)+IF(K$3=VLOOKUP($A7,05_PERSONAS!$A:$O,10,FALSE),-VLOOKUP($A7,05_PERSONAS!$A:$O,11,FALSE),0)+IF(K$3=VLOOKUP($A7,05_PERSONAS!$A:$O,12,FALSE),-VLOOKUP($A7,05_PERSONAS!$A:$O,13,FALSE),0)</f>
        <v/>
      </c>
      <c r="L7" s="56">
        <f>IF(AND(L$3&gt;=VLOOKUP($A7,05_PERSONAS!$A:$O,7,FALSE),L$3&lt;=VLOOKUP($A7,05_PERSONAS!$A:$O,8,FALSE)),-VLOOKUP($A7,05_PERSONAS!$A:$O,5,FALSE),0)+IF(L$3=VLOOKUP($A7,05_PERSONAS!$A:$O,10,FALSE),-VLOOKUP($A7,05_PERSONAS!$A:$O,11,FALSE),0)+IF(L$3=VLOOKUP($A7,05_PERSONAS!$A:$O,12,FALSE),-VLOOKUP($A7,05_PERSONAS!$A:$O,13,FALSE),0)</f>
        <v/>
      </c>
      <c r="M7" s="56">
        <f>IF(AND(M$3&gt;=VLOOKUP($A7,05_PERSONAS!$A:$O,7,FALSE),M$3&lt;=VLOOKUP($A7,05_PERSONAS!$A:$O,8,FALSE)),-VLOOKUP($A7,05_PERSONAS!$A:$O,5,FALSE),0)+IF(M$3=VLOOKUP($A7,05_PERSONAS!$A:$O,10,FALSE),-VLOOKUP($A7,05_PERSONAS!$A:$O,11,FALSE),0)+IF(M$3=VLOOKUP($A7,05_PERSONAS!$A:$O,12,FALSE),-VLOOKUP($A7,05_PERSONAS!$A:$O,13,FALSE),0)</f>
        <v/>
      </c>
      <c r="N7" s="56">
        <f>IF(AND(N$3&gt;=VLOOKUP($A7,05_PERSONAS!$A:$O,7,FALSE),N$3&lt;=VLOOKUP($A7,05_PERSONAS!$A:$O,8,FALSE)),-VLOOKUP($A7,05_PERSONAS!$A:$O,5,FALSE),0)+IF(N$3=VLOOKUP($A7,05_PERSONAS!$A:$O,10,FALSE),-VLOOKUP($A7,05_PERSONAS!$A:$O,11,FALSE),0)+IF(N$3=VLOOKUP($A7,05_PERSONAS!$A:$O,12,FALSE),-VLOOKUP($A7,05_PERSONAS!$A:$O,13,FALSE),0)</f>
        <v/>
      </c>
      <c r="O7" s="56">
        <f>IF(AND(O$3&gt;=VLOOKUP($A7,05_PERSONAS!$A:$O,7,FALSE),O$3&lt;=VLOOKUP($A7,05_PERSONAS!$A:$O,8,FALSE)),-VLOOKUP($A7,05_PERSONAS!$A:$O,5,FALSE),0)+IF(O$3=VLOOKUP($A7,05_PERSONAS!$A:$O,10,FALSE),-VLOOKUP($A7,05_PERSONAS!$A:$O,11,FALSE),0)+IF(O$3=VLOOKUP($A7,05_PERSONAS!$A:$O,12,FALSE),-VLOOKUP($A7,05_PERSONAS!$A:$O,13,FALSE),0)</f>
        <v/>
      </c>
      <c r="P7" s="56">
        <f>SUM(D7:O7)</f>
        <v/>
      </c>
    </row>
    <row r="8">
      <c r="A8" s="32" t="inlineStr">
        <is>
          <t>PER-004</t>
        </is>
      </c>
      <c r="B8" s="32" t="inlineStr">
        <is>
          <t>PAGO</t>
        </is>
      </c>
      <c r="C8" s="32" t="inlineStr">
        <is>
          <t>Nicolás Urra</t>
        </is>
      </c>
      <c r="D8" s="56">
        <f>IF(AND(D$3&gt;=VLOOKUP($A8,05_PERSONAS!$A:$O,7,FALSE),D$3&lt;=VLOOKUP($A8,05_PERSONAS!$A:$O,8,FALSE)),-VLOOKUP($A8,05_PERSONAS!$A:$O,5,FALSE),0)+IF(D$3=VLOOKUP($A8,05_PERSONAS!$A:$O,10,FALSE),-VLOOKUP($A8,05_PERSONAS!$A:$O,11,FALSE),0)+IF(D$3=VLOOKUP($A8,05_PERSONAS!$A:$O,12,FALSE),-VLOOKUP($A8,05_PERSONAS!$A:$O,13,FALSE),0)</f>
        <v/>
      </c>
      <c r="E8" s="56">
        <f>IF(AND(E$3&gt;=VLOOKUP($A8,05_PERSONAS!$A:$O,7,FALSE),E$3&lt;=VLOOKUP($A8,05_PERSONAS!$A:$O,8,FALSE)),-VLOOKUP($A8,05_PERSONAS!$A:$O,5,FALSE),0)+IF(E$3=VLOOKUP($A8,05_PERSONAS!$A:$O,10,FALSE),-VLOOKUP($A8,05_PERSONAS!$A:$O,11,FALSE),0)+IF(E$3=VLOOKUP($A8,05_PERSONAS!$A:$O,12,FALSE),-VLOOKUP($A8,05_PERSONAS!$A:$O,13,FALSE),0)</f>
        <v/>
      </c>
      <c r="F8" s="56">
        <f>IF(AND(F$3&gt;=VLOOKUP($A8,05_PERSONAS!$A:$O,7,FALSE),F$3&lt;=VLOOKUP($A8,05_PERSONAS!$A:$O,8,FALSE)),-VLOOKUP($A8,05_PERSONAS!$A:$O,5,FALSE),0)+IF(F$3=VLOOKUP($A8,05_PERSONAS!$A:$O,10,FALSE),-VLOOKUP($A8,05_PERSONAS!$A:$O,11,FALSE),0)+IF(F$3=VLOOKUP($A8,05_PERSONAS!$A:$O,12,FALSE),-VLOOKUP($A8,05_PERSONAS!$A:$O,13,FALSE),0)</f>
        <v/>
      </c>
      <c r="G8" s="56">
        <f>IF(AND(G$3&gt;=VLOOKUP($A8,05_PERSONAS!$A:$O,7,FALSE),G$3&lt;=VLOOKUP($A8,05_PERSONAS!$A:$O,8,FALSE)),-VLOOKUP($A8,05_PERSONAS!$A:$O,5,FALSE),0)+IF(G$3=VLOOKUP($A8,05_PERSONAS!$A:$O,10,FALSE),-VLOOKUP($A8,05_PERSONAS!$A:$O,11,FALSE),0)+IF(G$3=VLOOKUP($A8,05_PERSONAS!$A:$O,12,FALSE),-VLOOKUP($A8,05_PERSONAS!$A:$O,13,FALSE),0)</f>
        <v/>
      </c>
      <c r="H8" s="56">
        <f>IF(AND(H$3&gt;=VLOOKUP($A8,05_PERSONAS!$A:$O,7,FALSE),H$3&lt;=VLOOKUP($A8,05_PERSONAS!$A:$O,8,FALSE)),-VLOOKUP($A8,05_PERSONAS!$A:$O,5,FALSE),0)+IF(H$3=VLOOKUP($A8,05_PERSONAS!$A:$O,10,FALSE),-VLOOKUP($A8,05_PERSONAS!$A:$O,11,FALSE),0)+IF(H$3=VLOOKUP($A8,05_PERSONAS!$A:$O,12,FALSE),-VLOOKUP($A8,05_PERSONAS!$A:$O,13,FALSE),0)</f>
        <v/>
      </c>
      <c r="I8" s="56">
        <f>IF(AND(I$3&gt;=VLOOKUP($A8,05_PERSONAS!$A:$O,7,FALSE),I$3&lt;=VLOOKUP($A8,05_PERSONAS!$A:$O,8,FALSE)),-VLOOKUP($A8,05_PERSONAS!$A:$O,5,FALSE),0)+IF(I$3=VLOOKUP($A8,05_PERSONAS!$A:$O,10,FALSE),-VLOOKUP($A8,05_PERSONAS!$A:$O,11,FALSE),0)+IF(I$3=VLOOKUP($A8,05_PERSONAS!$A:$O,12,FALSE),-VLOOKUP($A8,05_PERSONAS!$A:$O,13,FALSE),0)</f>
        <v/>
      </c>
      <c r="J8" s="56">
        <f>IF(AND(J$3&gt;=VLOOKUP($A8,05_PERSONAS!$A:$O,7,FALSE),J$3&lt;=VLOOKUP($A8,05_PERSONAS!$A:$O,8,FALSE)),-VLOOKUP($A8,05_PERSONAS!$A:$O,5,FALSE),0)+IF(J$3=VLOOKUP($A8,05_PERSONAS!$A:$O,10,FALSE),-VLOOKUP($A8,05_PERSONAS!$A:$O,11,FALSE),0)+IF(J$3=VLOOKUP($A8,05_PERSONAS!$A:$O,12,FALSE),-VLOOKUP($A8,05_PERSONAS!$A:$O,13,FALSE),0)</f>
        <v/>
      </c>
      <c r="K8" s="56">
        <f>IF(AND(K$3&gt;=VLOOKUP($A8,05_PERSONAS!$A:$O,7,FALSE),K$3&lt;=VLOOKUP($A8,05_PERSONAS!$A:$O,8,FALSE)),-VLOOKUP($A8,05_PERSONAS!$A:$O,5,FALSE),0)+IF(K$3=VLOOKUP($A8,05_PERSONAS!$A:$O,10,FALSE),-VLOOKUP($A8,05_PERSONAS!$A:$O,11,FALSE),0)+IF(K$3=VLOOKUP($A8,05_PERSONAS!$A:$O,12,FALSE),-VLOOKUP($A8,05_PERSONAS!$A:$O,13,FALSE),0)</f>
        <v/>
      </c>
      <c r="L8" s="56">
        <f>IF(AND(L$3&gt;=VLOOKUP($A8,05_PERSONAS!$A:$O,7,FALSE),L$3&lt;=VLOOKUP($A8,05_PERSONAS!$A:$O,8,FALSE)),-VLOOKUP($A8,05_PERSONAS!$A:$O,5,FALSE),0)+IF(L$3=VLOOKUP($A8,05_PERSONAS!$A:$O,10,FALSE),-VLOOKUP($A8,05_PERSONAS!$A:$O,11,FALSE),0)+IF(L$3=VLOOKUP($A8,05_PERSONAS!$A:$O,12,FALSE),-VLOOKUP($A8,05_PERSONAS!$A:$O,13,FALSE),0)</f>
        <v/>
      </c>
      <c r="M8" s="56">
        <f>IF(AND(M$3&gt;=VLOOKUP($A8,05_PERSONAS!$A:$O,7,FALSE),M$3&lt;=VLOOKUP($A8,05_PERSONAS!$A:$O,8,FALSE)),-VLOOKUP($A8,05_PERSONAS!$A:$O,5,FALSE),0)+IF(M$3=VLOOKUP($A8,05_PERSONAS!$A:$O,10,FALSE),-VLOOKUP($A8,05_PERSONAS!$A:$O,11,FALSE),0)+IF(M$3=VLOOKUP($A8,05_PERSONAS!$A:$O,12,FALSE),-VLOOKUP($A8,05_PERSONAS!$A:$O,13,FALSE),0)</f>
        <v/>
      </c>
      <c r="N8" s="56">
        <f>IF(AND(N$3&gt;=VLOOKUP($A8,05_PERSONAS!$A:$O,7,FALSE),N$3&lt;=VLOOKUP($A8,05_PERSONAS!$A:$O,8,FALSE)),-VLOOKUP($A8,05_PERSONAS!$A:$O,5,FALSE),0)+IF(N$3=VLOOKUP($A8,05_PERSONAS!$A:$O,10,FALSE),-VLOOKUP($A8,05_PERSONAS!$A:$O,11,FALSE),0)+IF(N$3=VLOOKUP($A8,05_PERSONAS!$A:$O,12,FALSE),-VLOOKUP($A8,05_PERSONAS!$A:$O,13,FALSE),0)</f>
        <v/>
      </c>
      <c r="O8" s="56">
        <f>IF(AND(O$3&gt;=VLOOKUP($A8,05_PERSONAS!$A:$O,7,FALSE),O$3&lt;=VLOOKUP($A8,05_PERSONAS!$A:$O,8,FALSE)),-VLOOKUP($A8,05_PERSONAS!$A:$O,5,FALSE),0)+IF(O$3=VLOOKUP($A8,05_PERSONAS!$A:$O,10,FALSE),-VLOOKUP($A8,05_PERSONAS!$A:$O,11,FALSE),0)+IF(O$3=VLOOKUP($A8,05_PERSONAS!$A:$O,12,FALSE),-VLOOKUP($A8,05_PERSONAS!$A:$O,13,FALSE),0)</f>
        <v/>
      </c>
      <c r="P8" s="56">
        <f>SUM(D8:O8)</f>
        <v/>
      </c>
    </row>
    <row r="9">
      <c r="A9" s="32" t="inlineStr">
        <is>
          <t>PER-005</t>
        </is>
      </c>
      <c r="B9" s="32" t="inlineStr">
        <is>
          <t>PAGO</t>
        </is>
      </c>
      <c r="C9" s="32" t="inlineStr">
        <is>
          <t>Agustina Noguera</t>
        </is>
      </c>
      <c r="D9" s="56">
        <f>IF(AND(D$3&gt;=VLOOKUP($A9,05_PERSONAS!$A:$O,7,FALSE),D$3&lt;=VLOOKUP($A9,05_PERSONAS!$A:$O,8,FALSE)),-VLOOKUP($A9,05_PERSONAS!$A:$O,5,FALSE),0)+IF(D$3=VLOOKUP($A9,05_PERSONAS!$A:$O,10,FALSE),-VLOOKUP($A9,05_PERSONAS!$A:$O,11,FALSE),0)+IF(D$3=VLOOKUP($A9,05_PERSONAS!$A:$O,12,FALSE),-VLOOKUP($A9,05_PERSONAS!$A:$O,13,FALSE),0)</f>
        <v/>
      </c>
      <c r="E9" s="56">
        <f>IF(AND(E$3&gt;=VLOOKUP($A9,05_PERSONAS!$A:$O,7,FALSE),E$3&lt;=VLOOKUP($A9,05_PERSONAS!$A:$O,8,FALSE)),-VLOOKUP($A9,05_PERSONAS!$A:$O,5,FALSE),0)+IF(E$3=VLOOKUP($A9,05_PERSONAS!$A:$O,10,FALSE),-VLOOKUP($A9,05_PERSONAS!$A:$O,11,FALSE),0)+IF(E$3=VLOOKUP($A9,05_PERSONAS!$A:$O,12,FALSE),-VLOOKUP($A9,05_PERSONAS!$A:$O,13,FALSE),0)</f>
        <v/>
      </c>
      <c r="F9" s="56">
        <f>IF(AND(F$3&gt;=VLOOKUP($A9,05_PERSONAS!$A:$O,7,FALSE),F$3&lt;=VLOOKUP($A9,05_PERSONAS!$A:$O,8,FALSE)),-VLOOKUP($A9,05_PERSONAS!$A:$O,5,FALSE),0)+IF(F$3=VLOOKUP($A9,05_PERSONAS!$A:$O,10,FALSE),-VLOOKUP($A9,05_PERSONAS!$A:$O,11,FALSE),0)+IF(F$3=VLOOKUP($A9,05_PERSONAS!$A:$O,12,FALSE),-VLOOKUP($A9,05_PERSONAS!$A:$O,13,FALSE),0)</f>
        <v/>
      </c>
      <c r="G9" s="56">
        <f>IF(AND(G$3&gt;=VLOOKUP($A9,05_PERSONAS!$A:$O,7,FALSE),G$3&lt;=VLOOKUP($A9,05_PERSONAS!$A:$O,8,FALSE)),-VLOOKUP($A9,05_PERSONAS!$A:$O,5,FALSE),0)+IF(G$3=VLOOKUP($A9,05_PERSONAS!$A:$O,10,FALSE),-VLOOKUP($A9,05_PERSONAS!$A:$O,11,FALSE),0)+IF(G$3=VLOOKUP($A9,05_PERSONAS!$A:$O,12,FALSE),-VLOOKUP($A9,05_PERSONAS!$A:$O,13,FALSE),0)</f>
        <v/>
      </c>
      <c r="H9" s="56">
        <f>IF(AND(H$3&gt;=VLOOKUP($A9,05_PERSONAS!$A:$O,7,FALSE),H$3&lt;=VLOOKUP($A9,05_PERSONAS!$A:$O,8,FALSE)),-VLOOKUP($A9,05_PERSONAS!$A:$O,5,FALSE),0)+IF(H$3=VLOOKUP($A9,05_PERSONAS!$A:$O,10,FALSE),-VLOOKUP($A9,05_PERSONAS!$A:$O,11,FALSE),0)+IF(H$3=VLOOKUP($A9,05_PERSONAS!$A:$O,12,FALSE),-VLOOKUP($A9,05_PERSONAS!$A:$O,13,FALSE),0)</f>
        <v/>
      </c>
      <c r="I9" s="56">
        <f>IF(AND(I$3&gt;=VLOOKUP($A9,05_PERSONAS!$A:$O,7,FALSE),I$3&lt;=VLOOKUP($A9,05_PERSONAS!$A:$O,8,FALSE)),-VLOOKUP($A9,05_PERSONAS!$A:$O,5,FALSE),0)+IF(I$3=VLOOKUP($A9,05_PERSONAS!$A:$O,10,FALSE),-VLOOKUP($A9,05_PERSONAS!$A:$O,11,FALSE),0)+IF(I$3=VLOOKUP($A9,05_PERSONAS!$A:$O,12,FALSE),-VLOOKUP($A9,05_PERSONAS!$A:$O,13,FALSE),0)</f>
        <v/>
      </c>
      <c r="J9" s="56">
        <f>IF(AND(J$3&gt;=VLOOKUP($A9,05_PERSONAS!$A:$O,7,FALSE),J$3&lt;=VLOOKUP($A9,05_PERSONAS!$A:$O,8,FALSE)),-VLOOKUP($A9,05_PERSONAS!$A:$O,5,FALSE),0)+IF(J$3=VLOOKUP($A9,05_PERSONAS!$A:$O,10,FALSE),-VLOOKUP($A9,05_PERSONAS!$A:$O,11,FALSE),0)+IF(J$3=VLOOKUP($A9,05_PERSONAS!$A:$O,12,FALSE),-VLOOKUP($A9,05_PERSONAS!$A:$O,13,FALSE),0)</f>
        <v/>
      </c>
      <c r="K9" s="56">
        <f>IF(AND(K$3&gt;=VLOOKUP($A9,05_PERSONAS!$A:$O,7,FALSE),K$3&lt;=VLOOKUP($A9,05_PERSONAS!$A:$O,8,FALSE)),-VLOOKUP($A9,05_PERSONAS!$A:$O,5,FALSE),0)+IF(K$3=VLOOKUP($A9,05_PERSONAS!$A:$O,10,FALSE),-VLOOKUP($A9,05_PERSONAS!$A:$O,11,FALSE),0)+IF(K$3=VLOOKUP($A9,05_PERSONAS!$A:$O,12,FALSE),-VLOOKUP($A9,05_PERSONAS!$A:$O,13,FALSE),0)</f>
        <v/>
      </c>
      <c r="L9" s="56">
        <f>IF(AND(L$3&gt;=VLOOKUP($A9,05_PERSONAS!$A:$O,7,FALSE),L$3&lt;=VLOOKUP($A9,05_PERSONAS!$A:$O,8,FALSE)),-VLOOKUP($A9,05_PERSONAS!$A:$O,5,FALSE),0)+IF(L$3=VLOOKUP($A9,05_PERSONAS!$A:$O,10,FALSE),-VLOOKUP($A9,05_PERSONAS!$A:$O,11,FALSE),0)+IF(L$3=VLOOKUP($A9,05_PERSONAS!$A:$O,12,FALSE),-VLOOKUP($A9,05_PERSONAS!$A:$O,13,FALSE),0)</f>
        <v/>
      </c>
      <c r="M9" s="56">
        <f>IF(AND(M$3&gt;=VLOOKUP($A9,05_PERSONAS!$A:$O,7,FALSE),M$3&lt;=VLOOKUP($A9,05_PERSONAS!$A:$O,8,FALSE)),-VLOOKUP($A9,05_PERSONAS!$A:$O,5,FALSE),0)+IF(M$3=VLOOKUP($A9,05_PERSONAS!$A:$O,10,FALSE),-VLOOKUP($A9,05_PERSONAS!$A:$O,11,FALSE),0)+IF(M$3=VLOOKUP($A9,05_PERSONAS!$A:$O,12,FALSE),-VLOOKUP($A9,05_PERSONAS!$A:$O,13,FALSE),0)</f>
        <v/>
      </c>
      <c r="N9" s="56">
        <f>IF(AND(N$3&gt;=VLOOKUP($A9,05_PERSONAS!$A:$O,7,FALSE),N$3&lt;=VLOOKUP($A9,05_PERSONAS!$A:$O,8,FALSE)),-VLOOKUP($A9,05_PERSONAS!$A:$O,5,FALSE),0)+IF(N$3=VLOOKUP($A9,05_PERSONAS!$A:$O,10,FALSE),-VLOOKUP($A9,05_PERSONAS!$A:$O,11,FALSE),0)+IF(N$3=VLOOKUP($A9,05_PERSONAS!$A:$O,12,FALSE),-VLOOKUP($A9,05_PERSONAS!$A:$O,13,FALSE),0)</f>
        <v/>
      </c>
      <c r="O9" s="56">
        <f>IF(AND(O$3&gt;=VLOOKUP($A9,05_PERSONAS!$A:$O,7,FALSE),O$3&lt;=VLOOKUP($A9,05_PERSONAS!$A:$O,8,FALSE)),-VLOOKUP($A9,05_PERSONAS!$A:$O,5,FALSE),0)+IF(O$3=VLOOKUP($A9,05_PERSONAS!$A:$O,10,FALSE),-VLOOKUP($A9,05_PERSONAS!$A:$O,11,FALSE),0)+IF(O$3=VLOOKUP($A9,05_PERSONAS!$A:$O,12,FALSE),-VLOOKUP($A9,05_PERSONAS!$A:$O,13,FALSE),0)</f>
        <v/>
      </c>
      <c r="P9" s="56">
        <f>SUM(D9:O9)</f>
        <v/>
      </c>
    </row>
    <row r="10">
      <c r="A10" s="32" t="inlineStr">
        <is>
          <t>PER-006</t>
        </is>
      </c>
      <c r="B10" s="32" t="inlineStr">
        <is>
          <t>PAGO</t>
        </is>
      </c>
      <c r="C10" s="32" t="inlineStr">
        <is>
          <t>Bonos/Aguinaldos (equipo)</t>
        </is>
      </c>
      <c r="D10" s="56">
        <f>IF(AND(D$3&gt;=VLOOKUP($A10,05_PERSONAS!$A:$O,7,FALSE),D$3&lt;=VLOOKUP($A10,05_PERSONAS!$A:$O,8,FALSE)),-VLOOKUP($A10,05_PERSONAS!$A:$O,5,FALSE),0)+IF(D$3=VLOOKUP($A10,05_PERSONAS!$A:$O,10,FALSE),-VLOOKUP($A10,05_PERSONAS!$A:$O,11,FALSE),0)+IF(D$3=VLOOKUP($A10,05_PERSONAS!$A:$O,12,FALSE),-VLOOKUP($A10,05_PERSONAS!$A:$O,13,FALSE),0)</f>
        <v/>
      </c>
      <c r="E10" s="56">
        <f>IF(AND(E$3&gt;=VLOOKUP($A10,05_PERSONAS!$A:$O,7,FALSE),E$3&lt;=VLOOKUP($A10,05_PERSONAS!$A:$O,8,FALSE)),-VLOOKUP($A10,05_PERSONAS!$A:$O,5,FALSE),0)+IF(E$3=VLOOKUP($A10,05_PERSONAS!$A:$O,10,FALSE),-VLOOKUP($A10,05_PERSONAS!$A:$O,11,FALSE),0)+IF(E$3=VLOOKUP($A10,05_PERSONAS!$A:$O,12,FALSE),-VLOOKUP($A10,05_PERSONAS!$A:$O,13,FALSE),0)</f>
        <v/>
      </c>
      <c r="F10" s="56">
        <f>IF(AND(F$3&gt;=VLOOKUP($A10,05_PERSONAS!$A:$O,7,FALSE),F$3&lt;=VLOOKUP($A10,05_PERSONAS!$A:$O,8,FALSE)),-VLOOKUP($A10,05_PERSONAS!$A:$O,5,FALSE),0)+IF(F$3=VLOOKUP($A10,05_PERSONAS!$A:$O,10,FALSE),-VLOOKUP($A10,05_PERSONAS!$A:$O,11,FALSE),0)+IF(F$3=VLOOKUP($A10,05_PERSONAS!$A:$O,12,FALSE),-VLOOKUP($A10,05_PERSONAS!$A:$O,13,FALSE),0)</f>
        <v/>
      </c>
      <c r="G10" s="56">
        <f>IF(AND(G$3&gt;=VLOOKUP($A10,05_PERSONAS!$A:$O,7,FALSE),G$3&lt;=VLOOKUP($A10,05_PERSONAS!$A:$O,8,FALSE)),-VLOOKUP($A10,05_PERSONAS!$A:$O,5,FALSE),0)+IF(G$3=VLOOKUP($A10,05_PERSONAS!$A:$O,10,FALSE),-VLOOKUP($A10,05_PERSONAS!$A:$O,11,FALSE),0)+IF(G$3=VLOOKUP($A10,05_PERSONAS!$A:$O,12,FALSE),-VLOOKUP($A10,05_PERSONAS!$A:$O,13,FALSE),0)</f>
        <v/>
      </c>
      <c r="H10" s="56">
        <f>IF(AND(H$3&gt;=VLOOKUP($A10,05_PERSONAS!$A:$O,7,FALSE),H$3&lt;=VLOOKUP($A10,05_PERSONAS!$A:$O,8,FALSE)),-VLOOKUP($A10,05_PERSONAS!$A:$O,5,FALSE),0)+IF(H$3=VLOOKUP($A10,05_PERSONAS!$A:$O,10,FALSE),-VLOOKUP($A10,05_PERSONAS!$A:$O,11,FALSE),0)+IF(H$3=VLOOKUP($A10,05_PERSONAS!$A:$O,12,FALSE),-VLOOKUP($A10,05_PERSONAS!$A:$O,13,FALSE),0)</f>
        <v/>
      </c>
      <c r="I10" s="56">
        <f>IF(AND(I$3&gt;=VLOOKUP($A10,05_PERSONAS!$A:$O,7,FALSE),I$3&lt;=VLOOKUP($A10,05_PERSONAS!$A:$O,8,FALSE)),-VLOOKUP($A10,05_PERSONAS!$A:$O,5,FALSE),0)+IF(I$3=VLOOKUP($A10,05_PERSONAS!$A:$O,10,FALSE),-VLOOKUP($A10,05_PERSONAS!$A:$O,11,FALSE),0)+IF(I$3=VLOOKUP($A10,05_PERSONAS!$A:$O,12,FALSE),-VLOOKUP($A10,05_PERSONAS!$A:$O,13,FALSE),0)</f>
        <v/>
      </c>
      <c r="J10" s="56">
        <f>IF(AND(J$3&gt;=VLOOKUP($A10,05_PERSONAS!$A:$O,7,FALSE),J$3&lt;=VLOOKUP($A10,05_PERSONAS!$A:$O,8,FALSE)),-VLOOKUP($A10,05_PERSONAS!$A:$O,5,FALSE),0)+IF(J$3=VLOOKUP($A10,05_PERSONAS!$A:$O,10,FALSE),-VLOOKUP($A10,05_PERSONAS!$A:$O,11,FALSE),0)+IF(J$3=VLOOKUP($A10,05_PERSONAS!$A:$O,12,FALSE),-VLOOKUP($A10,05_PERSONAS!$A:$O,13,FALSE),0)</f>
        <v/>
      </c>
      <c r="K10" s="56">
        <f>IF(AND(K$3&gt;=VLOOKUP($A10,05_PERSONAS!$A:$O,7,FALSE),K$3&lt;=VLOOKUP($A10,05_PERSONAS!$A:$O,8,FALSE)),-VLOOKUP($A10,05_PERSONAS!$A:$O,5,FALSE),0)+IF(K$3=VLOOKUP($A10,05_PERSONAS!$A:$O,10,FALSE),-VLOOKUP($A10,05_PERSONAS!$A:$O,11,FALSE),0)+IF(K$3=VLOOKUP($A10,05_PERSONAS!$A:$O,12,FALSE),-VLOOKUP($A10,05_PERSONAS!$A:$O,13,FALSE),0)</f>
        <v/>
      </c>
      <c r="L10" s="56">
        <f>IF(AND(L$3&gt;=VLOOKUP($A10,05_PERSONAS!$A:$O,7,FALSE),L$3&lt;=VLOOKUP($A10,05_PERSONAS!$A:$O,8,FALSE)),-VLOOKUP($A10,05_PERSONAS!$A:$O,5,FALSE),0)+IF(L$3=VLOOKUP($A10,05_PERSONAS!$A:$O,10,FALSE),-VLOOKUP($A10,05_PERSONAS!$A:$O,11,FALSE),0)+IF(L$3=VLOOKUP($A10,05_PERSONAS!$A:$O,12,FALSE),-VLOOKUP($A10,05_PERSONAS!$A:$O,13,FALSE),0)</f>
        <v/>
      </c>
      <c r="M10" s="56">
        <f>IF(AND(M$3&gt;=VLOOKUP($A10,05_PERSONAS!$A:$O,7,FALSE),M$3&lt;=VLOOKUP($A10,05_PERSONAS!$A:$O,8,FALSE)),-VLOOKUP($A10,05_PERSONAS!$A:$O,5,FALSE),0)+IF(M$3=VLOOKUP($A10,05_PERSONAS!$A:$O,10,FALSE),-VLOOKUP($A10,05_PERSONAS!$A:$O,11,FALSE),0)+IF(M$3=VLOOKUP($A10,05_PERSONAS!$A:$O,12,FALSE),-VLOOKUP($A10,05_PERSONAS!$A:$O,13,FALSE),0)</f>
        <v/>
      </c>
      <c r="N10" s="56">
        <f>IF(AND(N$3&gt;=VLOOKUP($A10,05_PERSONAS!$A:$O,7,FALSE),N$3&lt;=VLOOKUP($A10,05_PERSONAS!$A:$O,8,FALSE)),-VLOOKUP($A10,05_PERSONAS!$A:$O,5,FALSE),0)+IF(N$3=VLOOKUP($A10,05_PERSONAS!$A:$O,10,FALSE),-VLOOKUP($A10,05_PERSONAS!$A:$O,11,FALSE),0)+IF(N$3=VLOOKUP($A10,05_PERSONAS!$A:$O,12,FALSE),-VLOOKUP($A10,05_PERSONAS!$A:$O,13,FALSE),0)</f>
        <v/>
      </c>
      <c r="O10" s="56">
        <f>IF(AND(O$3&gt;=VLOOKUP($A10,05_PERSONAS!$A:$O,7,FALSE),O$3&lt;=VLOOKUP($A10,05_PERSONAS!$A:$O,8,FALSE)),-VLOOKUP($A10,05_PERSONAS!$A:$O,5,FALSE),0)+IF(O$3=VLOOKUP($A10,05_PERSONAS!$A:$O,10,FALSE),-VLOOKUP($A10,05_PERSONAS!$A:$O,11,FALSE),0)+IF(O$3=VLOOKUP($A10,05_PERSONAS!$A:$O,12,FALSE),-VLOOKUP($A10,05_PERSONAS!$A:$O,13,FALSE),0)</f>
        <v/>
      </c>
      <c r="P10" s="56">
        <f>SUM(D10:O10)</f>
        <v/>
      </c>
    </row>
    <row r="12">
      <c r="A12" s="34" t="inlineStr">
        <is>
          <t>TOTAL_PERSONAS</t>
        </is>
      </c>
      <c r="D12" s="57">
        <f>SUM(D4:D11)</f>
        <v/>
      </c>
      <c r="E12" s="57">
        <f>SUM(E4:E11)</f>
        <v/>
      </c>
      <c r="F12" s="57">
        <f>SUM(F4:F11)</f>
        <v/>
      </c>
      <c r="G12" s="57">
        <f>SUM(G4:G11)</f>
        <v/>
      </c>
      <c r="H12" s="57">
        <f>SUM(H4:H11)</f>
        <v/>
      </c>
      <c r="I12" s="57">
        <f>SUM(I4:I11)</f>
        <v/>
      </c>
      <c r="J12" s="57">
        <f>SUM(J4:J11)</f>
        <v/>
      </c>
      <c r="K12" s="57">
        <f>SUM(K4:K11)</f>
        <v/>
      </c>
      <c r="L12" s="57">
        <f>SUM(L4:L11)</f>
        <v/>
      </c>
      <c r="M12" s="57">
        <f>SUM(M4:M11)</f>
        <v/>
      </c>
      <c r="N12" s="57">
        <f>SUM(N4:N11)</f>
        <v/>
      </c>
      <c r="O12" s="57">
        <f>SUM(O4:O11)</f>
        <v/>
      </c>
      <c r="P12" s="57">
        <f>SUM(P4:P11)</f>
        <v/>
      </c>
    </row>
  </sheetData>
  <mergeCells count="2">
    <mergeCell ref="A12:C12"/>
    <mergeCell ref="A1:O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12" customWidth="1" min="4" max="4"/>
    <col width="12" customWidth="1" min="5" max="5"/>
    <col width="14" customWidth="1" min="6" max="6"/>
    <col width="10" customWidth="1" min="7" max="7"/>
    <col width="12" customWidth="1" min="8" max="8"/>
    <col width="12" customWidth="1" min="9" max="9"/>
    <col width="12" customWidth="1" min="10" max="10"/>
    <col width="14" customWidth="1" min="11" max="11"/>
    <col width="40" customWidth="1" min="12" max="12"/>
  </cols>
  <sheetData>
    <row r="1">
      <c r="A1" s="7" t="inlineStr">
        <is>
          <t>OPEX (Inputs)</t>
        </is>
      </c>
    </row>
    <row r="3">
      <c r="A3" s="8" t="inlineStr">
        <is>
          <t>OPEX_ID</t>
        </is>
      </c>
      <c r="B3" s="8" t="inlineStr">
        <is>
          <t>Concepto</t>
        </is>
      </c>
      <c r="C3" s="8" t="inlineStr">
        <is>
          <t>Proveedor</t>
        </is>
      </c>
      <c r="D3" s="8" t="inlineStr">
        <is>
          <t>Recurrencia</t>
        </is>
      </c>
      <c r="E3" s="8" t="inlineStr">
        <is>
          <t>Tipo_gasto</t>
        </is>
      </c>
      <c r="F3" s="8" t="inlineStr">
        <is>
          <t>Monto_neto</t>
        </is>
      </c>
      <c r="G3" s="8" t="inlineStr">
        <is>
          <t>IVA_afecto</t>
        </is>
      </c>
      <c r="H3" s="8" t="inlineStr">
        <is>
          <t>Mes_inicio</t>
        </is>
      </c>
      <c r="I3" s="8" t="inlineStr">
        <is>
          <t>Mes_fin</t>
        </is>
      </c>
      <c r="J3" s="8" t="inlineStr">
        <is>
          <t>Mes_unico</t>
        </is>
      </c>
      <c r="K3" s="8" t="inlineStr">
        <is>
          <t>Centro_costo</t>
        </is>
      </c>
      <c r="L3" s="8" t="inlineStr">
        <is>
          <t>Notas</t>
        </is>
      </c>
    </row>
    <row r="4">
      <c r="A4" s="16" t="inlineStr">
        <is>
          <t>OPEX-001</t>
        </is>
      </c>
      <c r="B4" s="16" t="inlineStr">
        <is>
          <t>Equipo PC 1</t>
        </is>
      </c>
      <c r="C4" s="16" t="inlineStr"/>
      <c r="D4" s="16" t="inlineStr">
        <is>
          <t>Custom</t>
        </is>
      </c>
      <c r="E4" s="16" t="inlineStr">
        <is>
          <t>Fijo</t>
        </is>
      </c>
      <c r="F4" s="44" t="n">
        <v>249998</v>
      </c>
      <c r="G4" s="16" t="inlineStr">
        <is>
          <t>SI</t>
        </is>
      </c>
      <c r="H4" s="51" t="n">
        <v>46053</v>
      </c>
      <c r="I4" s="51" t="n">
        <v>46387</v>
      </c>
      <c r="J4" s="51" t="n"/>
      <c r="K4" s="16" t="inlineStr">
        <is>
          <t>Operaciones</t>
        </is>
      </c>
      <c r="L4" s="16" t="inlineStr">
        <is>
          <t>Importado. Revisar IVA_afecto/recurrencia.</t>
        </is>
      </c>
    </row>
    <row r="5">
      <c r="A5" s="16" t="inlineStr">
        <is>
          <t>OPEX-002</t>
        </is>
      </c>
      <c r="B5" s="16" t="inlineStr">
        <is>
          <t>Equipo PC 2</t>
        </is>
      </c>
      <c r="C5" s="16" t="inlineStr"/>
      <c r="D5" s="16" t="inlineStr">
        <is>
          <t>Mensual</t>
        </is>
      </c>
      <c r="E5" s="16" t="inlineStr">
        <is>
          <t>Fijo</t>
        </is>
      </c>
      <c r="F5" s="44" t="n">
        <v>61000</v>
      </c>
      <c r="G5" s="16" t="inlineStr">
        <is>
          <t>SI</t>
        </is>
      </c>
      <c r="H5" s="51" t="n">
        <v>46053</v>
      </c>
      <c r="I5" s="51" t="n">
        <v>46234</v>
      </c>
      <c r="J5" s="51" t="n"/>
      <c r="K5" s="16" t="inlineStr">
        <is>
          <t>Operaciones</t>
        </is>
      </c>
      <c r="L5" s="16" t="inlineStr">
        <is>
          <t>Importado. Revisar IVA_afecto/recurrencia.</t>
        </is>
      </c>
    </row>
    <row r="6">
      <c r="A6" s="16" t="inlineStr">
        <is>
          <t>OPEX-003</t>
        </is>
      </c>
      <c r="B6" s="16" t="inlineStr">
        <is>
          <t>Viajes</t>
        </is>
      </c>
      <c r="C6" s="16" t="inlineStr"/>
      <c r="D6" s="16" t="inlineStr">
        <is>
          <t>Mensual</t>
        </is>
      </c>
      <c r="E6" s="16" t="inlineStr">
        <is>
          <t>Variable</t>
        </is>
      </c>
      <c r="F6" s="44" t="n">
        <v>150000</v>
      </c>
      <c r="G6" s="16" t="inlineStr">
        <is>
          <t>SI</t>
        </is>
      </c>
      <c r="H6" s="51" t="n">
        <v>46053</v>
      </c>
      <c r="I6" s="51" t="n">
        <v>46387</v>
      </c>
      <c r="J6" s="51" t="n"/>
      <c r="K6" s="16" t="inlineStr">
        <is>
          <t>Operaciones</t>
        </is>
      </c>
      <c r="L6" s="16" t="inlineStr">
        <is>
          <t>Importado. Revisar IVA_afecto/recurrencia.</t>
        </is>
      </c>
    </row>
    <row r="7">
      <c r="A7" s="16" t="inlineStr">
        <is>
          <t>OPEX-004</t>
        </is>
      </c>
      <c r="B7" s="16" t="inlineStr">
        <is>
          <t>Almuerzos</t>
        </is>
      </c>
      <c r="C7" s="16" t="inlineStr"/>
      <c r="D7" s="16" t="inlineStr">
        <is>
          <t>Mensual</t>
        </is>
      </c>
      <c r="E7" s="16" t="inlineStr">
        <is>
          <t>Variable</t>
        </is>
      </c>
      <c r="F7" s="44" t="n">
        <v>336000</v>
      </c>
      <c r="G7" s="16" t="inlineStr">
        <is>
          <t>SI</t>
        </is>
      </c>
      <c r="H7" s="51" t="n">
        <v>46053</v>
      </c>
      <c r="I7" s="51" t="n">
        <v>46387</v>
      </c>
      <c r="J7" s="51" t="n"/>
      <c r="K7" s="16" t="inlineStr">
        <is>
          <t>Operaciones</t>
        </is>
      </c>
      <c r="L7" s="16" t="inlineStr">
        <is>
          <t>Importado. Revisar IVA_afecto/recurrencia.</t>
        </is>
      </c>
    </row>
    <row r="8">
      <c r="A8" s="16" t="inlineStr">
        <is>
          <t>OPEX-005</t>
        </is>
      </c>
      <c r="B8" s="16" t="inlineStr">
        <is>
          <t>Mantención banco</t>
        </is>
      </c>
      <c r="C8" s="16" t="inlineStr"/>
      <c r="D8" s="16" t="inlineStr">
        <is>
          <t>Mensual</t>
        </is>
      </c>
      <c r="E8" s="16" t="inlineStr">
        <is>
          <t>Fijo</t>
        </is>
      </c>
      <c r="F8" s="44" t="n">
        <v>33000</v>
      </c>
      <c r="G8" s="16" t="inlineStr">
        <is>
          <t>NO</t>
        </is>
      </c>
      <c r="H8" s="51" t="n">
        <v>46053</v>
      </c>
      <c r="I8" s="51" t="n">
        <v>46387</v>
      </c>
      <c r="J8" s="51" t="n"/>
      <c r="K8" s="16" t="inlineStr">
        <is>
          <t>Admin</t>
        </is>
      </c>
      <c r="L8" s="16" t="inlineStr">
        <is>
          <t>Importado. Revisar IVA_afecto/recurrencia.</t>
        </is>
      </c>
    </row>
    <row r="9">
      <c r="A9" s="16" t="inlineStr">
        <is>
          <t>OPEX-006</t>
        </is>
      </c>
      <c r="B9" s="16" t="inlineStr">
        <is>
          <t>Marketing y Difusión</t>
        </is>
      </c>
      <c r="C9" s="16" t="inlineStr"/>
      <c r="D9" s="16" t="inlineStr">
        <is>
          <t>Mensual</t>
        </is>
      </c>
      <c r="E9" s="16" t="inlineStr">
        <is>
          <t>Variable</t>
        </is>
      </c>
      <c r="F9" s="44" t="n">
        <v>19000</v>
      </c>
      <c r="G9" s="16" t="inlineStr">
        <is>
          <t>SI</t>
        </is>
      </c>
      <c r="H9" s="51" t="n">
        <v>46053</v>
      </c>
      <c r="I9" s="51" t="n">
        <v>46387</v>
      </c>
      <c r="J9" s="51" t="n"/>
      <c r="K9" s="16" t="inlineStr">
        <is>
          <t>Admin</t>
        </is>
      </c>
      <c r="L9" s="16" t="inlineStr">
        <is>
          <t>Importado. Revisar IVA_afecto/recurrencia.</t>
        </is>
      </c>
    </row>
    <row r="10">
      <c r="A10" s="16" t="inlineStr">
        <is>
          <t>OPEX-007</t>
        </is>
      </c>
      <c r="B10" s="16" t="inlineStr">
        <is>
          <t>Licencias</t>
        </is>
      </c>
      <c r="C10" s="16" t="inlineStr"/>
      <c r="D10" s="16" t="inlineStr">
        <is>
          <t>Unico</t>
        </is>
      </c>
      <c r="E10" s="16" t="inlineStr">
        <is>
          <t>Fijo</t>
        </is>
      </c>
      <c r="F10" s="44" t="n">
        <v>300000</v>
      </c>
      <c r="G10" s="16" t="inlineStr">
        <is>
          <t>SI</t>
        </is>
      </c>
      <c r="H10" s="51" t="n">
        <v>46142</v>
      </c>
      <c r="I10" s="51" t="n">
        <v>46142</v>
      </c>
      <c r="J10" s="51" t="n">
        <v>46142</v>
      </c>
      <c r="K10" s="16" t="inlineStr">
        <is>
          <t>Admin</t>
        </is>
      </c>
      <c r="L10" s="16" t="inlineStr">
        <is>
          <t>Importado. Revisar IVA_afecto/recurrencia.</t>
        </is>
      </c>
    </row>
    <row r="11">
      <c r="A11" s="16" t="inlineStr">
        <is>
          <t>OPEX-008</t>
        </is>
      </c>
      <c r="B11" s="16" t="inlineStr">
        <is>
          <t>Microservicios</t>
        </is>
      </c>
      <c r="C11" s="16" t="inlineStr"/>
      <c r="D11" s="16" t="inlineStr">
        <is>
          <t>Mensual</t>
        </is>
      </c>
      <c r="E11" s="16" t="inlineStr">
        <is>
          <t>Fijo</t>
        </is>
      </c>
      <c r="F11" s="44" t="n">
        <v>150000</v>
      </c>
      <c r="G11" s="16" t="inlineStr">
        <is>
          <t>SI</t>
        </is>
      </c>
      <c r="H11" s="51" t="n">
        <v>46053</v>
      </c>
      <c r="I11" s="51" t="n">
        <v>46387</v>
      </c>
      <c r="J11" s="51" t="n"/>
      <c r="K11" s="16" t="inlineStr">
        <is>
          <t>Admin</t>
        </is>
      </c>
      <c r="L11" s="16" t="inlineStr">
        <is>
          <t>Importado. Revisar IVA_afecto/recurrencia.</t>
        </is>
      </c>
    </row>
    <row r="12">
      <c r="A12" s="16" t="inlineStr">
        <is>
          <t>OPEX-009</t>
        </is>
      </c>
      <c r="B12" s="16" t="inlineStr">
        <is>
          <t>Varios oficina</t>
        </is>
      </c>
      <c r="C12" s="16" t="inlineStr"/>
      <c r="D12" s="16" t="inlineStr">
        <is>
          <t>Mensual</t>
        </is>
      </c>
      <c r="E12" s="16" t="inlineStr">
        <is>
          <t>Fijo</t>
        </is>
      </c>
      <c r="F12" s="44" t="n">
        <v>200000</v>
      </c>
      <c r="G12" s="16" t="inlineStr">
        <is>
          <t>SI</t>
        </is>
      </c>
      <c r="H12" s="51" t="n">
        <v>46053</v>
      </c>
      <c r="I12" s="51" t="n">
        <v>46387</v>
      </c>
      <c r="J12" s="51" t="n"/>
      <c r="K12" s="16" t="inlineStr">
        <is>
          <t>Admin</t>
        </is>
      </c>
      <c r="L12" s="16" t="inlineStr">
        <is>
          <t>Importado. Revisar IVA_afecto/recurrencia.</t>
        </is>
      </c>
    </row>
    <row r="13">
      <c r="A13" s="16" t="inlineStr">
        <is>
          <t>OPEX-010</t>
        </is>
      </c>
      <c r="B13" s="16" t="inlineStr">
        <is>
          <t>Arriendo oficina</t>
        </is>
      </c>
      <c r="C13" s="16" t="inlineStr"/>
      <c r="D13" s="16" t="inlineStr">
        <is>
          <t>Mensual</t>
        </is>
      </c>
      <c r="E13" s="16" t="inlineStr">
        <is>
          <t>Fijo</t>
        </is>
      </c>
      <c r="F13" s="44" t="n">
        <v>500000</v>
      </c>
      <c r="G13" s="16" t="inlineStr">
        <is>
          <t>SI</t>
        </is>
      </c>
      <c r="H13" s="51" t="n">
        <v>46053</v>
      </c>
      <c r="I13" s="51" t="n">
        <v>46387</v>
      </c>
      <c r="J13" s="51" t="n"/>
      <c r="K13" s="16" t="inlineStr">
        <is>
          <t>Admin</t>
        </is>
      </c>
      <c r="L13" s="16" t="inlineStr">
        <is>
          <t>Importado. Revisar IVA_afecto/recurrencia.</t>
        </is>
      </c>
    </row>
    <row r="14">
      <c r="A14" s="16" t="inlineStr">
        <is>
          <t>OPEX-011</t>
        </is>
      </c>
      <c r="B14" s="16" t="inlineStr">
        <is>
          <t>Contabilidad</t>
        </is>
      </c>
      <c r="C14" s="16" t="inlineStr"/>
      <c r="D14" s="16" t="inlineStr">
        <is>
          <t>Mensual</t>
        </is>
      </c>
      <c r="E14" s="16" t="inlineStr">
        <is>
          <t>Fijo</t>
        </is>
      </c>
      <c r="F14" s="44" t="n">
        <v>150000</v>
      </c>
      <c r="G14" s="16" t="inlineStr">
        <is>
          <t>SI</t>
        </is>
      </c>
      <c r="H14" s="51" t="n">
        <v>46053</v>
      </c>
      <c r="I14" s="51" t="n">
        <v>46387</v>
      </c>
      <c r="J14" s="51" t="n"/>
      <c r="K14" s="16" t="inlineStr">
        <is>
          <t>Admin</t>
        </is>
      </c>
      <c r="L14" s="16" t="inlineStr">
        <is>
          <t>Importado. Revisar IVA_afecto/recurrencia.</t>
        </is>
      </c>
    </row>
  </sheetData>
  <mergeCells count="1">
    <mergeCell ref="A1:L1"/>
  </mergeCells>
  <dataValidations count="3">
    <dataValidation sqref="D4:D14" showDropDown="0" showInputMessage="0" showErrorMessage="0" allowBlank="0" type="list">
      <formula1>"Mensual,Unico,Custom"</formula1>
    </dataValidation>
    <dataValidation sqref="E4:E14" showDropDown="0" showInputMessage="0" showErrorMessage="0" allowBlank="0" type="list">
      <formula1>"Fijo,Variable"</formula1>
    </dataValidation>
    <dataValidation sqref="G4:G14" showDropDown="0" showInputMessage="0" showErrorMessage="0" allowBlank="0" type="list">
      <formula1>"SI,NO"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6"/>
  <sheetViews>
    <sheetView showGridLines="0"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</cols>
  <sheetData>
    <row r="1">
      <c r="A1" s="7" t="inlineStr">
        <is>
          <t>OPEX — PLAN MENSUAL NETO (Calculado)</t>
        </is>
      </c>
    </row>
    <row r="3">
      <c r="A3" s="8" t="inlineStr">
        <is>
          <t>OPEX_ID</t>
        </is>
      </c>
      <c r="B3" s="8" t="inlineStr">
        <is>
          <t>Concepto</t>
        </is>
      </c>
      <c r="C3" s="8" t="inlineStr">
        <is>
          <t>Recurrencia</t>
        </is>
      </c>
      <c r="D3" s="8" t="inlineStr">
        <is>
          <t>IVA_afecto</t>
        </is>
      </c>
      <c r="E3" s="31" t="n">
        <v>46053</v>
      </c>
      <c r="F3" s="31" t="n">
        <v>46081</v>
      </c>
      <c r="G3" s="31" t="n">
        <v>46112</v>
      </c>
      <c r="H3" s="31" t="n">
        <v>46142</v>
      </c>
      <c r="I3" s="31" t="n">
        <v>46173</v>
      </c>
      <c r="J3" s="31" t="n">
        <v>46203</v>
      </c>
      <c r="K3" s="31" t="n">
        <v>46234</v>
      </c>
      <c r="L3" s="31" t="n">
        <v>46265</v>
      </c>
      <c r="M3" s="31" t="n">
        <v>46295</v>
      </c>
      <c r="N3" s="31" t="n">
        <v>46326</v>
      </c>
      <c r="O3" s="31" t="n">
        <v>46356</v>
      </c>
      <c r="P3" s="31" t="n">
        <v>46387</v>
      </c>
      <c r="Q3" s="8" t="inlineStr">
        <is>
          <t>Total_Año</t>
        </is>
      </c>
    </row>
    <row r="4">
      <c r="A4" s="36" t="inlineStr">
        <is>
          <t>OPEX-001</t>
        </is>
      </c>
      <c r="B4" s="36">
        <f>IFERROR(VLOOKUP($A4,06_OPEX!$A:$L,2,FALSE),"")</f>
        <v/>
      </c>
      <c r="C4" s="37">
        <f>IFERROR(VLOOKUP($A4,06_OPEX!$A:$L,4,FALSE),"")</f>
        <v/>
      </c>
      <c r="D4" s="37">
        <f>IFERROR(VLOOKUP($A4,06_OPEX!$A:$L,7,FALSE),"")</f>
        <v/>
      </c>
      <c r="E4" s="52">
        <f>(IF($C4="Mensual",IF(AND(E$3&gt;=VLOOKUP($A4,06_OPEX!$A:$L,8,FALSE),E$3&lt;=VLOOKUP($A4,06_OPEX!$A:$L,9,FALSE)),-VLOOKUP($A4,06_OPEX!$A:$L,6,FALSE),0),IF($C4="Unico",IF(E$3=VLOOKUP($A4,06_OPEX!$A:$L,10,FALSE),-VLOOKUP($A4,06_OPEX!$A:$L,6,FALSE),0),IF($C4="Custom",-IFERROR(VLOOKUP($A4,06C_OPEX_CUSTOM!$A:$O,2+MATCH(E$3,06C_OPEX_CUSTOM!$C$3:$N$3,0),FALSE),0),0))))*IFERROR(IF(VLOOKUP($A4,06_OPEX!$A:$L,5,FALSE)="Variable",MULT_OPEX_VARIABLE,MULT_OPEX_FIJO),1)</f>
        <v/>
      </c>
      <c r="F4" s="52">
        <f>(IF($C4="Mensual",IF(AND(F$3&gt;=VLOOKUP($A4,06_OPEX!$A:$L,8,FALSE),F$3&lt;=VLOOKUP($A4,06_OPEX!$A:$L,9,FALSE)),-VLOOKUP($A4,06_OPEX!$A:$L,6,FALSE),0),IF($C4="Unico",IF(F$3=VLOOKUP($A4,06_OPEX!$A:$L,10,FALSE),-VLOOKUP($A4,06_OPEX!$A:$L,6,FALSE),0),IF($C4="Custom",-IFERROR(VLOOKUP($A4,06C_OPEX_CUSTOM!$A:$O,2+MATCH(F$3,06C_OPEX_CUSTOM!$C$3:$N$3,0),FALSE),0),0))))*IFERROR(IF(VLOOKUP($A4,06_OPEX!$A:$L,5,FALSE)="Variable",MULT_OPEX_VARIABLE,MULT_OPEX_FIJO),1)</f>
        <v/>
      </c>
      <c r="G4" s="52">
        <f>(IF($C4="Mensual",IF(AND(G$3&gt;=VLOOKUP($A4,06_OPEX!$A:$L,8,FALSE),G$3&lt;=VLOOKUP($A4,06_OPEX!$A:$L,9,FALSE)),-VLOOKUP($A4,06_OPEX!$A:$L,6,FALSE),0),IF($C4="Unico",IF(G$3=VLOOKUP($A4,06_OPEX!$A:$L,10,FALSE),-VLOOKUP($A4,06_OPEX!$A:$L,6,FALSE),0),IF($C4="Custom",-IFERROR(VLOOKUP($A4,06C_OPEX_CUSTOM!$A:$O,2+MATCH(G$3,06C_OPEX_CUSTOM!$C$3:$N$3,0),FALSE),0),0))))*IFERROR(IF(VLOOKUP($A4,06_OPEX!$A:$L,5,FALSE)="Variable",MULT_OPEX_VARIABLE,MULT_OPEX_FIJO),1)</f>
        <v/>
      </c>
      <c r="H4" s="52">
        <f>(IF($C4="Mensual",IF(AND(H$3&gt;=VLOOKUP($A4,06_OPEX!$A:$L,8,FALSE),H$3&lt;=VLOOKUP($A4,06_OPEX!$A:$L,9,FALSE)),-VLOOKUP($A4,06_OPEX!$A:$L,6,FALSE),0),IF($C4="Unico",IF(H$3=VLOOKUP($A4,06_OPEX!$A:$L,10,FALSE),-VLOOKUP($A4,06_OPEX!$A:$L,6,FALSE),0),IF($C4="Custom",-IFERROR(VLOOKUP($A4,06C_OPEX_CUSTOM!$A:$O,2+MATCH(H$3,06C_OPEX_CUSTOM!$C$3:$N$3,0),FALSE),0),0))))*IFERROR(IF(VLOOKUP($A4,06_OPEX!$A:$L,5,FALSE)="Variable",MULT_OPEX_VARIABLE,MULT_OPEX_FIJO),1)</f>
        <v/>
      </c>
      <c r="I4" s="52">
        <f>(IF($C4="Mensual",IF(AND(I$3&gt;=VLOOKUP($A4,06_OPEX!$A:$L,8,FALSE),I$3&lt;=VLOOKUP($A4,06_OPEX!$A:$L,9,FALSE)),-VLOOKUP($A4,06_OPEX!$A:$L,6,FALSE),0),IF($C4="Unico",IF(I$3=VLOOKUP($A4,06_OPEX!$A:$L,10,FALSE),-VLOOKUP($A4,06_OPEX!$A:$L,6,FALSE),0),IF($C4="Custom",-IFERROR(VLOOKUP($A4,06C_OPEX_CUSTOM!$A:$O,2+MATCH(I$3,06C_OPEX_CUSTOM!$C$3:$N$3,0),FALSE),0),0))))*IFERROR(IF(VLOOKUP($A4,06_OPEX!$A:$L,5,FALSE)="Variable",MULT_OPEX_VARIABLE,MULT_OPEX_FIJO),1)</f>
        <v/>
      </c>
      <c r="J4" s="52">
        <f>(IF($C4="Mensual",IF(AND(J$3&gt;=VLOOKUP($A4,06_OPEX!$A:$L,8,FALSE),J$3&lt;=VLOOKUP($A4,06_OPEX!$A:$L,9,FALSE)),-VLOOKUP($A4,06_OPEX!$A:$L,6,FALSE),0),IF($C4="Unico",IF(J$3=VLOOKUP($A4,06_OPEX!$A:$L,10,FALSE),-VLOOKUP($A4,06_OPEX!$A:$L,6,FALSE),0),IF($C4="Custom",-IFERROR(VLOOKUP($A4,06C_OPEX_CUSTOM!$A:$O,2+MATCH(J$3,06C_OPEX_CUSTOM!$C$3:$N$3,0),FALSE),0),0))))*IFERROR(IF(VLOOKUP($A4,06_OPEX!$A:$L,5,FALSE)="Variable",MULT_OPEX_VARIABLE,MULT_OPEX_FIJO),1)</f>
        <v/>
      </c>
      <c r="K4" s="52">
        <f>(IF($C4="Mensual",IF(AND(K$3&gt;=VLOOKUP($A4,06_OPEX!$A:$L,8,FALSE),K$3&lt;=VLOOKUP($A4,06_OPEX!$A:$L,9,FALSE)),-VLOOKUP($A4,06_OPEX!$A:$L,6,FALSE),0),IF($C4="Unico",IF(K$3=VLOOKUP($A4,06_OPEX!$A:$L,10,FALSE),-VLOOKUP($A4,06_OPEX!$A:$L,6,FALSE),0),IF($C4="Custom",-IFERROR(VLOOKUP($A4,06C_OPEX_CUSTOM!$A:$O,2+MATCH(K$3,06C_OPEX_CUSTOM!$C$3:$N$3,0),FALSE),0),0))))*IFERROR(IF(VLOOKUP($A4,06_OPEX!$A:$L,5,FALSE)="Variable",MULT_OPEX_VARIABLE,MULT_OPEX_FIJO),1)</f>
        <v/>
      </c>
      <c r="L4" s="52">
        <f>(IF($C4="Mensual",IF(AND(L$3&gt;=VLOOKUP($A4,06_OPEX!$A:$L,8,FALSE),L$3&lt;=VLOOKUP($A4,06_OPEX!$A:$L,9,FALSE)),-VLOOKUP($A4,06_OPEX!$A:$L,6,FALSE),0),IF($C4="Unico",IF(L$3=VLOOKUP($A4,06_OPEX!$A:$L,10,FALSE),-VLOOKUP($A4,06_OPEX!$A:$L,6,FALSE),0),IF($C4="Custom",-IFERROR(VLOOKUP($A4,06C_OPEX_CUSTOM!$A:$O,2+MATCH(L$3,06C_OPEX_CUSTOM!$C$3:$N$3,0),FALSE),0),0))))*IFERROR(IF(VLOOKUP($A4,06_OPEX!$A:$L,5,FALSE)="Variable",MULT_OPEX_VARIABLE,MULT_OPEX_FIJO),1)</f>
        <v/>
      </c>
      <c r="M4" s="52">
        <f>(IF($C4="Mensual",IF(AND(M$3&gt;=VLOOKUP($A4,06_OPEX!$A:$L,8,FALSE),M$3&lt;=VLOOKUP($A4,06_OPEX!$A:$L,9,FALSE)),-VLOOKUP($A4,06_OPEX!$A:$L,6,FALSE),0),IF($C4="Unico",IF(M$3=VLOOKUP($A4,06_OPEX!$A:$L,10,FALSE),-VLOOKUP($A4,06_OPEX!$A:$L,6,FALSE),0),IF($C4="Custom",-IFERROR(VLOOKUP($A4,06C_OPEX_CUSTOM!$A:$O,2+MATCH(M$3,06C_OPEX_CUSTOM!$C$3:$N$3,0),FALSE),0),0))))*IFERROR(IF(VLOOKUP($A4,06_OPEX!$A:$L,5,FALSE)="Variable",MULT_OPEX_VARIABLE,MULT_OPEX_FIJO),1)</f>
        <v/>
      </c>
      <c r="N4" s="52">
        <f>(IF($C4="Mensual",IF(AND(N$3&gt;=VLOOKUP($A4,06_OPEX!$A:$L,8,FALSE),N$3&lt;=VLOOKUP($A4,06_OPEX!$A:$L,9,FALSE)),-VLOOKUP($A4,06_OPEX!$A:$L,6,FALSE),0),IF($C4="Unico",IF(N$3=VLOOKUP($A4,06_OPEX!$A:$L,10,FALSE),-VLOOKUP($A4,06_OPEX!$A:$L,6,FALSE),0),IF($C4="Custom",-IFERROR(VLOOKUP($A4,06C_OPEX_CUSTOM!$A:$O,2+MATCH(N$3,06C_OPEX_CUSTOM!$C$3:$N$3,0),FALSE),0),0))))*IFERROR(IF(VLOOKUP($A4,06_OPEX!$A:$L,5,FALSE)="Variable",MULT_OPEX_VARIABLE,MULT_OPEX_FIJO),1)</f>
        <v/>
      </c>
      <c r="O4" s="52">
        <f>(IF($C4="Mensual",IF(AND(O$3&gt;=VLOOKUP($A4,06_OPEX!$A:$L,8,FALSE),O$3&lt;=VLOOKUP($A4,06_OPEX!$A:$L,9,FALSE)),-VLOOKUP($A4,06_OPEX!$A:$L,6,FALSE),0),IF($C4="Unico",IF(O$3=VLOOKUP($A4,06_OPEX!$A:$L,10,FALSE),-VLOOKUP($A4,06_OPEX!$A:$L,6,FALSE),0),IF($C4="Custom",-IFERROR(VLOOKUP($A4,06C_OPEX_CUSTOM!$A:$O,2+MATCH(O$3,06C_OPEX_CUSTOM!$C$3:$N$3,0),FALSE),0),0))))*IFERROR(IF(VLOOKUP($A4,06_OPEX!$A:$L,5,FALSE)="Variable",MULT_OPEX_VARIABLE,MULT_OPEX_FIJO),1)</f>
        <v/>
      </c>
      <c r="P4" s="52">
        <f>(IF($C4="Mensual",IF(AND(P$3&gt;=VLOOKUP($A4,06_OPEX!$A:$L,8,FALSE),P$3&lt;=VLOOKUP($A4,06_OPEX!$A:$L,9,FALSE)),-VLOOKUP($A4,06_OPEX!$A:$L,6,FALSE),0),IF($C4="Unico",IF(P$3=VLOOKUP($A4,06_OPEX!$A:$L,10,FALSE),-VLOOKUP($A4,06_OPEX!$A:$L,6,FALSE),0),IF($C4="Custom",-IFERROR(VLOOKUP($A4,06C_OPEX_CUSTOM!$A:$O,2+MATCH(P$3,06C_OPEX_CUSTOM!$C$3:$N$3,0),FALSE),0),0))))*IFERROR(IF(VLOOKUP($A4,06_OPEX!$A:$L,5,FALSE)="Variable",MULT_OPEX_VARIABLE,MULT_OPEX_FIJO),1)</f>
        <v/>
      </c>
      <c r="Q4" s="56">
        <f>SUM(E4:P4)</f>
        <v/>
      </c>
    </row>
    <row r="5">
      <c r="A5" s="36" t="inlineStr">
        <is>
          <t>OPEX-002</t>
        </is>
      </c>
      <c r="B5" s="36">
        <f>IFERROR(VLOOKUP($A5,06_OPEX!$A:$L,2,FALSE),"")</f>
        <v/>
      </c>
      <c r="C5" s="37">
        <f>IFERROR(VLOOKUP($A5,06_OPEX!$A:$L,4,FALSE),"")</f>
        <v/>
      </c>
      <c r="D5" s="37">
        <f>IFERROR(VLOOKUP($A5,06_OPEX!$A:$L,7,FALSE),"")</f>
        <v/>
      </c>
      <c r="E5" s="52">
        <f>(IF($C5="Mensual",IF(AND(E$3&gt;=VLOOKUP($A5,06_OPEX!$A:$L,8,FALSE),E$3&lt;=VLOOKUP($A5,06_OPEX!$A:$L,9,FALSE)),-VLOOKUP($A5,06_OPEX!$A:$L,6,FALSE),0),IF($C5="Unico",IF(E$3=VLOOKUP($A5,06_OPEX!$A:$L,10,FALSE),-VLOOKUP($A5,06_OPEX!$A:$L,6,FALSE),0),IF($C5="Custom",-IFERROR(VLOOKUP($A5,06C_OPEX_CUSTOM!$A:$O,2+MATCH(E$3,06C_OPEX_CUSTOM!$C$3:$N$3,0),FALSE),0),0))))*IFERROR(IF(VLOOKUP($A5,06_OPEX!$A:$L,5,FALSE)="Variable",MULT_OPEX_VARIABLE,MULT_OPEX_FIJO),1)</f>
        <v/>
      </c>
      <c r="F5" s="52">
        <f>(IF($C5="Mensual",IF(AND(F$3&gt;=VLOOKUP($A5,06_OPEX!$A:$L,8,FALSE),F$3&lt;=VLOOKUP($A5,06_OPEX!$A:$L,9,FALSE)),-VLOOKUP($A5,06_OPEX!$A:$L,6,FALSE),0),IF($C5="Unico",IF(F$3=VLOOKUP($A5,06_OPEX!$A:$L,10,FALSE),-VLOOKUP($A5,06_OPEX!$A:$L,6,FALSE),0),IF($C5="Custom",-IFERROR(VLOOKUP($A5,06C_OPEX_CUSTOM!$A:$O,2+MATCH(F$3,06C_OPEX_CUSTOM!$C$3:$N$3,0),FALSE),0),0))))*IFERROR(IF(VLOOKUP($A5,06_OPEX!$A:$L,5,FALSE)="Variable",MULT_OPEX_VARIABLE,MULT_OPEX_FIJO),1)</f>
        <v/>
      </c>
      <c r="G5" s="52">
        <f>(IF($C5="Mensual",IF(AND(G$3&gt;=VLOOKUP($A5,06_OPEX!$A:$L,8,FALSE),G$3&lt;=VLOOKUP($A5,06_OPEX!$A:$L,9,FALSE)),-VLOOKUP($A5,06_OPEX!$A:$L,6,FALSE),0),IF($C5="Unico",IF(G$3=VLOOKUP($A5,06_OPEX!$A:$L,10,FALSE),-VLOOKUP($A5,06_OPEX!$A:$L,6,FALSE),0),IF($C5="Custom",-IFERROR(VLOOKUP($A5,06C_OPEX_CUSTOM!$A:$O,2+MATCH(G$3,06C_OPEX_CUSTOM!$C$3:$N$3,0),FALSE),0),0))))*IFERROR(IF(VLOOKUP($A5,06_OPEX!$A:$L,5,FALSE)="Variable",MULT_OPEX_VARIABLE,MULT_OPEX_FIJO),1)</f>
        <v/>
      </c>
      <c r="H5" s="52">
        <f>(IF($C5="Mensual",IF(AND(H$3&gt;=VLOOKUP($A5,06_OPEX!$A:$L,8,FALSE),H$3&lt;=VLOOKUP($A5,06_OPEX!$A:$L,9,FALSE)),-VLOOKUP($A5,06_OPEX!$A:$L,6,FALSE),0),IF($C5="Unico",IF(H$3=VLOOKUP($A5,06_OPEX!$A:$L,10,FALSE),-VLOOKUP($A5,06_OPEX!$A:$L,6,FALSE),0),IF($C5="Custom",-IFERROR(VLOOKUP($A5,06C_OPEX_CUSTOM!$A:$O,2+MATCH(H$3,06C_OPEX_CUSTOM!$C$3:$N$3,0),FALSE),0),0))))*IFERROR(IF(VLOOKUP($A5,06_OPEX!$A:$L,5,FALSE)="Variable",MULT_OPEX_VARIABLE,MULT_OPEX_FIJO),1)</f>
        <v/>
      </c>
      <c r="I5" s="52">
        <f>(IF($C5="Mensual",IF(AND(I$3&gt;=VLOOKUP($A5,06_OPEX!$A:$L,8,FALSE),I$3&lt;=VLOOKUP($A5,06_OPEX!$A:$L,9,FALSE)),-VLOOKUP($A5,06_OPEX!$A:$L,6,FALSE),0),IF($C5="Unico",IF(I$3=VLOOKUP($A5,06_OPEX!$A:$L,10,FALSE),-VLOOKUP($A5,06_OPEX!$A:$L,6,FALSE),0),IF($C5="Custom",-IFERROR(VLOOKUP($A5,06C_OPEX_CUSTOM!$A:$O,2+MATCH(I$3,06C_OPEX_CUSTOM!$C$3:$N$3,0),FALSE),0),0))))*IFERROR(IF(VLOOKUP($A5,06_OPEX!$A:$L,5,FALSE)="Variable",MULT_OPEX_VARIABLE,MULT_OPEX_FIJO),1)</f>
        <v/>
      </c>
      <c r="J5" s="52">
        <f>(IF($C5="Mensual",IF(AND(J$3&gt;=VLOOKUP($A5,06_OPEX!$A:$L,8,FALSE),J$3&lt;=VLOOKUP($A5,06_OPEX!$A:$L,9,FALSE)),-VLOOKUP($A5,06_OPEX!$A:$L,6,FALSE),0),IF($C5="Unico",IF(J$3=VLOOKUP($A5,06_OPEX!$A:$L,10,FALSE),-VLOOKUP($A5,06_OPEX!$A:$L,6,FALSE),0),IF($C5="Custom",-IFERROR(VLOOKUP($A5,06C_OPEX_CUSTOM!$A:$O,2+MATCH(J$3,06C_OPEX_CUSTOM!$C$3:$N$3,0),FALSE),0),0))))*IFERROR(IF(VLOOKUP($A5,06_OPEX!$A:$L,5,FALSE)="Variable",MULT_OPEX_VARIABLE,MULT_OPEX_FIJO),1)</f>
        <v/>
      </c>
      <c r="K5" s="52">
        <f>(IF($C5="Mensual",IF(AND(K$3&gt;=VLOOKUP($A5,06_OPEX!$A:$L,8,FALSE),K$3&lt;=VLOOKUP($A5,06_OPEX!$A:$L,9,FALSE)),-VLOOKUP($A5,06_OPEX!$A:$L,6,FALSE),0),IF($C5="Unico",IF(K$3=VLOOKUP($A5,06_OPEX!$A:$L,10,FALSE),-VLOOKUP($A5,06_OPEX!$A:$L,6,FALSE),0),IF($C5="Custom",-IFERROR(VLOOKUP($A5,06C_OPEX_CUSTOM!$A:$O,2+MATCH(K$3,06C_OPEX_CUSTOM!$C$3:$N$3,0),FALSE),0),0))))*IFERROR(IF(VLOOKUP($A5,06_OPEX!$A:$L,5,FALSE)="Variable",MULT_OPEX_VARIABLE,MULT_OPEX_FIJO),1)</f>
        <v/>
      </c>
      <c r="L5" s="52">
        <f>(IF($C5="Mensual",IF(AND(L$3&gt;=VLOOKUP($A5,06_OPEX!$A:$L,8,FALSE),L$3&lt;=VLOOKUP($A5,06_OPEX!$A:$L,9,FALSE)),-VLOOKUP($A5,06_OPEX!$A:$L,6,FALSE),0),IF($C5="Unico",IF(L$3=VLOOKUP($A5,06_OPEX!$A:$L,10,FALSE),-VLOOKUP($A5,06_OPEX!$A:$L,6,FALSE),0),IF($C5="Custom",-IFERROR(VLOOKUP($A5,06C_OPEX_CUSTOM!$A:$O,2+MATCH(L$3,06C_OPEX_CUSTOM!$C$3:$N$3,0),FALSE),0),0))))*IFERROR(IF(VLOOKUP($A5,06_OPEX!$A:$L,5,FALSE)="Variable",MULT_OPEX_VARIABLE,MULT_OPEX_FIJO),1)</f>
        <v/>
      </c>
      <c r="M5" s="52">
        <f>(IF($C5="Mensual",IF(AND(M$3&gt;=VLOOKUP($A5,06_OPEX!$A:$L,8,FALSE),M$3&lt;=VLOOKUP($A5,06_OPEX!$A:$L,9,FALSE)),-VLOOKUP($A5,06_OPEX!$A:$L,6,FALSE),0),IF($C5="Unico",IF(M$3=VLOOKUP($A5,06_OPEX!$A:$L,10,FALSE),-VLOOKUP($A5,06_OPEX!$A:$L,6,FALSE),0),IF($C5="Custom",-IFERROR(VLOOKUP($A5,06C_OPEX_CUSTOM!$A:$O,2+MATCH(M$3,06C_OPEX_CUSTOM!$C$3:$N$3,0),FALSE),0),0))))*IFERROR(IF(VLOOKUP($A5,06_OPEX!$A:$L,5,FALSE)="Variable",MULT_OPEX_VARIABLE,MULT_OPEX_FIJO),1)</f>
        <v/>
      </c>
      <c r="N5" s="52">
        <f>(IF($C5="Mensual",IF(AND(N$3&gt;=VLOOKUP($A5,06_OPEX!$A:$L,8,FALSE),N$3&lt;=VLOOKUP($A5,06_OPEX!$A:$L,9,FALSE)),-VLOOKUP($A5,06_OPEX!$A:$L,6,FALSE),0),IF($C5="Unico",IF(N$3=VLOOKUP($A5,06_OPEX!$A:$L,10,FALSE),-VLOOKUP($A5,06_OPEX!$A:$L,6,FALSE),0),IF($C5="Custom",-IFERROR(VLOOKUP($A5,06C_OPEX_CUSTOM!$A:$O,2+MATCH(N$3,06C_OPEX_CUSTOM!$C$3:$N$3,0),FALSE),0),0))))*IFERROR(IF(VLOOKUP($A5,06_OPEX!$A:$L,5,FALSE)="Variable",MULT_OPEX_VARIABLE,MULT_OPEX_FIJO),1)</f>
        <v/>
      </c>
      <c r="O5" s="52">
        <f>(IF($C5="Mensual",IF(AND(O$3&gt;=VLOOKUP($A5,06_OPEX!$A:$L,8,FALSE),O$3&lt;=VLOOKUP($A5,06_OPEX!$A:$L,9,FALSE)),-VLOOKUP($A5,06_OPEX!$A:$L,6,FALSE),0),IF($C5="Unico",IF(O$3=VLOOKUP($A5,06_OPEX!$A:$L,10,FALSE),-VLOOKUP($A5,06_OPEX!$A:$L,6,FALSE),0),IF($C5="Custom",-IFERROR(VLOOKUP($A5,06C_OPEX_CUSTOM!$A:$O,2+MATCH(O$3,06C_OPEX_CUSTOM!$C$3:$N$3,0),FALSE),0),0))))*IFERROR(IF(VLOOKUP($A5,06_OPEX!$A:$L,5,FALSE)="Variable",MULT_OPEX_VARIABLE,MULT_OPEX_FIJO),1)</f>
        <v/>
      </c>
      <c r="P5" s="52">
        <f>(IF($C5="Mensual",IF(AND(P$3&gt;=VLOOKUP($A5,06_OPEX!$A:$L,8,FALSE),P$3&lt;=VLOOKUP($A5,06_OPEX!$A:$L,9,FALSE)),-VLOOKUP($A5,06_OPEX!$A:$L,6,FALSE),0),IF($C5="Unico",IF(P$3=VLOOKUP($A5,06_OPEX!$A:$L,10,FALSE),-VLOOKUP($A5,06_OPEX!$A:$L,6,FALSE),0),IF($C5="Custom",-IFERROR(VLOOKUP($A5,06C_OPEX_CUSTOM!$A:$O,2+MATCH(P$3,06C_OPEX_CUSTOM!$C$3:$N$3,0),FALSE),0),0))))*IFERROR(IF(VLOOKUP($A5,06_OPEX!$A:$L,5,FALSE)="Variable",MULT_OPEX_VARIABLE,MULT_OPEX_FIJO),1)</f>
        <v/>
      </c>
      <c r="Q5" s="56">
        <f>SUM(E5:P5)</f>
        <v/>
      </c>
    </row>
    <row r="6">
      <c r="A6" s="36" t="inlineStr">
        <is>
          <t>OPEX-003</t>
        </is>
      </c>
      <c r="B6" s="36">
        <f>IFERROR(VLOOKUP($A6,06_OPEX!$A:$L,2,FALSE),"")</f>
        <v/>
      </c>
      <c r="C6" s="37">
        <f>IFERROR(VLOOKUP($A6,06_OPEX!$A:$L,4,FALSE),"")</f>
        <v/>
      </c>
      <c r="D6" s="37">
        <f>IFERROR(VLOOKUP($A6,06_OPEX!$A:$L,7,FALSE),"")</f>
        <v/>
      </c>
      <c r="E6" s="52">
        <f>(IF($C6="Mensual",IF(AND(E$3&gt;=VLOOKUP($A6,06_OPEX!$A:$L,8,FALSE),E$3&lt;=VLOOKUP($A6,06_OPEX!$A:$L,9,FALSE)),-VLOOKUP($A6,06_OPEX!$A:$L,6,FALSE),0),IF($C6="Unico",IF(E$3=VLOOKUP($A6,06_OPEX!$A:$L,10,FALSE),-VLOOKUP($A6,06_OPEX!$A:$L,6,FALSE),0),IF($C6="Custom",-IFERROR(VLOOKUP($A6,06C_OPEX_CUSTOM!$A:$O,2+MATCH(E$3,06C_OPEX_CUSTOM!$C$3:$N$3,0),FALSE),0),0))))*IFERROR(IF(VLOOKUP($A6,06_OPEX!$A:$L,5,FALSE)="Variable",MULT_OPEX_VARIABLE,MULT_OPEX_FIJO),1)</f>
        <v/>
      </c>
      <c r="F6" s="52">
        <f>(IF($C6="Mensual",IF(AND(F$3&gt;=VLOOKUP($A6,06_OPEX!$A:$L,8,FALSE),F$3&lt;=VLOOKUP($A6,06_OPEX!$A:$L,9,FALSE)),-VLOOKUP($A6,06_OPEX!$A:$L,6,FALSE),0),IF($C6="Unico",IF(F$3=VLOOKUP($A6,06_OPEX!$A:$L,10,FALSE),-VLOOKUP($A6,06_OPEX!$A:$L,6,FALSE),0),IF($C6="Custom",-IFERROR(VLOOKUP($A6,06C_OPEX_CUSTOM!$A:$O,2+MATCH(F$3,06C_OPEX_CUSTOM!$C$3:$N$3,0),FALSE),0),0))))*IFERROR(IF(VLOOKUP($A6,06_OPEX!$A:$L,5,FALSE)="Variable",MULT_OPEX_VARIABLE,MULT_OPEX_FIJO),1)</f>
        <v/>
      </c>
      <c r="G6" s="52">
        <f>(IF($C6="Mensual",IF(AND(G$3&gt;=VLOOKUP($A6,06_OPEX!$A:$L,8,FALSE),G$3&lt;=VLOOKUP($A6,06_OPEX!$A:$L,9,FALSE)),-VLOOKUP($A6,06_OPEX!$A:$L,6,FALSE),0),IF($C6="Unico",IF(G$3=VLOOKUP($A6,06_OPEX!$A:$L,10,FALSE),-VLOOKUP($A6,06_OPEX!$A:$L,6,FALSE),0),IF($C6="Custom",-IFERROR(VLOOKUP($A6,06C_OPEX_CUSTOM!$A:$O,2+MATCH(G$3,06C_OPEX_CUSTOM!$C$3:$N$3,0),FALSE),0),0))))*IFERROR(IF(VLOOKUP($A6,06_OPEX!$A:$L,5,FALSE)="Variable",MULT_OPEX_VARIABLE,MULT_OPEX_FIJO),1)</f>
        <v/>
      </c>
      <c r="H6" s="52">
        <f>(IF($C6="Mensual",IF(AND(H$3&gt;=VLOOKUP($A6,06_OPEX!$A:$L,8,FALSE),H$3&lt;=VLOOKUP($A6,06_OPEX!$A:$L,9,FALSE)),-VLOOKUP($A6,06_OPEX!$A:$L,6,FALSE),0),IF($C6="Unico",IF(H$3=VLOOKUP($A6,06_OPEX!$A:$L,10,FALSE),-VLOOKUP($A6,06_OPEX!$A:$L,6,FALSE),0),IF($C6="Custom",-IFERROR(VLOOKUP($A6,06C_OPEX_CUSTOM!$A:$O,2+MATCH(H$3,06C_OPEX_CUSTOM!$C$3:$N$3,0),FALSE),0),0))))*IFERROR(IF(VLOOKUP($A6,06_OPEX!$A:$L,5,FALSE)="Variable",MULT_OPEX_VARIABLE,MULT_OPEX_FIJO),1)</f>
        <v/>
      </c>
      <c r="I6" s="52">
        <f>(IF($C6="Mensual",IF(AND(I$3&gt;=VLOOKUP($A6,06_OPEX!$A:$L,8,FALSE),I$3&lt;=VLOOKUP($A6,06_OPEX!$A:$L,9,FALSE)),-VLOOKUP($A6,06_OPEX!$A:$L,6,FALSE),0),IF($C6="Unico",IF(I$3=VLOOKUP($A6,06_OPEX!$A:$L,10,FALSE),-VLOOKUP($A6,06_OPEX!$A:$L,6,FALSE),0),IF($C6="Custom",-IFERROR(VLOOKUP($A6,06C_OPEX_CUSTOM!$A:$O,2+MATCH(I$3,06C_OPEX_CUSTOM!$C$3:$N$3,0),FALSE),0),0))))*IFERROR(IF(VLOOKUP($A6,06_OPEX!$A:$L,5,FALSE)="Variable",MULT_OPEX_VARIABLE,MULT_OPEX_FIJO),1)</f>
        <v/>
      </c>
      <c r="J6" s="52">
        <f>(IF($C6="Mensual",IF(AND(J$3&gt;=VLOOKUP($A6,06_OPEX!$A:$L,8,FALSE),J$3&lt;=VLOOKUP($A6,06_OPEX!$A:$L,9,FALSE)),-VLOOKUP($A6,06_OPEX!$A:$L,6,FALSE),0),IF($C6="Unico",IF(J$3=VLOOKUP($A6,06_OPEX!$A:$L,10,FALSE),-VLOOKUP($A6,06_OPEX!$A:$L,6,FALSE),0),IF($C6="Custom",-IFERROR(VLOOKUP($A6,06C_OPEX_CUSTOM!$A:$O,2+MATCH(J$3,06C_OPEX_CUSTOM!$C$3:$N$3,0),FALSE),0),0))))*IFERROR(IF(VLOOKUP($A6,06_OPEX!$A:$L,5,FALSE)="Variable",MULT_OPEX_VARIABLE,MULT_OPEX_FIJO),1)</f>
        <v/>
      </c>
      <c r="K6" s="52">
        <f>(IF($C6="Mensual",IF(AND(K$3&gt;=VLOOKUP($A6,06_OPEX!$A:$L,8,FALSE),K$3&lt;=VLOOKUP($A6,06_OPEX!$A:$L,9,FALSE)),-VLOOKUP($A6,06_OPEX!$A:$L,6,FALSE),0),IF($C6="Unico",IF(K$3=VLOOKUP($A6,06_OPEX!$A:$L,10,FALSE),-VLOOKUP($A6,06_OPEX!$A:$L,6,FALSE),0),IF($C6="Custom",-IFERROR(VLOOKUP($A6,06C_OPEX_CUSTOM!$A:$O,2+MATCH(K$3,06C_OPEX_CUSTOM!$C$3:$N$3,0),FALSE),0),0))))*IFERROR(IF(VLOOKUP($A6,06_OPEX!$A:$L,5,FALSE)="Variable",MULT_OPEX_VARIABLE,MULT_OPEX_FIJO),1)</f>
        <v/>
      </c>
      <c r="L6" s="52">
        <f>(IF($C6="Mensual",IF(AND(L$3&gt;=VLOOKUP($A6,06_OPEX!$A:$L,8,FALSE),L$3&lt;=VLOOKUP($A6,06_OPEX!$A:$L,9,FALSE)),-VLOOKUP($A6,06_OPEX!$A:$L,6,FALSE),0),IF($C6="Unico",IF(L$3=VLOOKUP($A6,06_OPEX!$A:$L,10,FALSE),-VLOOKUP($A6,06_OPEX!$A:$L,6,FALSE),0),IF($C6="Custom",-IFERROR(VLOOKUP($A6,06C_OPEX_CUSTOM!$A:$O,2+MATCH(L$3,06C_OPEX_CUSTOM!$C$3:$N$3,0),FALSE),0),0))))*IFERROR(IF(VLOOKUP($A6,06_OPEX!$A:$L,5,FALSE)="Variable",MULT_OPEX_VARIABLE,MULT_OPEX_FIJO),1)</f>
        <v/>
      </c>
      <c r="M6" s="52">
        <f>(IF($C6="Mensual",IF(AND(M$3&gt;=VLOOKUP($A6,06_OPEX!$A:$L,8,FALSE),M$3&lt;=VLOOKUP($A6,06_OPEX!$A:$L,9,FALSE)),-VLOOKUP($A6,06_OPEX!$A:$L,6,FALSE),0),IF($C6="Unico",IF(M$3=VLOOKUP($A6,06_OPEX!$A:$L,10,FALSE),-VLOOKUP($A6,06_OPEX!$A:$L,6,FALSE),0),IF($C6="Custom",-IFERROR(VLOOKUP($A6,06C_OPEX_CUSTOM!$A:$O,2+MATCH(M$3,06C_OPEX_CUSTOM!$C$3:$N$3,0),FALSE),0),0))))*IFERROR(IF(VLOOKUP($A6,06_OPEX!$A:$L,5,FALSE)="Variable",MULT_OPEX_VARIABLE,MULT_OPEX_FIJO),1)</f>
        <v/>
      </c>
      <c r="N6" s="52">
        <f>(IF($C6="Mensual",IF(AND(N$3&gt;=VLOOKUP($A6,06_OPEX!$A:$L,8,FALSE),N$3&lt;=VLOOKUP($A6,06_OPEX!$A:$L,9,FALSE)),-VLOOKUP($A6,06_OPEX!$A:$L,6,FALSE),0),IF($C6="Unico",IF(N$3=VLOOKUP($A6,06_OPEX!$A:$L,10,FALSE),-VLOOKUP($A6,06_OPEX!$A:$L,6,FALSE),0),IF($C6="Custom",-IFERROR(VLOOKUP($A6,06C_OPEX_CUSTOM!$A:$O,2+MATCH(N$3,06C_OPEX_CUSTOM!$C$3:$N$3,0),FALSE),0),0))))*IFERROR(IF(VLOOKUP($A6,06_OPEX!$A:$L,5,FALSE)="Variable",MULT_OPEX_VARIABLE,MULT_OPEX_FIJO),1)</f>
        <v/>
      </c>
      <c r="O6" s="52">
        <f>(IF($C6="Mensual",IF(AND(O$3&gt;=VLOOKUP($A6,06_OPEX!$A:$L,8,FALSE),O$3&lt;=VLOOKUP($A6,06_OPEX!$A:$L,9,FALSE)),-VLOOKUP($A6,06_OPEX!$A:$L,6,FALSE),0),IF($C6="Unico",IF(O$3=VLOOKUP($A6,06_OPEX!$A:$L,10,FALSE),-VLOOKUP($A6,06_OPEX!$A:$L,6,FALSE),0),IF($C6="Custom",-IFERROR(VLOOKUP($A6,06C_OPEX_CUSTOM!$A:$O,2+MATCH(O$3,06C_OPEX_CUSTOM!$C$3:$N$3,0),FALSE),0),0))))*IFERROR(IF(VLOOKUP($A6,06_OPEX!$A:$L,5,FALSE)="Variable",MULT_OPEX_VARIABLE,MULT_OPEX_FIJO),1)</f>
        <v/>
      </c>
      <c r="P6" s="52">
        <f>(IF($C6="Mensual",IF(AND(P$3&gt;=VLOOKUP($A6,06_OPEX!$A:$L,8,FALSE),P$3&lt;=VLOOKUP($A6,06_OPEX!$A:$L,9,FALSE)),-VLOOKUP($A6,06_OPEX!$A:$L,6,FALSE),0),IF($C6="Unico",IF(P$3=VLOOKUP($A6,06_OPEX!$A:$L,10,FALSE),-VLOOKUP($A6,06_OPEX!$A:$L,6,FALSE),0),IF($C6="Custom",-IFERROR(VLOOKUP($A6,06C_OPEX_CUSTOM!$A:$O,2+MATCH(P$3,06C_OPEX_CUSTOM!$C$3:$N$3,0),FALSE),0),0))))*IFERROR(IF(VLOOKUP($A6,06_OPEX!$A:$L,5,FALSE)="Variable",MULT_OPEX_VARIABLE,MULT_OPEX_FIJO),1)</f>
        <v/>
      </c>
      <c r="Q6" s="56">
        <f>SUM(E6:P6)</f>
        <v/>
      </c>
    </row>
    <row r="7">
      <c r="A7" s="36" t="inlineStr">
        <is>
          <t>OPEX-004</t>
        </is>
      </c>
      <c r="B7" s="36">
        <f>IFERROR(VLOOKUP($A7,06_OPEX!$A:$L,2,FALSE),"")</f>
        <v/>
      </c>
      <c r="C7" s="37">
        <f>IFERROR(VLOOKUP($A7,06_OPEX!$A:$L,4,FALSE),"")</f>
        <v/>
      </c>
      <c r="D7" s="37">
        <f>IFERROR(VLOOKUP($A7,06_OPEX!$A:$L,7,FALSE),"")</f>
        <v/>
      </c>
      <c r="E7" s="52">
        <f>(IF($C7="Mensual",IF(AND(E$3&gt;=VLOOKUP($A7,06_OPEX!$A:$L,8,FALSE),E$3&lt;=VLOOKUP($A7,06_OPEX!$A:$L,9,FALSE)),-VLOOKUP($A7,06_OPEX!$A:$L,6,FALSE),0),IF($C7="Unico",IF(E$3=VLOOKUP($A7,06_OPEX!$A:$L,10,FALSE),-VLOOKUP($A7,06_OPEX!$A:$L,6,FALSE),0),IF($C7="Custom",-IFERROR(VLOOKUP($A7,06C_OPEX_CUSTOM!$A:$O,2+MATCH(E$3,06C_OPEX_CUSTOM!$C$3:$N$3,0),FALSE),0),0))))*IFERROR(IF(VLOOKUP($A7,06_OPEX!$A:$L,5,FALSE)="Variable",MULT_OPEX_VARIABLE,MULT_OPEX_FIJO),1)</f>
        <v/>
      </c>
      <c r="F7" s="52">
        <f>(IF($C7="Mensual",IF(AND(F$3&gt;=VLOOKUP($A7,06_OPEX!$A:$L,8,FALSE),F$3&lt;=VLOOKUP($A7,06_OPEX!$A:$L,9,FALSE)),-VLOOKUP($A7,06_OPEX!$A:$L,6,FALSE),0),IF($C7="Unico",IF(F$3=VLOOKUP($A7,06_OPEX!$A:$L,10,FALSE),-VLOOKUP($A7,06_OPEX!$A:$L,6,FALSE),0),IF($C7="Custom",-IFERROR(VLOOKUP($A7,06C_OPEX_CUSTOM!$A:$O,2+MATCH(F$3,06C_OPEX_CUSTOM!$C$3:$N$3,0),FALSE),0),0))))*IFERROR(IF(VLOOKUP($A7,06_OPEX!$A:$L,5,FALSE)="Variable",MULT_OPEX_VARIABLE,MULT_OPEX_FIJO),1)</f>
        <v/>
      </c>
      <c r="G7" s="52">
        <f>(IF($C7="Mensual",IF(AND(G$3&gt;=VLOOKUP($A7,06_OPEX!$A:$L,8,FALSE),G$3&lt;=VLOOKUP($A7,06_OPEX!$A:$L,9,FALSE)),-VLOOKUP($A7,06_OPEX!$A:$L,6,FALSE),0),IF($C7="Unico",IF(G$3=VLOOKUP($A7,06_OPEX!$A:$L,10,FALSE),-VLOOKUP($A7,06_OPEX!$A:$L,6,FALSE),0),IF($C7="Custom",-IFERROR(VLOOKUP($A7,06C_OPEX_CUSTOM!$A:$O,2+MATCH(G$3,06C_OPEX_CUSTOM!$C$3:$N$3,0),FALSE),0),0))))*IFERROR(IF(VLOOKUP($A7,06_OPEX!$A:$L,5,FALSE)="Variable",MULT_OPEX_VARIABLE,MULT_OPEX_FIJO),1)</f>
        <v/>
      </c>
      <c r="H7" s="52">
        <f>(IF($C7="Mensual",IF(AND(H$3&gt;=VLOOKUP($A7,06_OPEX!$A:$L,8,FALSE),H$3&lt;=VLOOKUP($A7,06_OPEX!$A:$L,9,FALSE)),-VLOOKUP($A7,06_OPEX!$A:$L,6,FALSE),0),IF($C7="Unico",IF(H$3=VLOOKUP($A7,06_OPEX!$A:$L,10,FALSE),-VLOOKUP($A7,06_OPEX!$A:$L,6,FALSE),0),IF($C7="Custom",-IFERROR(VLOOKUP($A7,06C_OPEX_CUSTOM!$A:$O,2+MATCH(H$3,06C_OPEX_CUSTOM!$C$3:$N$3,0),FALSE),0),0))))*IFERROR(IF(VLOOKUP($A7,06_OPEX!$A:$L,5,FALSE)="Variable",MULT_OPEX_VARIABLE,MULT_OPEX_FIJO),1)</f>
        <v/>
      </c>
      <c r="I7" s="52">
        <f>(IF($C7="Mensual",IF(AND(I$3&gt;=VLOOKUP($A7,06_OPEX!$A:$L,8,FALSE),I$3&lt;=VLOOKUP($A7,06_OPEX!$A:$L,9,FALSE)),-VLOOKUP($A7,06_OPEX!$A:$L,6,FALSE),0),IF($C7="Unico",IF(I$3=VLOOKUP($A7,06_OPEX!$A:$L,10,FALSE),-VLOOKUP($A7,06_OPEX!$A:$L,6,FALSE),0),IF($C7="Custom",-IFERROR(VLOOKUP($A7,06C_OPEX_CUSTOM!$A:$O,2+MATCH(I$3,06C_OPEX_CUSTOM!$C$3:$N$3,0),FALSE),0),0))))*IFERROR(IF(VLOOKUP($A7,06_OPEX!$A:$L,5,FALSE)="Variable",MULT_OPEX_VARIABLE,MULT_OPEX_FIJO),1)</f>
        <v/>
      </c>
      <c r="J7" s="52">
        <f>(IF($C7="Mensual",IF(AND(J$3&gt;=VLOOKUP($A7,06_OPEX!$A:$L,8,FALSE),J$3&lt;=VLOOKUP($A7,06_OPEX!$A:$L,9,FALSE)),-VLOOKUP($A7,06_OPEX!$A:$L,6,FALSE),0),IF($C7="Unico",IF(J$3=VLOOKUP($A7,06_OPEX!$A:$L,10,FALSE),-VLOOKUP($A7,06_OPEX!$A:$L,6,FALSE),0),IF($C7="Custom",-IFERROR(VLOOKUP($A7,06C_OPEX_CUSTOM!$A:$O,2+MATCH(J$3,06C_OPEX_CUSTOM!$C$3:$N$3,0),FALSE),0),0))))*IFERROR(IF(VLOOKUP($A7,06_OPEX!$A:$L,5,FALSE)="Variable",MULT_OPEX_VARIABLE,MULT_OPEX_FIJO),1)</f>
        <v/>
      </c>
      <c r="K7" s="52">
        <f>(IF($C7="Mensual",IF(AND(K$3&gt;=VLOOKUP($A7,06_OPEX!$A:$L,8,FALSE),K$3&lt;=VLOOKUP($A7,06_OPEX!$A:$L,9,FALSE)),-VLOOKUP($A7,06_OPEX!$A:$L,6,FALSE),0),IF($C7="Unico",IF(K$3=VLOOKUP($A7,06_OPEX!$A:$L,10,FALSE),-VLOOKUP($A7,06_OPEX!$A:$L,6,FALSE),0),IF($C7="Custom",-IFERROR(VLOOKUP($A7,06C_OPEX_CUSTOM!$A:$O,2+MATCH(K$3,06C_OPEX_CUSTOM!$C$3:$N$3,0),FALSE),0),0))))*IFERROR(IF(VLOOKUP($A7,06_OPEX!$A:$L,5,FALSE)="Variable",MULT_OPEX_VARIABLE,MULT_OPEX_FIJO),1)</f>
        <v/>
      </c>
      <c r="L7" s="52">
        <f>(IF($C7="Mensual",IF(AND(L$3&gt;=VLOOKUP($A7,06_OPEX!$A:$L,8,FALSE),L$3&lt;=VLOOKUP($A7,06_OPEX!$A:$L,9,FALSE)),-VLOOKUP($A7,06_OPEX!$A:$L,6,FALSE),0),IF($C7="Unico",IF(L$3=VLOOKUP($A7,06_OPEX!$A:$L,10,FALSE),-VLOOKUP($A7,06_OPEX!$A:$L,6,FALSE),0),IF($C7="Custom",-IFERROR(VLOOKUP($A7,06C_OPEX_CUSTOM!$A:$O,2+MATCH(L$3,06C_OPEX_CUSTOM!$C$3:$N$3,0),FALSE),0),0))))*IFERROR(IF(VLOOKUP($A7,06_OPEX!$A:$L,5,FALSE)="Variable",MULT_OPEX_VARIABLE,MULT_OPEX_FIJO),1)</f>
        <v/>
      </c>
      <c r="M7" s="52">
        <f>(IF($C7="Mensual",IF(AND(M$3&gt;=VLOOKUP($A7,06_OPEX!$A:$L,8,FALSE),M$3&lt;=VLOOKUP($A7,06_OPEX!$A:$L,9,FALSE)),-VLOOKUP($A7,06_OPEX!$A:$L,6,FALSE),0),IF($C7="Unico",IF(M$3=VLOOKUP($A7,06_OPEX!$A:$L,10,FALSE),-VLOOKUP($A7,06_OPEX!$A:$L,6,FALSE),0),IF($C7="Custom",-IFERROR(VLOOKUP($A7,06C_OPEX_CUSTOM!$A:$O,2+MATCH(M$3,06C_OPEX_CUSTOM!$C$3:$N$3,0),FALSE),0),0))))*IFERROR(IF(VLOOKUP($A7,06_OPEX!$A:$L,5,FALSE)="Variable",MULT_OPEX_VARIABLE,MULT_OPEX_FIJO),1)</f>
        <v/>
      </c>
      <c r="N7" s="52">
        <f>(IF($C7="Mensual",IF(AND(N$3&gt;=VLOOKUP($A7,06_OPEX!$A:$L,8,FALSE),N$3&lt;=VLOOKUP($A7,06_OPEX!$A:$L,9,FALSE)),-VLOOKUP($A7,06_OPEX!$A:$L,6,FALSE),0),IF($C7="Unico",IF(N$3=VLOOKUP($A7,06_OPEX!$A:$L,10,FALSE),-VLOOKUP($A7,06_OPEX!$A:$L,6,FALSE),0),IF($C7="Custom",-IFERROR(VLOOKUP($A7,06C_OPEX_CUSTOM!$A:$O,2+MATCH(N$3,06C_OPEX_CUSTOM!$C$3:$N$3,0),FALSE),0),0))))*IFERROR(IF(VLOOKUP($A7,06_OPEX!$A:$L,5,FALSE)="Variable",MULT_OPEX_VARIABLE,MULT_OPEX_FIJO),1)</f>
        <v/>
      </c>
      <c r="O7" s="52">
        <f>(IF($C7="Mensual",IF(AND(O$3&gt;=VLOOKUP($A7,06_OPEX!$A:$L,8,FALSE),O$3&lt;=VLOOKUP($A7,06_OPEX!$A:$L,9,FALSE)),-VLOOKUP($A7,06_OPEX!$A:$L,6,FALSE),0),IF($C7="Unico",IF(O$3=VLOOKUP($A7,06_OPEX!$A:$L,10,FALSE),-VLOOKUP($A7,06_OPEX!$A:$L,6,FALSE),0),IF($C7="Custom",-IFERROR(VLOOKUP($A7,06C_OPEX_CUSTOM!$A:$O,2+MATCH(O$3,06C_OPEX_CUSTOM!$C$3:$N$3,0),FALSE),0),0))))*IFERROR(IF(VLOOKUP($A7,06_OPEX!$A:$L,5,FALSE)="Variable",MULT_OPEX_VARIABLE,MULT_OPEX_FIJO),1)</f>
        <v/>
      </c>
      <c r="P7" s="52">
        <f>(IF($C7="Mensual",IF(AND(P$3&gt;=VLOOKUP($A7,06_OPEX!$A:$L,8,FALSE),P$3&lt;=VLOOKUP($A7,06_OPEX!$A:$L,9,FALSE)),-VLOOKUP($A7,06_OPEX!$A:$L,6,FALSE),0),IF($C7="Unico",IF(P$3=VLOOKUP($A7,06_OPEX!$A:$L,10,FALSE),-VLOOKUP($A7,06_OPEX!$A:$L,6,FALSE),0),IF($C7="Custom",-IFERROR(VLOOKUP($A7,06C_OPEX_CUSTOM!$A:$O,2+MATCH(P$3,06C_OPEX_CUSTOM!$C$3:$N$3,0),FALSE),0),0))))*IFERROR(IF(VLOOKUP($A7,06_OPEX!$A:$L,5,FALSE)="Variable",MULT_OPEX_VARIABLE,MULT_OPEX_FIJO),1)</f>
        <v/>
      </c>
      <c r="Q7" s="56">
        <f>SUM(E7:P7)</f>
        <v/>
      </c>
    </row>
    <row r="8">
      <c r="A8" s="36" t="inlineStr">
        <is>
          <t>OPEX-005</t>
        </is>
      </c>
      <c r="B8" s="36">
        <f>IFERROR(VLOOKUP($A8,06_OPEX!$A:$L,2,FALSE),"")</f>
        <v/>
      </c>
      <c r="C8" s="37">
        <f>IFERROR(VLOOKUP($A8,06_OPEX!$A:$L,4,FALSE),"")</f>
        <v/>
      </c>
      <c r="D8" s="37">
        <f>IFERROR(VLOOKUP($A8,06_OPEX!$A:$L,7,FALSE),"")</f>
        <v/>
      </c>
      <c r="E8" s="52">
        <f>(IF($C8="Mensual",IF(AND(E$3&gt;=VLOOKUP($A8,06_OPEX!$A:$L,8,FALSE),E$3&lt;=VLOOKUP($A8,06_OPEX!$A:$L,9,FALSE)),-VLOOKUP($A8,06_OPEX!$A:$L,6,FALSE),0),IF($C8="Unico",IF(E$3=VLOOKUP($A8,06_OPEX!$A:$L,10,FALSE),-VLOOKUP($A8,06_OPEX!$A:$L,6,FALSE),0),IF($C8="Custom",-IFERROR(VLOOKUP($A8,06C_OPEX_CUSTOM!$A:$O,2+MATCH(E$3,06C_OPEX_CUSTOM!$C$3:$N$3,0),FALSE),0),0))))*IFERROR(IF(VLOOKUP($A8,06_OPEX!$A:$L,5,FALSE)="Variable",MULT_OPEX_VARIABLE,MULT_OPEX_FIJO),1)</f>
        <v/>
      </c>
      <c r="F8" s="52">
        <f>(IF($C8="Mensual",IF(AND(F$3&gt;=VLOOKUP($A8,06_OPEX!$A:$L,8,FALSE),F$3&lt;=VLOOKUP($A8,06_OPEX!$A:$L,9,FALSE)),-VLOOKUP($A8,06_OPEX!$A:$L,6,FALSE),0),IF($C8="Unico",IF(F$3=VLOOKUP($A8,06_OPEX!$A:$L,10,FALSE),-VLOOKUP($A8,06_OPEX!$A:$L,6,FALSE),0),IF($C8="Custom",-IFERROR(VLOOKUP($A8,06C_OPEX_CUSTOM!$A:$O,2+MATCH(F$3,06C_OPEX_CUSTOM!$C$3:$N$3,0),FALSE),0),0))))*IFERROR(IF(VLOOKUP($A8,06_OPEX!$A:$L,5,FALSE)="Variable",MULT_OPEX_VARIABLE,MULT_OPEX_FIJO),1)</f>
        <v/>
      </c>
      <c r="G8" s="52">
        <f>(IF($C8="Mensual",IF(AND(G$3&gt;=VLOOKUP($A8,06_OPEX!$A:$L,8,FALSE),G$3&lt;=VLOOKUP($A8,06_OPEX!$A:$L,9,FALSE)),-VLOOKUP($A8,06_OPEX!$A:$L,6,FALSE),0),IF($C8="Unico",IF(G$3=VLOOKUP($A8,06_OPEX!$A:$L,10,FALSE),-VLOOKUP($A8,06_OPEX!$A:$L,6,FALSE),0),IF($C8="Custom",-IFERROR(VLOOKUP($A8,06C_OPEX_CUSTOM!$A:$O,2+MATCH(G$3,06C_OPEX_CUSTOM!$C$3:$N$3,0),FALSE),0),0))))*IFERROR(IF(VLOOKUP($A8,06_OPEX!$A:$L,5,FALSE)="Variable",MULT_OPEX_VARIABLE,MULT_OPEX_FIJO),1)</f>
        <v/>
      </c>
      <c r="H8" s="52">
        <f>(IF($C8="Mensual",IF(AND(H$3&gt;=VLOOKUP($A8,06_OPEX!$A:$L,8,FALSE),H$3&lt;=VLOOKUP($A8,06_OPEX!$A:$L,9,FALSE)),-VLOOKUP($A8,06_OPEX!$A:$L,6,FALSE),0),IF($C8="Unico",IF(H$3=VLOOKUP($A8,06_OPEX!$A:$L,10,FALSE),-VLOOKUP($A8,06_OPEX!$A:$L,6,FALSE),0),IF($C8="Custom",-IFERROR(VLOOKUP($A8,06C_OPEX_CUSTOM!$A:$O,2+MATCH(H$3,06C_OPEX_CUSTOM!$C$3:$N$3,0),FALSE),0),0))))*IFERROR(IF(VLOOKUP($A8,06_OPEX!$A:$L,5,FALSE)="Variable",MULT_OPEX_VARIABLE,MULT_OPEX_FIJO),1)</f>
        <v/>
      </c>
      <c r="I8" s="52">
        <f>(IF($C8="Mensual",IF(AND(I$3&gt;=VLOOKUP($A8,06_OPEX!$A:$L,8,FALSE),I$3&lt;=VLOOKUP($A8,06_OPEX!$A:$L,9,FALSE)),-VLOOKUP($A8,06_OPEX!$A:$L,6,FALSE),0),IF($C8="Unico",IF(I$3=VLOOKUP($A8,06_OPEX!$A:$L,10,FALSE),-VLOOKUP($A8,06_OPEX!$A:$L,6,FALSE),0),IF($C8="Custom",-IFERROR(VLOOKUP($A8,06C_OPEX_CUSTOM!$A:$O,2+MATCH(I$3,06C_OPEX_CUSTOM!$C$3:$N$3,0),FALSE),0),0))))*IFERROR(IF(VLOOKUP($A8,06_OPEX!$A:$L,5,FALSE)="Variable",MULT_OPEX_VARIABLE,MULT_OPEX_FIJO),1)</f>
        <v/>
      </c>
      <c r="J8" s="52">
        <f>(IF($C8="Mensual",IF(AND(J$3&gt;=VLOOKUP($A8,06_OPEX!$A:$L,8,FALSE),J$3&lt;=VLOOKUP($A8,06_OPEX!$A:$L,9,FALSE)),-VLOOKUP($A8,06_OPEX!$A:$L,6,FALSE),0),IF($C8="Unico",IF(J$3=VLOOKUP($A8,06_OPEX!$A:$L,10,FALSE),-VLOOKUP($A8,06_OPEX!$A:$L,6,FALSE),0),IF($C8="Custom",-IFERROR(VLOOKUP($A8,06C_OPEX_CUSTOM!$A:$O,2+MATCH(J$3,06C_OPEX_CUSTOM!$C$3:$N$3,0),FALSE),0),0))))*IFERROR(IF(VLOOKUP($A8,06_OPEX!$A:$L,5,FALSE)="Variable",MULT_OPEX_VARIABLE,MULT_OPEX_FIJO),1)</f>
        <v/>
      </c>
      <c r="K8" s="52">
        <f>(IF($C8="Mensual",IF(AND(K$3&gt;=VLOOKUP($A8,06_OPEX!$A:$L,8,FALSE),K$3&lt;=VLOOKUP($A8,06_OPEX!$A:$L,9,FALSE)),-VLOOKUP($A8,06_OPEX!$A:$L,6,FALSE),0),IF($C8="Unico",IF(K$3=VLOOKUP($A8,06_OPEX!$A:$L,10,FALSE),-VLOOKUP($A8,06_OPEX!$A:$L,6,FALSE),0),IF($C8="Custom",-IFERROR(VLOOKUP($A8,06C_OPEX_CUSTOM!$A:$O,2+MATCH(K$3,06C_OPEX_CUSTOM!$C$3:$N$3,0),FALSE),0),0))))*IFERROR(IF(VLOOKUP($A8,06_OPEX!$A:$L,5,FALSE)="Variable",MULT_OPEX_VARIABLE,MULT_OPEX_FIJO),1)</f>
        <v/>
      </c>
      <c r="L8" s="52">
        <f>(IF($C8="Mensual",IF(AND(L$3&gt;=VLOOKUP($A8,06_OPEX!$A:$L,8,FALSE),L$3&lt;=VLOOKUP($A8,06_OPEX!$A:$L,9,FALSE)),-VLOOKUP($A8,06_OPEX!$A:$L,6,FALSE),0),IF($C8="Unico",IF(L$3=VLOOKUP($A8,06_OPEX!$A:$L,10,FALSE),-VLOOKUP($A8,06_OPEX!$A:$L,6,FALSE),0),IF($C8="Custom",-IFERROR(VLOOKUP($A8,06C_OPEX_CUSTOM!$A:$O,2+MATCH(L$3,06C_OPEX_CUSTOM!$C$3:$N$3,0),FALSE),0),0))))*IFERROR(IF(VLOOKUP($A8,06_OPEX!$A:$L,5,FALSE)="Variable",MULT_OPEX_VARIABLE,MULT_OPEX_FIJO),1)</f>
        <v/>
      </c>
      <c r="M8" s="52">
        <f>(IF($C8="Mensual",IF(AND(M$3&gt;=VLOOKUP($A8,06_OPEX!$A:$L,8,FALSE),M$3&lt;=VLOOKUP($A8,06_OPEX!$A:$L,9,FALSE)),-VLOOKUP($A8,06_OPEX!$A:$L,6,FALSE),0),IF($C8="Unico",IF(M$3=VLOOKUP($A8,06_OPEX!$A:$L,10,FALSE),-VLOOKUP($A8,06_OPEX!$A:$L,6,FALSE),0),IF($C8="Custom",-IFERROR(VLOOKUP($A8,06C_OPEX_CUSTOM!$A:$O,2+MATCH(M$3,06C_OPEX_CUSTOM!$C$3:$N$3,0),FALSE),0),0))))*IFERROR(IF(VLOOKUP($A8,06_OPEX!$A:$L,5,FALSE)="Variable",MULT_OPEX_VARIABLE,MULT_OPEX_FIJO),1)</f>
        <v/>
      </c>
      <c r="N8" s="52">
        <f>(IF($C8="Mensual",IF(AND(N$3&gt;=VLOOKUP($A8,06_OPEX!$A:$L,8,FALSE),N$3&lt;=VLOOKUP($A8,06_OPEX!$A:$L,9,FALSE)),-VLOOKUP($A8,06_OPEX!$A:$L,6,FALSE),0),IF($C8="Unico",IF(N$3=VLOOKUP($A8,06_OPEX!$A:$L,10,FALSE),-VLOOKUP($A8,06_OPEX!$A:$L,6,FALSE),0),IF($C8="Custom",-IFERROR(VLOOKUP($A8,06C_OPEX_CUSTOM!$A:$O,2+MATCH(N$3,06C_OPEX_CUSTOM!$C$3:$N$3,0),FALSE),0),0))))*IFERROR(IF(VLOOKUP($A8,06_OPEX!$A:$L,5,FALSE)="Variable",MULT_OPEX_VARIABLE,MULT_OPEX_FIJO),1)</f>
        <v/>
      </c>
      <c r="O8" s="52">
        <f>(IF($C8="Mensual",IF(AND(O$3&gt;=VLOOKUP($A8,06_OPEX!$A:$L,8,FALSE),O$3&lt;=VLOOKUP($A8,06_OPEX!$A:$L,9,FALSE)),-VLOOKUP($A8,06_OPEX!$A:$L,6,FALSE),0),IF($C8="Unico",IF(O$3=VLOOKUP($A8,06_OPEX!$A:$L,10,FALSE),-VLOOKUP($A8,06_OPEX!$A:$L,6,FALSE),0),IF($C8="Custom",-IFERROR(VLOOKUP($A8,06C_OPEX_CUSTOM!$A:$O,2+MATCH(O$3,06C_OPEX_CUSTOM!$C$3:$N$3,0),FALSE),0),0))))*IFERROR(IF(VLOOKUP($A8,06_OPEX!$A:$L,5,FALSE)="Variable",MULT_OPEX_VARIABLE,MULT_OPEX_FIJO),1)</f>
        <v/>
      </c>
      <c r="P8" s="52">
        <f>(IF($C8="Mensual",IF(AND(P$3&gt;=VLOOKUP($A8,06_OPEX!$A:$L,8,FALSE),P$3&lt;=VLOOKUP($A8,06_OPEX!$A:$L,9,FALSE)),-VLOOKUP($A8,06_OPEX!$A:$L,6,FALSE),0),IF($C8="Unico",IF(P$3=VLOOKUP($A8,06_OPEX!$A:$L,10,FALSE),-VLOOKUP($A8,06_OPEX!$A:$L,6,FALSE),0),IF($C8="Custom",-IFERROR(VLOOKUP($A8,06C_OPEX_CUSTOM!$A:$O,2+MATCH(P$3,06C_OPEX_CUSTOM!$C$3:$N$3,0),FALSE),0),0))))*IFERROR(IF(VLOOKUP($A8,06_OPEX!$A:$L,5,FALSE)="Variable",MULT_OPEX_VARIABLE,MULT_OPEX_FIJO),1)</f>
        <v/>
      </c>
      <c r="Q8" s="56">
        <f>SUM(E8:P8)</f>
        <v/>
      </c>
    </row>
    <row r="9">
      <c r="A9" s="36" t="inlineStr">
        <is>
          <t>OPEX-006</t>
        </is>
      </c>
      <c r="B9" s="36">
        <f>IFERROR(VLOOKUP($A9,06_OPEX!$A:$L,2,FALSE),"")</f>
        <v/>
      </c>
      <c r="C9" s="37">
        <f>IFERROR(VLOOKUP($A9,06_OPEX!$A:$L,4,FALSE),"")</f>
        <v/>
      </c>
      <c r="D9" s="37">
        <f>IFERROR(VLOOKUP($A9,06_OPEX!$A:$L,7,FALSE),"")</f>
        <v/>
      </c>
      <c r="E9" s="52">
        <f>(IF($C9="Mensual",IF(AND(E$3&gt;=VLOOKUP($A9,06_OPEX!$A:$L,8,FALSE),E$3&lt;=VLOOKUP($A9,06_OPEX!$A:$L,9,FALSE)),-VLOOKUP($A9,06_OPEX!$A:$L,6,FALSE),0),IF($C9="Unico",IF(E$3=VLOOKUP($A9,06_OPEX!$A:$L,10,FALSE),-VLOOKUP($A9,06_OPEX!$A:$L,6,FALSE),0),IF($C9="Custom",-IFERROR(VLOOKUP($A9,06C_OPEX_CUSTOM!$A:$O,2+MATCH(E$3,06C_OPEX_CUSTOM!$C$3:$N$3,0),FALSE),0),0))))*IFERROR(IF(VLOOKUP($A9,06_OPEX!$A:$L,5,FALSE)="Variable",MULT_OPEX_VARIABLE,MULT_OPEX_FIJO),1)</f>
        <v/>
      </c>
      <c r="F9" s="52">
        <f>(IF($C9="Mensual",IF(AND(F$3&gt;=VLOOKUP($A9,06_OPEX!$A:$L,8,FALSE),F$3&lt;=VLOOKUP($A9,06_OPEX!$A:$L,9,FALSE)),-VLOOKUP($A9,06_OPEX!$A:$L,6,FALSE),0),IF($C9="Unico",IF(F$3=VLOOKUP($A9,06_OPEX!$A:$L,10,FALSE),-VLOOKUP($A9,06_OPEX!$A:$L,6,FALSE),0),IF($C9="Custom",-IFERROR(VLOOKUP($A9,06C_OPEX_CUSTOM!$A:$O,2+MATCH(F$3,06C_OPEX_CUSTOM!$C$3:$N$3,0),FALSE),0),0))))*IFERROR(IF(VLOOKUP($A9,06_OPEX!$A:$L,5,FALSE)="Variable",MULT_OPEX_VARIABLE,MULT_OPEX_FIJO),1)</f>
        <v/>
      </c>
      <c r="G9" s="52">
        <f>(IF($C9="Mensual",IF(AND(G$3&gt;=VLOOKUP($A9,06_OPEX!$A:$L,8,FALSE),G$3&lt;=VLOOKUP($A9,06_OPEX!$A:$L,9,FALSE)),-VLOOKUP($A9,06_OPEX!$A:$L,6,FALSE),0),IF($C9="Unico",IF(G$3=VLOOKUP($A9,06_OPEX!$A:$L,10,FALSE),-VLOOKUP($A9,06_OPEX!$A:$L,6,FALSE),0),IF($C9="Custom",-IFERROR(VLOOKUP($A9,06C_OPEX_CUSTOM!$A:$O,2+MATCH(G$3,06C_OPEX_CUSTOM!$C$3:$N$3,0),FALSE),0),0))))*IFERROR(IF(VLOOKUP($A9,06_OPEX!$A:$L,5,FALSE)="Variable",MULT_OPEX_VARIABLE,MULT_OPEX_FIJO),1)</f>
        <v/>
      </c>
      <c r="H9" s="52">
        <f>(IF($C9="Mensual",IF(AND(H$3&gt;=VLOOKUP($A9,06_OPEX!$A:$L,8,FALSE),H$3&lt;=VLOOKUP($A9,06_OPEX!$A:$L,9,FALSE)),-VLOOKUP($A9,06_OPEX!$A:$L,6,FALSE),0),IF($C9="Unico",IF(H$3=VLOOKUP($A9,06_OPEX!$A:$L,10,FALSE),-VLOOKUP($A9,06_OPEX!$A:$L,6,FALSE),0),IF($C9="Custom",-IFERROR(VLOOKUP($A9,06C_OPEX_CUSTOM!$A:$O,2+MATCH(H$3,06C_OPEX_CUSTOM!$C$3:$N$3,0),FALSE),0),0))))*IFERROR(IF(VLOOKUP($A9,06_OPEX!$A:$L,5,FALSE)="Variable",MULT_OPEX_VARIABLE,MULT_OPEX_FIJO),1)</f>
        <v/>
      </c>
      <c r="I9" s="52">
        <f>(IF($C9="Mensual",IF(AND(I$3&gt;=VLOOKUP($A9,06_OPEX!$A:$L,8,FALSE),I$3&lt;=VLOOKUP($A9,06_OPEX!$A:$L,9,FALSE)),-VLOOKUP($A9,06_OPEX!$A:$L,6,FALSE),0),IF($C9="Unico",IF(I$3=VLOOKUP($A9,06_OPEX!$A:$L,10,FALSE),-VLOOKUP($A9,06_OPEX!$A:$L,6,FALSE),0),IF($C9="Custom",-IFERROR(VLOOKUP($A9,06C_OPEX_CUSTOM!$A:$O,2+MATCH(I$3,06C_OPEX_CUSTOM!$C$3:$N$3,0),FALSE),0),0))))*IFERROR(IF(VLOOKUP($A9,06_OPEX!$A:$L,5,FALSE)="Variable",MULT_OPEX_VARIABLE,MULT_OPEX_FIJO),1)</f>
        <v/>
      </c>
      <c r="J9" s="52">
        <f>(IF($C9="Mensual",IF(AND(J$3&gt;=VLOOKUP($A9,06_OPEX!$A:$L,8,FALSE),J$3&lt;=VLOOKUP($A9,06_OPEX!$A:$L,9,FALSE)),-VLOOKUP($A9,06_OPEX!$A:$L,6,FALSE),0),IF($C9="Unico",IF(J$3=VLOOKUP($A9,06_OPEX!$A:$L,10,FALSE),-VLOOKUP($A9,06_OPEX!$A:$L,6,FALSE),0),IF($C9="Custom",-IFERROR(VLOOKUP($A9,06C_OPEX_CUSTOM!$A:$O,2+MATCH(J$3,06C_OPEX_CUSTOM!$C$3:$N$3,0),FALSE),0),0))))*IFERROR(IF(VLOOKUP($A9,06_OPEX!$A:$L,5,FALSE)="Variable",MULT_OPEX_VARIABLE,MULT_OPEX_FIJO),1)</f>
        <v/>
      </c>
      <c r="K9" s="52">
        <f>(IF($C9="Mensual",IF(AND(K$3&gt;=VLOOKUP($A9,06_OPEX!$A:$L,8,FALSE),K$3&lt;=VLOOKUP($A9,06_OPEX!$A:$L,9,FALSE)),-VLOOKUP($A9,06_OPEX!$A:$L,6,FALSE),0),IF($C9="Unico",IF(K$3=VLOOKUP($A9,06_OPEX!$A:$L,10,FALSE),-VLOOKUP($A9,06_OPEX!$A:$L,6,FALSE),0),IF($C9="Custom",-IFERROR(VLOOKUP($A9,06C_OPEX_CUSTOM!$A:$O,2+MATCH(K$3,06C_OPEX_CUSTOM!$C$3:$N$3,0),FALSE),0),0))))*IFERROR(IF(VLOOKUP($A9,06_OPEX!$A:$L,5,FALSE)="Variable",MULT_OPEX_VARIABLE,MULT_OPEX_FIJO),1)</f>
        <v/>
      </c>
      <c r="L9" s="52">
        <f>(IF($C9="Mensual",IF(AND(L$3&gt;=VLOOKUP($A9,06_OPEX!$A:$L,8,FALSE),L$3&lt;=VLOOKUP($A9,06_OPEX!$A:$L,9,FALSE)),-VLOOKUP($A9,06_OPEX!$A:$L,6,FALSE),0),IF($C9="Unico",IF(L$3=VLOOKUP($A9,06_OPEX!$A:$L,10,FALSE),-VLOOKUP($A9,06_OPEX!$A:$L,6,FALSE),0),IF($C9="Custom",-IFERROR(VLOOKUP($A9,06C_OPEX_CUSTOM!$A:$O,2+MATCH(L$3,06C_OPEX_CUSTOM!$C$3:$N$3,0),FALSE),0),0))))*IFERROR(IF(VLOOKUP($A9,06_OPEX!$A:$L,5,FALSE)="Variable",MULT_OPEX_VARIABLE,MULT_OPEX_FIJO),1)</f>
        <v/>
      </c>
      <c r="M9" s="52">
        <f>(IF($C9="Mensual",IF(AND(M$3&gt;=VLOOKUP($A9,06_OPEX!$A:$L,8,FALSE),M$3&lt;=VLOOKUP($A9,06_OPEX!$A:$L,9,FALSE)),-VLOOKUP($A9,06_OPEX!$A:$L,6,FALSE),0),IF($C9="Unico",IF(M$3=VLOOKUP($A9,06_OPEX!$A:$L,10,FALSE),-VLOOKUP($A9,06_OPEX!$A:$L,6,FALSE),0),IF($C9="Custom",-IFERROR(VLOOKUP($A9,06C_OPEX_CUSTOM!$A:$O,2+MATCH(M$3,06C_OPEX_CUSTOM!$C$3:$N$3,0),FALSE),0),0))))*IFERROR(IF(VLOOKUP($A9,06_OPEX!$A:$L,5,FALSE)="Variable",MULT_OPEX_VARIABLE,MULT_OPEX_FIJO),1)</f>
        <v/>
      </c>
      <c r="N9" s="52">
        <f>(IF($C9="Mensual",IF(AND(N$3&gt;=VLOOKUP($A9,06_OPEX!$A:$L,8,FALSE),N$3&lt;=VLOOKUP($A9,06_OPEX!$A:$L,9,FALSE)),-VLOOKUP($A9,06_OPEX!$A:$L,6,FALSE),0),IF($C9="Unico",IF(N$3=VLOOKUP($A9,06_OPEX!$A:$L,10,FALSE),-VLOOKUP($A9,06_OPEX!$A:$L,6,FALSE),0),IF($C9="Custom",-IFERROR(VLOOKUP($A9,06C_OPEX_CUSTOM!$A:$O,2+MATCH(N$3,06C_OPEX_CUSTOM!$C$3:$N$3,0),FALSE),0),0))))*IFERROR(IF(VLOOKUP($A9,06_OPEX!$A:$L,5,FALSE)="Variable",MULT_OPEX_VARIABLE,MULT_OPEX_FIJO),1)</f>
        <v/>
      </c>
      <c r="O9" s="52">
        <f>(IF($C9="Mensual",IF(AND(O$3&gt;=VLOOKUP($A9,06_OPEX!$A:$L,8,FALSE),O$3&lt;=VLOOKUP($A9,06_OPEX!$A:$L,9,FALSE)),-VLOOKUP($A9,06_OPEX!$A:$L,6,FALSE),0),IF($C9="Unico",IF(O$3=VLOOKUP($A9,06_OPEX!$A:$L,10,FALSE),-VLOOKUP($A9,06_OPEX!$A:$L,6,FALSE),0),IF($C9="Custom",-IFERROR(VLOOKUP($A9,06C_OPEX_CUSTOM!$A:$O,2+MATCH(O$3,06C_OPEX_CUSTOM!$C$3:$N$3,0),FALSE),0),0))))*IFERROR(IF(VLOOKUP($A9,06_OPEX!$A:$L,5,FALSE)="Variable",MULT_OPEX_VARIABLE,MULT_OPEX_FIJO),1)</f>
        <v/>
      </c>
      <c r="P9" s="52">
        <f>(IF($C9="Mensual",IF(AND(P$3&gt;=VLOOKUP($A9,06_OPEX!$A:$L,8,FALSE),P$3&lt;=VLOOKUP($A9,06_OPEX!$A:$L,9,FALSE)),-VLOOKUP($A9,06_OPEX!$A:$L,6,FALSE),0),IF($C9="Unico",IF(P$3=VLOOKUP($A9,06_OPEX!$A:$L,10,FALSE),-VLOOKUP($A9,06_OPEX!$A:$L,6,FALSE),0),IF($C9="Custom",-IFERROR(VLOOKUP($A9,06C_OPEX_CUSTOM!$A:$O,2+MATCH(P$3,06C_OPEX_CUSTOM!$C$3:$N$3,0),FALSE),0),0))))*IFERROR(IF(VLOOKUP($A9,06_OPEX!$A:$L,5,FALSE)="Variable",MULT_OPEX_VARIABLE,MULT_OPEX_FIJO),1)</f>
        <v/>
      </c>
      <c r="Q9" s="56">
        <f>SUM(E9:P9)</f>
        <v/>
      </c>
    </row>
    <row r="10">
      <c r="A10" s="36" t="inlineStr">
        <is>
          <t>OPEX-007</t>
        </is>
      </c>
      <c r="B10" s="36">
        <f>IFERROR(VLOOKUP($A10,06_OPEX!$A:$L,2,FALSE),"")</f>
        <v/>
      </c>
      <c r="C10" s="37">
        <f>IFERROR(VLOOKUP($A10,06_OPEX!$A:$L,4,FALSE),"")</f>
        <v/>
      </c>
      <c r="D10" s="37">
        <f>IFERROR(VLOOKUP($A10,06_OPEX!$A:$L,7,FALSE),"")</f>
        <v/>
      </c>
      <c r="E10" s="52">
        <f>(IF($C10="Mensual",IF(AND(E$3&gt;=VLOOKUP($A10,06_OPEX!$A:$L,8,FALSE),E$3&lt;=VLOOKUP($A10,06_OPEX!$A:$L,9,FALSE)),-VLOOKUP($A10,06_OPEX!$A:$L,6,FALSE),0),IF($C10="Unico",IF(E$3=VLOOKUP($A10,06_OPEX!$A:$L,10,FALSE),-VLOOKUP($A10,06_OPEX!$A:$L,6,FALSE),0),IF($C10="Custom",-IFERROR(VLOOKUP($A10,06C_OPEX_CUSTOM!$A:$O,2+MATCH(E$3,06C_OPEX_CUSTOM!$C$3:$N$3,0),FALSE),0),0))))*IFERROR(IF(VLOOKUP($A10,06_OPEX!$A:$L,5,FALSE)="Variable",MULT_OPEX_VARIABLE,MULT_OPEX_FIJO),1)</f>
        <v/>
      </c>
      <c r="F10" s="52">
        <f>(IF($C10="Mensual",IF(AND(F$3&gt;=VLOOKUP($A10,06_OPEX!$A:$L,8,FALSE),F$3&lt;=VLOOKUP($A10,06_OPEX!$A:$L,9,FALSE)),-VLOOKUP($A10,06_OPEX!$A:$L,6,FALSE),0),IF($C10="Unico",IF(F$3=VLOOKUP($A10,06_OPEX!$A:$L,10,FALSE),-VLOOKUP($A10,06_OPEX!$A:$L,6,FALSE),0),IF($C10="Custom",-IFERROR(VLOOKUP($A10,06C_OPEX_CUSTOM!$A:$O,2+MATCH(F$3,06C_OPEX_CUSTOM!$C$3:$N$3,0),FALSE),0),0))))*IFERROR(IF(VLOOKUP($A10,06_OPEX!$A:$L,5,FALSE)="Variable",MULT_OPEX_VARIABLE,MULT_OPEX_FIJO),1)</f>
        <v/>
      </c>
      <c r="G10" s="52">
        <f>(IF($C10="Mensual",IF(AND(G$3&gt;=VLOOKUP($A10,06_OPEX!$A:$L,8,FALSE),G$3&lt;=VLOOKUP($A10,06_OPEX!$A:$L,9,FALSE)),-VLOOKUP($A10,06_OPEX!$A:$L,6,FALSE),0),IF($C10="Unico",IF(G$3=VLOOKUP($A10,06_OPEX!$A:$L,10,FALSE),-VLOOKUP($A10,06_OPEX!$A:$L,6,FALSE),0),IF($C10="Custom",-IFERROR(VLOOKUP($A10,06C_OPEX_CUSTOM!$A:$O,2+MATCH(G$3,06C_OPEX_CUSTOM!$C$3:$N$3,0),FALSE),0),0))))*IFERROR(IF(VLOOKUP($A10,06_OPEX!$A:$L,5,FALSE)="Variable",MULT_OPEX_VARIABLE,MULT_OPEX_FIJO),1)</f>
        <v/>
      </c>
      <c r="H10" s="52">
        <f>(IF($C10="Mensual",IF(AND(H$3&gt;=VLOOKUP($A10,06_OPEX!$A:$L,8,FALSE),H$3&lt;=VLOOKUP($A10,06_OPEX!$A:$L,9,FALSE)),-VLOOKUP($A10,06_OPEX!$A:$L,6,FALSE),0),IF($C10="Unico",IF(H$3=VLOOKUP($A10,06_OPEX!$A:$L,10,FALSE),-VLOOKUP($A10,06_OPEX!$A:$L,6,FALSE),0),IF($C10="Custom",-IFERROR(VLOOKUP($A10,06C_OPEX_CUSTOM!$A:$O,2+MATCH(H$3,06C_OPEX_CUSTOM!$C$3:$N$3,0),FALSE),0),0))))*IFERROR(IF(VLOOKUP($A10,06_OPEX!$A:$L,5,FALSE)="Variable",MULT_OPEX_VARIABLE,MULT_OPEX_FIJO),1)</f>
        <v/>
      </c>
      <c r="I10" s="52">
        <f>(IF($C10="Mensual",IF(AND(I$3&gt;=VLOOKUP($A10,06_OPEX!$A:$L,8,FALSE),I$3&lt;=VLOOKUP($A10,06_OPEX!$A:$L,9,FALSE)),-VLOOKUP($A10,06_OPEX!$A:$L,6,FALSE),0),IF($C10="Unico",IF(I$3=VLOOKUP($A10,06_OPEX!$A:$L,10,FALSE),-VLOOKUP($A10,06_OPEX!$A:$L,6,FALSE),0),IF($C10="Custom",-IFERROR(VLOOKUP($A10,06C_OPEX_CUSTOM!$A:$O,2+MATCH(I$3,06C_OPEX_CUSTOM!$C$3:$N$3,0),FALSE),0),0))))*IFERROR(IF(VLOOKUP($A10,06_OPEX!$A:$L,5,FALSE)="Variable",MULT_OPEX_VARIABLE,MULT_OPEX_FIJO),1)</f>
        <v/>
      </c>
      <c r="J10" s="52">
        <f>(IF($C10="Mensual",IF(AND(J$3&gt;=VLOOKUP($A10,06_OPEX!$A:$L,8,FALSE),J$3&lt;=VLOOKUP($A10,06_OPEX!$A:$L,9,FALSE)),-VLOOKUP($A10,06_OPEX!$A:$L,6,FALSE),0),IF($C10="Unico",IF(J$3=VLOOKUP($A10,06_OPEX!$A:$L,10,FALSE),-VLOOKUP($A10,06_OPEX!$A:$L,6,FALSE),0),IF($C10="Custom",-IFERROR(VLOOKUP($A10,06C_OPEX_CUSTOM!$A:$O,2+MATCH(J$3,06C_OPEX_CUSTOM!$C$3:$N$3,0),FALSE),0),0))))*IFERROR(IF(VLOOKUP($A10,06_OPEX!$A:$L,5,FALSE)="Variable",MULT_OPEX_VARIABLE,MULT_OPEX_FIJO),1)</f>
        <v/>
      </c>
      <c r="K10" s="52">
        <f>(IF($C10="Mensual",IF(AND(K$3&gt;=VLOOKUP($A10,06_OPEX!$A:$L,8,FALSE),K$3&lt;=VLOOKUP($A10,06_OPEX!$A:$L,9,FALSE)),-VLOOKUP($A10,06_OPEX!$A:$L,6,FALSE),0),IF($C10="Unico",IF(K$3=VLOOKUP($A10,06_OPEX!$A:$L,10,FALSE),-VLOOKUP($A10,06_OPEX!$A:$L,6,FALSE),0),IF($C10="Custom",-IFERROR(VLOOKUP($A10,06C_OPEX_CUSTOM!$A:$O,2+MATCH(K$3,06C_OPEX_CUSTOM!$C$3:$N$3,0),FALSE),0),0))))*IFERROR(IF(VLOOKUP($A10,06_OPEX!$A:$L,5,FALSE)="Variable",MULT_OPEX_VARIABLE,MULT_OPEX_FIJO),1)</f>
        <v/>
      </c>
      <c r="L10" s="52">
        <f>(IF($C10="Mensual",IF(AND(L$3&gt;=VLOOKUP($A10,06_OPEX!$A:$L,8,FALSE),L$3&lt;=VLOOKUP($A10,06_OPEX!$A:$L,9,FALSE)),-VLOOKUP($A10,06_OPEX!$A:$L,6,FALSE),0),IF($C10="Unico",IF(L$3=VLOOKUP($A10,06_OPEX!$A:$L,10,FALSE),-VLOOKUP($A10,06_OPEX!$A:$L,6,FALSE),0),IF($C10="Custom",-IFERROR(VLOOKUP($A10,06C_OPEX_CUSTOM!$A:$O,2+MATCH(L$3,06C_OPEX_CUSTOM!$C$3:$N$3,0),FALSE),0),0))))*IFERROR(IF(VLOOKUP($A10,06_OPEX!$A:$L,5,FALSE)="Variable",MULT_OPEX_VARIABLE,MULT_OPEX_FIJO),1)</f>
        <v/>
      </c>
      <c r="M10" s="52">
        <f>(IF($C10="Mensual",IF(AND(M$3&gt;=VLOOKUP($A10,06_OPEX!$A:$L,8,FALSE),M$3&lt;=VLOOKUP($A10,06_OPEX!$A:$L,9,FALSE)),-VLOOKUP($A10,06_OPEX!$A:$L,6,FALSE),0),IF($C10="Unico",IF(M$3=VLOOKUP($A10,06_OPEX!$A:$L,10,FALSE),-VLOOKUP($A10,06_OPEX!$A:$L,6,FALSE),0),IF($C10="Custom",-IFERROR(VLOOKUP($A10,06C_OPEX_CUSTOM!$A:$O,2+MATCH(M$3,06C_OPEX_CUSTOM!$C$3:$N$3,0),FALSE),0),0))))*IFERROR(IF(VLOOKUP($A10,06_OPEX!$A:$L,5,FALSE)="Variable",MULT_OPEX_VARIABLE,MULT_OPEX_FIJO),1)</f>
        <v/>
      </c>
      <c r="N10" s="52">
        <f>(IF($C10="Mensual",IF(AND(N$3&gt;=VLOOKUP($A10,06_OPEX!$A:$L,8,FALSE),N$3&lt;=VLOOKUP($A10,06_OPEX!$A:$L,9,FALSE)),-VLOOKUP($A10,06_OPEX!$A:$L,6,FALSE),0),IF($C10="Unico",IF(N$3=VLOOKUP($A10,06_OPEX!$A:$L,10,FALSE),-VLOOKUP($A10,06_OPEX!$A:$L,6,FALSE),0),IF($C10="Custom",-IFERROR(VLOOKUP($A10,06C_OPEX_CUSTOM!$A:$O,2+MATCH(N$3,06C_OPEX_CUSTOM!$C$3:$N$3,0),FALSE),0),0))))*IFERROR(IF(VLOOKUP($A10,06_OPEX!$A:$L,5,FALSE)="Variable",MULT_OPEX_VARIABLE,MULT_OPEX_FIJO),1)</f>
        <v/>
      </c>
      <c r="O10" s="52">
        <f>(IF($C10="Mensual",IF(AND(O$3&gt;=VLOOKUP($A10,06_OPEX!$A:$L,8,FALSE),O$3&lt;=VLOOKUP($A10,06_OPEX!$A:$L,9,FALSE)),-VLOOKUP($A10,06_OPEX!$A:$L,6,FALSE),0),IF($C10="Unico",IF(O$3=VLOOKUP($A10,06_OPEX!$A:$L,10,FALSE),-VLOOKUP($A10,06_OPEX!$A:$L,6,FALSE),0),IF($C10="Custom",-IFERROR(VLOOKUP($A10,06C_OPEX_CUSTOM!$A:$O,2+MATCH(O$3,06C_OPEX_CUSTOM!$C$3:$N$3,0),FALSE),0),0))))*IFERROR(IF(VLOOKUP($A10,06_OPEX!$A:$L,5,FALSE)="Variable",MULT_OPEX_VARIABLE,MULT_OPEX_FIJO),1)</f>
        <v/>
      </c>
      <c r="P10" s="52">
        <f>(IF($C10="Mensual",IF(AND(P$3&gt;=VLOOKUP($A10,06_OPEX!$A:$L,8,FALSE),P$3&lt;=VLOOKUP($A10,06_OPEX!$A:$L,9,FALSE)),-VLOOKUP($A10,06_OPEX!$A:$L,6,FALSE),0),IF($C10="Unico",IF(P$3=VLOOKUP($A10,06_OPEX!$A:$L,10,FALSE),-VLOOKUP($A10,06_OPEX!$A:$L,6,FALSE),0),IF($C10="Custom",-IFERROR(VLOOKUP($A10,06C_OPEX_CUSTOM!$A:$O,2+MATCH(P$3,06C_OPEX_CUSTOM!$C$3:$N$3,0),FALSE),0),0))))*IFERROR(IF(VLOOKUP($A10,06_OPEX!$A:$L,5,FALSE)="Variable",MULT_OPEX_VARIABLE,MULT_OPEX_FIJO),1)</f>
        <v/>
      </c>
      <c r="Q10" s="56">
        <f>SUM(E10:P10)</f>
        <v/>
      </c>
    </row>
    <row r="11">
      <c r="A11" s="36" t="inlineStr">
        <is>
          <t>OPEX-008</t>
        </is>
      </c>
      <c r="B11" s="36">
        <f>IFERROR(VLOOKUP($A11,06_OPEX!$A:$L,2,FALSE),"")</f>
        <v/>
      </c>
      <c r="C11" s="37">
        <f>IFERROR(VLOOKUP($A11,06_OPEX!$A:$L,4,FALSE),"")</f>
        <v/>
      </c>
      <c r="D11" s="37">
        <f>IFERROR(VLOOKUP($A11,06_OPEX!$A:$L,7,FALSE),"")</f>
        <v/>
      </c>
      <c r="E11" s="52">
        <f>(IF($C11="Mensual",IF(AND(E$3&gt;=VLOOKUP($A11,06_OPEX!$A:$L,8,FALSE),E$3&lt;=VLOOKUP($A11,06_OPEX!$A:$L,9,FALSE)),-VLOOKUP($A11,06_OPEX!$A:$L,6,FALSE),0),IF($C11="Unico",IF(E$3=VLOOKUP($A11,06_OPEX!$A:$L,10,FALSE),-VLOOKUP($A11,06_OPEX!$A:$L,6,FALSE),0),IF($C11="Custom",-IFERROR(VLOOKUP($A11,06C_OPEX_CUSTOM!$A:$O,2+MATCH(E$3,06C_OPEX_CUSTOM!$C$3:$N$3,0),FALSE),0),0))))*IFERROR(IF(VLOOKUP($A11,06_OPEX!$A:$L,5,FALSE)="Variable",MULT_OPEX_VARIABLE,MULT_OPEX_FIJO),1)</f>
        <v/>
      </c>
      <c r="F11" s="52">
        <f>(IF($C11="Mensual",IF(AND(F$3&gt;=VLOOKUP($A11,06_OPEX!$A:$L,8,FALSE),F$3&lt;=VLOOKUP($A11,06_OPEX!$A:$L,9,FALSE)),-VLOOKUP($A11,06_OPEX!$A:$L,6,FALSE),0),IF($C11="Unico",IF(F$3=VLOOKUP($A11,06_OPEX!$A:$L,10,FALSE),-VLOOKUP($A11,06_OPEX!$A:$L,6,FALSE),0),IF($C11="Custom",-IFERROR(VLOOKUP($A11,06C_OPEX_CUSTOM!$A:$O,2+MATCH(F$3,06C_OPEX_CUSTOM!$C$3:$N$3,0),FALSE),0),0))))*IFERROR(IF(VLOOKUP($A11,06_OPEX!$A:$L,5,FALSE)="Variable",MULT_OPEX_VARIABLE,MULT_OPEX_FIJO),1)</f>
        <v/>
      </c>
      <c r="G11" s="52">
        <f>(IF($C11="Mensual",IF(AND(G$3&gt;=VLOOKUP($A11,06_OPEX!$A:$L,8,FALSE),G$3&lt;=VLOOKUP($A11,06_OPEX!$A:$L,9,FALSE)),-VLOOKUP($A11,06_OPEX!$A:$L,6,FALSE),0),IF($C11="Unico",IF(G$3=VLOOKUP($A11,06_OPEX!$A:$L,10,FALSE),-VLOOKUP($A11,06_OPEX!$A:$L,6,FALSE),0),IF($C11="Custom",-IFERROR(VLOOKUP($A11,06C_OPEX_CUSTOM!$A:$O,2+MATCH(G$3,06C_OPEX_CUSTOM!$C$3:$N$3,0),FALSE),0),0))))*IFERROR(IF(VLOOKUP($A11,06_OPEX!$A:$L,5,FALSE)="Variable",MULT_OPEX_VARIABLE,MULT_OPEX_FIJO),1)</f>
        <v/>
      </c>
      <c r="H11" s="52">
        <f>(IF($C11="Mensual",IF(AND(H$3&gt;=VLOOKUP($A11,06_OPEX!$A:$L,8,FALSE),H$3&lt;=VLOOKUP($A11,06_OPEX!$A:$L,9,FALSE)),-VLOOKUP($A11,06_OPEX!$A:$L,6,FALSE),0),IF($C11="Unico",IF(H$3=VLOOKUP($A11,06_OPEX!$A:$L,10,FALSE),-VLOOKUP($A11,06_OPEX!$A:$L,6,FALSE),0),IF($C11="Custom",-IFERROR(VLOOKUP($A11,06C_OPEX_CUSTOM!$A:$O,2+MATCH(H$3,06C_OPEX_CUSTOM!$C$3:$N$3,0),FALSE),0),0))))*IFERROR(IF(VLOOKUP($A11,06_OPEX!$A:$L,5,FALSE)="Variable",MULT_OPEX_VARIABLE,MULT_OPEX_FIJO),1)</f>
        <v/>
      </c>
      <c r="I11" s="52">
        <f>(IF($C11="Mensual",IF(AND(I$3&gt;=VLOOKUP($A11,06_OPEX!$A:$L,8,FALSE),I$3&lt;=VLOOKUP($A11,06_OPEX!$A:$L,9,FALSE)),-VLOOKUP($A11,06_OPEX!$A:$L,6,FALSE),0),IF($C11="Unico",IF(I$3=VLOOKUP($A11,06_OPEX!$A:$L,10,FALSE),-VLOOKUP($A11,06_OPEX!$A:$L,6,FALSE),0),IF($C11="Custom",-IFERROR(VLOOKUP($A11,06C_OPEX_CUSTOM!$A:$O,2+MATCH(I$3,06C_OPEX_CUSTOM!$C$3:$N$3,0),FALSE),0),0))))*IFERROR(IF(VLOOKUP($A11,06_OPEX!$A:$L,5,FALSE)="Variable",MULT_OPEX_VARIABLE,MULT_OPEX_FIJO),1)</f>
        <v/>
      </c>
      <c r="J11" s="52">
        <f>(IF($C11="Mensual",IF(AND(J$3&gt;=VLOOKUP($A11,06_OPEX!$A:$L,8,FALSE),J$3&lt;=VLOOKUP($A11,06_OPEX!$A:$L,9,FALSE)),-VLOOKUP($A11,06_OPEX!$A:$L,6,FALSE),0),IF($C11="Unico",IF(J$3=VLOOKUP($A11,06_OPEX!$A:$L,10,FALSE),-VLOOKUP($A11,06_OPEX!$A:$L,6,FALSE),0),IF($C11="Custom",-IFERROR(VLOOKUP($A11,06C_OPEX_CUSTOM!$A:$O,2+MATCH(J$3,06C_OPEX_CUSTOM!$C$3:$N$3,0),FALSE),0),0))))*IFERROR(IF(VLOOKUP($A11,06_OPEX!$A:$L,5,FALSE)="Variable",MULT_OPEX_VARIABLE,MULT_OPEX_FIJO),1)</f>
        <v/>
      </c>
      <c r="K11" s="52">
        <f>(IF($C11="Mensual",IF(AND(K$3&gt;=VLOOKUP($A11,06_OPEX!$A:$L,8,FALSE),K$3&lt;=VLOOKUP($A11,06_OPEX!$A:$L,9,FALSE)),-VLOOKUP($A11,06_OPEX!$A:$L,6,FALSE),0),IF($C11="Unico",IF(K$3=VLOOKUP($A11,06_OPEX!$A:$L,10,FALSE),-VLOOKUP($A11,06_OPEX!$A:$L,6,FALSE),0),IF($C11="Custom",-IFERROR(VLOOKUP($A11,06C_OPEX_CUSTOM!$A:$O,2+MATCH(K$3,06C_OPEX_CUSTOM!$C$3:$N$3,0),FALSE),0),0))))*IFERROR(IF(VLOOKUP($A11,06_OPEX!$A:$L,5,FALSE)="Variable",MULT_OPEX_VARIABLE,MULT_OPEX_FIJO),1)</f>
        <v/>
      </c>
      <c r="L11" s="52">
        <f>(IF($C11="Mensual",IF(AND(L$3&gt;=VLOOKUP($A11,06_OPEX!$A:$L,8,FALSE),L$3&lt;=VLOOKUP($A11,06_OPEX!$A:$L,9,FALSE)),-VLOOKUP($A11,06_OPEX!$A:$L,6,FALSE),0),IF($C11="Unico",IF(L$3=VLOOKUP($A11,06_OPEX!$A:$L,10,FALSE),-VLOOKUP($A11,06_OPEX!$A:$L,6,FALSE),0),IF($C11="Custom",-IFERROR(VLOOKUP($A11,06C_OPEX_CUSTOM!$A:$O,2+MATCH(L$3,06C_OPEX_CUSTOM!$C$3:$N$3,0),FALSE),0),0))))*IFERROR(IF(VLOOKUP($A11,06_OPEX!$A:$L,5,FALSE)="Variable",MULT_OPEX_VARIABLE,MULT_OPEX_FIJO),1)</f>
        <v/>
      </c>
      <c r="M11" s="52">
        <f>(IF($C11="Mensual",IF(AND(M$3&gt;=VLOOKUP($A11,06_OPEX!$A:$L,8,FALSE),M$3&lt;=VLOOKUP($A11,06_OPEX!$A:$L,9,FALSE)),-VLOOKUP($A11,06_OPEX!$A:$L,6,FALSE),0),IF($C11="Unico",IF(M$3=VLOOKUP($A11,06_OPEX!$A:$L,10,FALSE),-VLOOKUP($A11,06_OPEX!$A:$L,6,FALSE),0),IF($C11="Custom",-IFERROR(VLOOKUP($A11,06C_OPEX_CUSTOM!$A:$O,2+MATCH(M$3,06C_OPEX_CUSTOM!$C$3:$N$3,0),FALSE),0),0))))*IFERROR(IF(VLOOKUP($A11,06_OPEX!$A:$L,5,FALSE)="Variable",MULT_OPEX_VARIABLE,MULT_OPEX_FIJO),1)</f>
        <v/>
      </c>
      <c r="N11" s="52">
        <f>(IF($C11="Mensual",IF(AND(N$3&gt;=VLOOKUP($A11,06_OPEX!$A:$L,8,FALSE),N$3&lt;=VLOOKUP($A11,06_OPEX!$A:$L,9,FALSE)),-VLOOKUP($A11,06_OPEX!$A:$L,6,FALSE),0),IF($C11="Unico",IF(N$3=VLOOKUP($A11,06_OPEX!$A:$L,10,FALSE),-VLOOKUP($A11,06_OPEX!$A:$L,6,FALSE),0),IF($C11="Custom",-IFERROR(VLOOKUP($A11,06C_OPEX_CUSTOM!$A:$O,2+MATCH(N$3,06C_OPEX_CUSTOM!$C$3:$N$3,0),FALSE),0),0))))*IFERROR(IF(VLOOKUP($A11,06_OPEX!$A:$L,5,FALSE)="Variable",MULT_OPEX_VARIABLE,MULT_OPEX_FIJO),1)</f>
        <v/>
      </c>
      <c r="O11" s="52">
        <f>(IF($C11="Mensual",IF(AND(O$3&gt;=VLOOKUP($A11,06_OPEX!$A:$L,8,FALSE),O$3&lt;=VLOOKUP($A11,06_OPEX!$A:$L,9,FALSE)),-VLOOKUP($A11,06_OPEX!$A:$L,6,FALSE),0),IF($C11="Unico",IF(O$3=VLOOKUP($A11,06_OPEX!$A:$L,10,FALSE),-VLOOKUP($A11,06_OPEX!$A:$L,6,FALSE),0),IF($C11="Custom",-IFERROR(VLOOKUP($A11,06C_OPEX_CUSTOM!$A:$O,2+MATCH(O$3,06C_OPEX_CUSTOM!$C$3:$N$3,0),FALSE),0),0))))*IFERROR(IF(VLOOKUP($A11,06_OPEX!$A:$L,5,FALSE)="Variable",MULT_OPEX_VARIABLE,MULT_OPEX_FIJO),1)</f>
        <v/>
      </c>
      <c r="P11" s="52">
        <f>(IF($C11="Mensual",IF(AND(P$3&gt;=VLOOKUP($A11,06_OPEX!$A:$L,8,FALSE),P$3&lt;=VLOOKUP($A11,06_OPEX!$A:$L,9,FALSE)),-VLOOKUP($A11,06_OPEX!$A:$L,6,FALSE),0),IF($C11="Unico",IF(P$3=VLOOKUP($A11,06_OPEX!$A:$L,10,FALSE),-VLOOKUP($A11,06_OPEX!$A:$L,6,FALSE),0),IF($C11="Custom",-IFERROR(VLOOKUP($A11,06C_OPEX_CUSTOM!$A:$O,2+MATCH(P$3,06C_OPEX_CUSTOM!$C$3:$N$3,0),FALSE),0),0))))*IFERROR(IF(VLOOKUP($A11,06_OPEX!$A:$L,5,FALSE)="Variable",MULT_OPEX_VARIABLE,MULT_OPEX_FIJO),1)</f>
        <v/>
      </c>
      <c r="Q11" s="56">
        <f>SUM(E11:P11)</f>
        <v/>
      </c>
    </row>
    <row r="12">
      <c r="A12" s="36" t="inlineStr">
        <is>
          <t>OPEX-009</t>
        </is>
      </c>
      <c r="B12" s="36">
        <f>IFERROR(VLOOKUP($A12,06_OPEX!$A:$L,2,FALSE),"")</f>
        <v/>
      </c>
      <c r="C12" s="37">
        <f>IFERROR(VLOOKUP($A12,06_OPEX!$A:$L,4,FALSE),"")</f>
        <v/>
      </c>
      <c r="D12" s="37">
        <f>IFERROR(VLOOKUP($A12,06_OPEX!$A:$L,7,FALSE),"")</f>
        <v/>
      </c>
      <c r="E12" s="52">
        <f>(IF($C12="Mensual",IF(AND(E$3&gt;=VLOOKUP($A12,06_OPEX!$A:$L,8,FALSE),E$3&lt;=VLOOKUP($A12,06_OPEX!$A:$L,9,FALSE)),-VLOOKUP($A12,06_OPEX!$A:$L,6,FALSE),0),IF($C12="Unico",IF(E$3=VLOOKUP($A12,06_OPEX!$A:$L,10,FALSE),-VLOOKUP($A12,06_OPEX!$A:$L,6,FALSE),0),IF($C12="Custom",-IFERROR(VLOOKUP($A12,06C_OPEX_CUSTOM!$A:$O,2+MATCH(E$3,06C_OPEX_CUSTOM!$C$3:$N$3,0),FALSE),0),0))))*IFERROR(IF(VLOOKUP($A12,06_OPEX!$A:$L,5,FALSE)="Variable",MULT_OPEX_VARIABLE,MULT_OPEX_FIJO),1)</f>
        <v/>
      </c>
      <c r="F12" s="52">
        <f>(IF($C12="Mensual",IF(AND(F$3&gt;=VLOOKUP($A12,06_OPEX!$A:$L,8,FALSE),F$3&lt;=VLOOKUP($A12,06_OPEX!$A:$L,9,FALSE)),-VLOOKUP($A12,06_OPEX!$A:$L,6,FALSE),0),IF($C12="Unico",IF(F$3=VLOOKUP($A12,06_OPEX!$A:$L,10,FALSE),-VLOOKUP($A12,06_OPEX!$A:$L,6,FALSE),0),IF($C12="Custom",-IFERROR(VLOOKUP($A12,06C_OPEX_CUSTOM!$A:$O,2+MATCH(F$3,06C_OPEX_CUSTOM!$C$3:$N$3,0),FALSE),0),0))))*IFERROR(IF(VLOOKUP($A12,06_OPEX!$A:$L,5,FALSE)="Variable",MULT_OPEX_VARIABLE,MULT_OPEX_FIJO),1)</f>
        <v/>
      </c>
      <c r="G12" s="52">
        <f>(IF($C12="Mensual",IF(AND(G$3&gt;=VLOOKUP($A12,06_OPEX!$A:$L,8,FALSE),G$3&lt;=VLOOKUP($A12,06_OPEX!$A:$L,9,FALSE)),-VLOOKUP($A12,06_OPEX!$A:$L,6,FALSE),0),IF($C12="Unico",IF(G$3=VLOOKUP($A12,06_OPEX!$A:$L,10,FALSE),-VLOOKUP($A12,06_OPEX!$A:$L,6,FALSE),0),IF($C12="Custom",-IFERROR(VLOOKUP($A12,06C_OPEX_CUSTOM!$A:$O,2+MATCH(G$3,06C_OPEX_CUSTOM!$C$3:$N$3,0),FALSE),0),0))))*IFERROR(IF(VLOOKUP($A12,06_OPEX!$A:$L,5,FALSE)="Variable",MULT_OPEX_VARIABLE,MULT_OPEX_FIJO),1)</f>
        <v/>
      </c>
      <c r="H12" s="52">
        <f>(IF($C12="Mensual",IF(AND(H$3&gt;=VLOOKUP($A12,06_OPEX!$A:$L,8,FALSE),H$3&lt;=VLOOKUP($A12,06_OPEX!$A:$L,9,FALSE)),-VLOOKUP($A12,06_OPEX!$A:$L,6,FALSE),0),IF($C12="Unico",IF(H$3=VLOOKUP($A12,06_OPEX!$A:$L,10,FALSE),-VLOOKUP($A12,06_OPEX!$A:$L,6,FALSE),0),IF($C12="Custom",-IFERROR(VLOOKUP($A12,06C_OPEX_CUSTOM!$A:$O,2+MATCH(H$3,06C_OPEX_CUSTOM!$C$3:$N$3,0),FALSE),0),0))))*IFERROR(IF(VLOOKUP($A12,06_OPEX!$A:$L,5,FALSE)="Variable",MULT_OPEX_VARIABLE,MULT_OPEX_FIJO),1)</f>
        <v/>
      </c>
      <c r="I12" s="52">
        <f>(IF($C12="Mensual",IF(AND(I$3&gt;=VLOOKUP($A12,06_OPEX!$A:$L,8,FALSE),I$3&lt;=VLOOKUP($A12,06_OPEX!$A:$L,9,FALSE)),-VLOOKUP($A12,06_OPEX!$A:$L,6,FALSE),0),IF($C12="Unico",IF(I$3=VLOOKUP($A12,06_OPEX!$A:$L,10,FALSE),-VLOOKUP($A12,06_OPEX!$A:$L,6,FALSE),0),IF($C12="Custom",-IFERROR(VLOOKUP($A12,06C_OPEX_CUSTOM!$A:$O,2+MATCH(I$3,06C_OPEX_CUSTOM!$C$3:$N$3,0),FALSE),0),0))))*IFERROR(IF(VLOOKUP($A12,06_OPEX!$A:$L,5,FALSE)="Variable",MULT_OPEX_VARIABLE,MULT_OPEX_FIJO),1)</f>
        <v/>
      </c>
      <c r="J12" s="52">
        <f>(IF($C12="Mensual",IF(AND(J$3&gt;=VLOOKUP($A12,06_OPEX!$A:$L,8,FALSE),J$3&lt;=VLOOKUP($A12,06_OPEX!$A:$L,9,FALSE)),-VLOOKUP($A12,06_OPEX!$A:$L,6,FALSE),0),IF($C12="Unico",IF(J$3=VLOOKUP($A12,06_OPEX!$A:$L,10,FALSE),-VLOOKUP($A12,06_OPEX!$A:$L,6,FALSE),0),IF($C12="Custom",-IFERROR(VLOOKUP($A12,06C_OPEX_CUSTOM!$A:$O,2+MATCH(J$3,06C_OPEX_CUSTOM!$C$3:$N$3,0),FALSE),0),0))))*IFERROR(IF(VLOOKUP($A12,06_OPEX!$A:$L,5,FALSE)="Variable",MULT_OPEX_VARIABLE,MULT_OPEX_FIJO),1)</f>
        <v/>
      </c>
      <c r="K12" s="52">
        <f>(IF($C12="Mensual",IF(AND(K$3&gt;=VLOOKUP($A12,06_OPEX!$A:$L,8,FALSE),K$3&lt;=VLOOKUP($A12,06_OPEX!$A:$L,9,FALSE)),-VLOOKUP($A12,06_OPEX!$A:$L,6,FALSE),0),IF($C12="Unico",IF(K$3=VLOOKUP($A12,06_OPEX!$A:$L,10,FALSE),-VLOOKUP($A12,06_OPEX!$A:$L,6,FALSE),0),IF($C12="Custom",-IFERROR(VLOOKUP($A12,06C_OPEX_CUSTOM!$A:$O,2+MATCH(K$3,06C_OPEX_CUSTOM!$C$3:$N$3,0),FALSE),0),0))))*IFERROR(IF(VLOOKUP($A12,06_OPEX!$A:$L,5,FALSE)="Variable",MULT_OPEX_VARIABLE,MULT_OPEX_FIJO),1)</f>
        <v/>
      </c>
      <c r="L12" s="52">
        <f>(IF($C12="Mensual",IF(AND(L$3&gt;=VLOOKUP($A12,06_OPEX!$A:$L,8,FALSE),L$3&lt;=VLOOKUP($A12,06_OPEX!$A:$L,9,FALSE)),-VLOOKUP($A12,06_OPEX!$A:$L,6,FALSE),0),IF($C12="Unico",IF(L$3=VLOOKUP($A12,06_OPEX!$A:$L,10,FALSE),-VLOOKUP($A12,06_OPEX!$A:$L,6,FALSE),0),IF($C12="Custom",-IFERROR(VLOOKUP($A12,06C_OPEX_CUSTOM!$A:$O,2+MATCH(L$3,06C_OPEX_CUSTOM!$C$3:$N$3,0),FALSE),0),0))))*IFERROR(IF(VLOOKUP($A12,06_OPEX!$A:$L,5,FALSE)="Variable",MULT_OPEX_VARIABLE,MULT_OPEX_FIJO),1)</f>
        <v/>
      </c>
      <c r="M12" s="52">
        <f>(IF($C12="Mensual",IF(AND(M$3&gt;=VLOOKUP($A12,06_OPEX!$A:$L,8,FALSE),M$3&lt;=VLOOKUP($A12,06_OPEX!$A:$L,9,FALSE)),-VLOOKUP($A12,06_OPEX!$A:$L,6,FALSE),0),IF($C12="Unico",IF(M$3=VLOOKUP($A12,06_OPEX!$A:$L,10,FALSE),-VLOOKUP($A12,06_OPEX!$A:$L,6,FALSE),0),IF($C12="Custom",-IFERROR(VLOOKUP($A12,06C_OPEX_CUSTOM!$A:$O,2+MATCH(M$3,06C_OPEX_CUSTOM!$C$3:$N$3,0),FALSE),0),0))))*IFERROR(IF(VLOOKUP($A12,06_OPEX!$A:$L,5,FALSE)="Variable",MULT_OPEX_VARIABLE,MULT_OPEX_FIJO),1)</f>
        <v/>
      </c>
      <c r="N12" s="52">
        <f>(IF($C12="Mensual",IF(AND(N$3&gt;=VLOOKUP($A12,06_OPEX!$A:$L,8,FALSE),N$3&lt;=VLOOKUP($A12,06_OPEX!$A:$L,9,FALSE)),-VLOOKUP($A12,06_OPEX!$A:$L,6,FALSE),0),IF($C12="Unico",IF(N$3=VLOOKUP($A12,06_OPEX!$A:$L,10,FALSE),-VLOOKUP($A12,06_OPEX!$A:$L,6,FALSE),0),IF($C12="Custom",-IFERROR(VLOOKUP($A12,06C_OPEX_CUSTOM!$A:$O,2+MATCH(N$3,06C_OPEX_CUSTOM!$C$3:$N$3,0),FALSE),0),0))))*IFERROR(IF(VLOOKUP($A12,06_OPEX!$A:$L,5,FALSE)="Variable",MULT_OPEX_VARIABLE,MULT_OPEX_FIJO),1)</f>
        <v/>
      </c>
      <c r="O12" s="52">
        <f>(IF($C12="Mensual",IF(AND(O$3&gt;=VLOOKUP($A12,06_OPEX!$A:$L,8,FALSE),O$3&lt;=VLOOKUP($A12,06_OPEX!$A:$L,9,FALSE)),-VLOOKUP($A12,06_OPEX!$A:$L,6,FALSE),0),IF($C12="Unico",IF(O$3=VLOOKUP($A12,06_OPEX!$A:$L,10,FALSE),-VLOOKUP($A12,06_OPEX!$A:$L,6,FALSE),0),IF($C12="Custom",-IFERROR(VLOOKUP($A12,06C_OPEX_CUSTOM!$A:$O,2+MATCH(O$3,06C_OPEX_CUSTOM!$C$3:$N$3,0),FALSE),0),0))))*IFERROR(IF(VLOOKUP($A12,06_OPEX!$A:$L,5,FALSE)="Variable",MULT_OPEX_VARIABLE,MULT_OPEX_FIJO),1)</f>
        <v/>
      </c>
      <c r="P12" s="52">
        <f>(IF($C12="Mensual",IF(AND(P$3&gt;=VLOOKUP($A12,06_OPEX!$A:$L,8,FALSE),P$3&lt;=VLOOKUP($A12,06_OPEX!$A:$L,9,FALSE)),-VLOOKUP($A12,06_OPEX!$A:$L,6,FALSE),0),IF($C12="Unico",IF(P$3=VLOOKUP($A12,06_OPEX!$A:$L,10,FALSE),-VLOOKUP($A12,06_OPEX!$A:$L,6,FALSE),0),IF($C12="Custom",-IFERROR(VLOOKUP($A12,06C_OPEX_CUSTOM!$A:$O,2+MATCH(P$3,06C_OPEX_CUSTOM!$C$3:$N$3,0),FALSE),0),0))))*IFERROR(IF(VLOOKUP($A12,06_OPEX!$A:$L,5,FALSE)="Variable",MULT_OPEX_VARIABLE,MULT_OPEX_FIJO),1)</f>
        <v/>
      </c>
      <c r="Q12" s="56">
        <f>SUM(E12:P12)</f>
        <v/>
      </c>
    </row>
    <row r="13">
      <c r="A13" s="36" t="inlineStr">
        <is>
          <t>OPEX-010</t>
        </is>
      </c>
      <c r="B13" s="36">
        <f>IFERROR(VLOOKUP($A13,06_OPEX!$A:$L,2,FALSE),"")</f>
        <v/>
      </c>
      <c r="C13" s="37">
        <f>IFERROR(VLOOKUP($A13,06_OPEX!$A:$L,4,FALSE),"")</f>
        <v/>
      </c>
      <c r="D13" s="37">
        <f>IFERROR(VLOOKUP($A13,06_OPEX!$A:$L,7,FALSE),"")</f>
        <v/>
      </c>
      <c r="E13" s="52">
        <f>(IF($C13="Mensual",IF(AND(E$3&gt;=VLOOKUP($A13,06_OPEX!$A:$L,8,FALSE),E$3&lt;=VLOOKUP($A13,06_OPEX!$A:$L,9,FALSE)),-VLOOKUP($A13,06_OPEX!$A:$L,6,FALSE),0),IF($C13="Unico",IF(E$3=VLOOKUP($A13,06_OPEX!$A:$L,10,FALSE),-VLOOKUP($A13,06_OPEX!$A:$L,6,FALSE),0),IF($C13="Custom",-IFERROR(VLOOKUP($A13,06C_OPEX_CUSTOM!$A:$O,2+MATCH(E$3,06C_OPEX_CUSTOM!$C$3:$N$3,0),FALSE),0),0))))*IFERROR(IF(VLOOKUP($A13,06_OPEX!$A:$L,5,FALSE)="Variable",MULT_OPEX_VARIABLE,MULT_OPEX_FIJO),1)</f>
        <v/>
      </c>
      <c r="F13" s="52">
        <f>(IF($C13="Mensual",IF(AND(F$3&gt;=VLOOKUP($A13,06_OPEX!$A:$L,8,FALSE),F$3&lt;=VLOOKUP($A13,06_OPEX!$A:$L,9,FALSE)),-VLOOKUP($A13,06_OPEX!$A:$L,6,FALSE),0),IF($C13="Unico",IF(F$3=VLOOKUP($A13,06_OPEX!$A:$L,10,FALSE),-VLOOKUP($A13,06_OPEX!$A:$L,6,FALSE),0),IF($C13="Custom",-IFERROR(VLOOKUP($A13,06C_OPEX_CUSTOM!$A:$O,2+MATCH(F$3,06C_OPEX_CUSTOM!$C$3:$N$3,0),FALSE),0),0))))*IFERROR(IF(VLOOKUP($A13,06_OPEX!$A:$L,5,FALSE)="Variable",MULT_OPEX_VARIABLE,MULT_OPEX_FIJO),1)</f>
        <v/>
      </c>
      <c r="G13" s="52">
        <f>(IF($C13="Mensual",IF(AND(G$3&gt;=VLOOKUP($A13,06_OPEX!$A:$L,8,FALSE),G$3&lt;=VLOOKUP($A13,06_OPEX!$A:$L,9,FALSE)),-VLOOKUP($A13,06_OPEX!$A:$L,6,FALSE),0),IF($C13="Unico",IF(G$3=VLOOKUP($A13,06_OPEX!$A:$L,10,FALSE),-VLOOKUP($A13,06_OPEX!$A:$L,6,FALSE),0),IF($C13="Custom",-IFERROR(VLOOKUP($A13,06C_OPEX_CUSTOM!$A:$O,2+MATCH(G$3,06C_OPEX_CUSTOM!$C$3:$N$3,0),FALSE),0),0))))*IFERROR(IF(VLOOKUP($A13,06_OPEX!$A:$L,5,FALSE)="Variable",MULT_OPEX_VARIABLE,MULT_OPEX_FIJO),1)</f>
        <v/>
      </c>
      <c r="H13" s="52">
        <f>(IF($C13="Mensual",IF(AND(H$3&gt;=VLOOKUP($A13,06_OPEX!$A:$L,8,FALSE),H$3&lt;=VLOOKUP($A13,06_OPEX!$A:$L,9,FALSE)),-VLOOKUP($A13,06_OPEX!$A:$L,6,FALSE),0),IF($C13="Unico",IF(H$3=VLOOKUP($A13,06_OPEX!$A:$L,10,FALSE),-VLOOKUP($A13,06_OPEX!$A:$L,6,FALSE),0),IF($C13="Custom",-IFERROR(VLOOKUP($A13,06C_OPEX_CUSTOM!$A:$O,2+MATCH(H$3,06C_OPEX_CUSTOM!$C$3:$N$3,0),FALSE),0),0))))*IFERROR(IF(VLOOKUP($A13,06_OPEX!$A:$L,5,FALSE)="Variable",MULT_OPEX_VARIABLE,MULT_OPEX_FIJO),1)</f>
        <v/>
      </c>
      <c r="I13" s="52">
        <f>(IF($C13="Mensual",IF(AND(I$3&gt;=VLOOKUP($A13,06_OPEX!$A:$L,8,FALSE),I$3&lt;=VLOOKUP($A13,06_OPEX!$A:$L,9,FALSE)),-VLOOKUP($A13,06_OPEX!$A:$L,6,FALSE),0),IF($C13="Unico",IF(I$3=VLOOKUP($A13,06_OPEX!$A:$L,10,FALSE),-VLOOKUP($A13,06_OPEX!$A:$L,6,FALSE),0),IF($C13="Custom",-IFERROR(VLOOKUP($A13,06C_OPEX_CUSTOM!$A:$O,2+MATCH(I$3,06C_OPEX_CUSTOM!$C$3:$N$3,0),FALSE),0),0))))*IFERROR(IF(VLOOKUP($A13,06_OPEX!$A:$L,5,FALSE)="Variable",MULT_OPEX_VARIABLE,MULT_OPEX_FIJO),1)</f>
        <v/>
      </c>
      <c r="J13" s="52">
        <f>(IF($C13="Mensual",IF(AND(J$3&gt;=VLOOKUP($A13,06_OPEX!$A:$L,8,FALSE),J$3&lt;=VLOOKUP($A13,06_OPEX!$A:$L,9,FALSE)),-VLOOKUP($A13,06_OPEX!$A:$L,6,FALSE),0),IF($C13="Unico",IF(J$3=VLOOKUP($A13,06_OPEX!$A:$L,10,FALSE),-VLOOKUP($A13,06_OPEX!$A:$L,6,FALSE),0),IF($C13="Custom",-IFERROR(VLOOKUP($A13,06C_OPEX_CUSTOM!$A:$O,2+MATCH(J$3,06C_OPEX_CUSTOM!$C$3:$N$3,0),FALSE),0),0))))*IFERROR(IF(VLOOKUP($A13,06_OPEX!$A:$L,5,FALSE)="Variable",MULT_OPEX_VARIABLE,MULT_OPEX_FIJO),1)</f>
        <v/>
      </c>
      <c r="K13" s="52">
        <f>(IF($C13="Mensual",IF(AND(K$3&gt;=VLOOKUP($A13,06_OPEX!$A:$L,8,FALSE),K$3&lt;=VLOOKUP($A13,06_OPEX!$A:$L,9,FALSE)),-VLOOKUP($A13,06_OPEX!$A:$L,6,FALSE),0),IF($C13="Unico",IF(K$3=VLOOKUP($A13,06_OPEX!$A:$L,10,FALSE),-VLOOKUP($A13,06_OPEX!$A:$L,6,FALSE),0),IF($C13="Custom",-IFERROR(VLOOKUP($A13,06C_OPEX_CUSTOM!$A:$O,2+MATCH(K$3,06C_OPEX_CUSTOM!$C$3:$N$3,0),FALSE),0),0))))*IFERROR(IF(VLOOKUP($A13,06_OPEX!$A:$L,5,FALSE)="Variable",MULT_OPEX_VARIABLE,MULT_OPEX_FIJO),1)</f>
        <v/>
      </c>
      <c r="L13" s="52">
        <f>(IF($C13="Mensual",IF(AND(L$3&gt;=VLOOKUP($A13,06_OPEX!$A:$L,8,FALSE),L$3&lt;=VLOOKUP($A13,06_OPEX!$A:$L,9,FALSE)),-VLOOKUP($A13,06_OPEX!$A:$L,6,FALSE),0),IF($C13="Unico",IF(L$3=VLOOKUP($A13,06_OPEX!$A:$L,10,FALSE),-VLOOKUP($A13,06_OPEX!$A:$L,6,FALSE),0),IF($C13="Custom",-IFERROR(VLOOKUP($A13,06C_OPEX_CUSTOM!$A:$O,2+MATCH(L$3,06C_OPEX_CUSTOM!$C$3:$N$3,0),FALSE),0),0))))*IFERROR(IF(VLOOKUP($A13,06_OPEX!$A:$L,5,FALSE)="Variable",MULT_OPEX_VARIABLE,MULT_OPEX_FIJO),1)</f>
        <v/>
      </c>
      <c r="M13" s="52">
        <f>(IF($C13="Mensual",IF(AND(M$3&gt;=VLOOKUP($A13,06_OPEX!$A:$L,8,FALSE),M$3&lt;=VLOOKUP($A13,06_OPEX!$A:$L,9,FALSE)),-VLOOKUP($A13,06_OPEX!$A:$L,6,FALSE),0),IF($C13="Unico",IF(M$3=VLOOKUP($A13,06_OPEX!$A:$L,10,FALSE),-VLOOKUP($A13,06_OPEX!$A:$L,6,FALSE),0),IF($C13="Custom",-IFERROR(VLOOKUP($A13,06C_OPEX_CUSTOM!$A:$O,2+MATCH(M$3,06C_OPEX_CUSTOM!$C$3:$N$3,0),FALSE),0),0))))*IFERROR(IF(VLOOKUP($A13,06_OPEX!$A:$L,5,FALSE)="Variable",MULT_OPEX_VARIABLE,MULT_OPEX_FIJO),1)</f>
        <v/>
      </c>
      <c r="N13" s="52">
        <f>(IF($C13="Mensual",IF(AND(N$3&gt;=VLOOKUP($A13,06_OPEX!$A:$L,8,FALSE),N$3&lt;=VLOOKUP($A13,06_OPEX!$A:$L,9,FALSE)),-VLOOKUP($A13,06_OPEX!$A:$L,6,FALSE),0),IF($C13="Unico",IF(N$3=VLOOKUP($A13,06_OPEX!$A:$L,10,FALSE),-VLOOKUP($A13,06_OPEX!$A:$L,6,FALSE),0),IF($C13="Custom",-IFERROR(VLOOKUP($A13,06C_OPEX_CUSTOM!$A:$O,2+MATCH(N$3,06C_OPEX_CUSTOM!$C$3:$N$3,0),FALSE),0),0))))*IFERROR(IF(VLOOKUP($A13,06_OPEX!$A:$L,5,FALSE)="Variable",MULT_OPEX_VARIABLE,MULT_OPEX_FIJO),1)</f>
        <v/>
      </c>
      <c r="O13" s="52">
        <f>(IF($C13="Mensual",IF(AND(O$3&gt;=VLOOKUP($A13,06_OPEX!$A:$L,8,FALSE),O$3&lt;=VLOOKUP($A13,06_OPEX!$A:$L,9,FALSE)),-VLOOKUP($A13,06_OPEX!$A:$L,6,FALSE),0),IF($C13="Unico",IF(O$3=VLOOKUP($A13,06_OPEX!$A:$L,10,FALSE),-VLOOKUP($A13,06_OPEX!$A:$L,6,FALSE),0),IF($C13="Custom",-IFERROR(VLOOKUP($A13,06C_OPEX_CUSTOM!$A:$O,2+MATCH(O$3,06C_OPEX_CUSTOM!$C$3:$N$3,0),FALSE),0),0))))*IFERROR(IF(VLOOKUP($A13,06_OPEX!$A:$L,5,FALSE)="Variable",MULT_OPEX_VARIABLE,MULT_OPEX_FIJO),1)</f>
        <v/>
      </c>
      <c r="P13" s="52">
        <f>(IF($C13="Mensual",IF(AND(P$3&gt;=VLOOKUP($A13,06_OPEX!$A:$L,8,FALSE),P$3&lt;=VLOOKUP($A13,06_OPEX!$A:$L,9,FALSE)),-VLOOKUP($A13,06_OPEX!$A:$L,6,FALSE),0),IF($C13="Unico",IF(P$3=VLOOKUP($A13,06_OPEX!$A:$L,10,FALSE),-VLOOKUP($A13,06_OPEX!$A:$L,6,FALSE),0),IF($C13="Custom",-IFERROR(VLOOKUP($A13,06C_OPEX_CUSTOM!$A:$O,2+MATCH(P$3,06C_OPEX_CUSTOM!$C$3:$N$3,0),FALSE),0),0))))*IFERROR(IF(VLOOKUP($A13,06_OPEX!$A:$L,5,FALSE)="Variable",MULT_OPEX_VARIABLE,MULT_OPEX_FIJO),1)</f>
        <v/>
      </c>
      <c r="Q13" s="56">
        <f>SUM(E13:P13)</f>
        <v/>
      </c>
    </row>
    <row r="14">
      <c r="A14" s="36" t="inlineStr">
        <is>
          <t>OPEX-011</t>
        </is>
      </c>
      <c r="B14" s="36">
        <f>IFERROR(VLOOKUP($A14,06_OPEX!$A:$L,2,FALSE),"")</f>
        <v/>
      </c>
      <c r="C14" s="37">
        <f>IFERROR(VLOOKUP($A14,06_OPEX!$A:$L,4,FALSE),"")</f>
        <v/>
      </c>
      <c r="D14" s="37">
        <f>IFERROR(VLOOKUP($A14,06_OPEX!$A:$L,7,FALSE),"")</f>
        <v/>
      </c>
      <c r="E14" s="52">
        <f>(IF($C14="Mensual",IF(AND(E$3&gt;=VLOOKUP($A14,06_OPEX!$A:$L,8,FALSE),E$3&lt;=VLOOKUP($A14,06_OPEX!$A:$L,9,FALSE)),-VLOOKUP($A14,06_OPEX!$A:$L,6,FALSE),0),IF($C14="Unico",IF(E$3=VLOOKUP($A14,06_OPEX!$A:$L,10,FALSE),-VLOOKUP($A14,06_OPEX!$A:$L,6,FALSE),0),IF($C14="Custom",-IFERROR(VLOOKUP($A14,06C_OPEX_CUSTOM!$A:$O,2+MATCH(E$3,06C_OPEX_CUSTOM!$C$3:$N$3,0),FALSE),0),0))))*IFERROR(IF(VLOOKUP($A14,06_OPEX!$A:$L,5,FALSE)="Variable",MULT_OPEX_VARIABLE,MULT_OPEX_FIJO),1)</f>
        <v/>
      </c>
      <c r="F14" s="52">
        <f>(IF($C14="Mensual",IF(AND(F$3&gt;=VLOOKUP($A14,06_OPEX!$A:$L,8,FALSE),F$3&lt;=VLOOKUP($A14,06_OPEX!$A:$L,9,FALSE)),-VLOOKUP($A14,06_OPEX!$A:$L,6,FALSE),0),IF($C14="Unico",IF(F$3=VLOOKUP($A14,06_OPEX!$A:$L,10,FALSE),-VLOOKUP($A14,06_OPEX!$A:$L,6,FALSE),0),IF($C14="Custom",-IFERROR(VLOOKUP($A14,06C_OPEX_CUSTOM!$A:$O,2+MATCH(F$3,06C_OPEX_CUSTOM!$C$3:$N$3,0),FALSE),0),0))))*IFERROR(IF(VLOOKUP($A14,06_OPEX!$A:$L,5,FALSE)="Variable",MULT_OPEX_VARIABLE,MULT_OPEX_FIJO),1)</f>
        <v/>
      </c>
      <c r="G14" s="52">
        <f>(IF($C14="Mensual",IF(AND(G$3&gt;=VLOOKUP($A14,06_OPEX!$A:$L,8,FALSE),G$3&lt;=VLOOKUP($A14,06_OPEX!$A:$L,9,FALSE)),-VLOOKUP($A14,06_OPEX!$A:$L,6,FALSE),0),IF($C14="Unico",IF(G$3=VLOOKUP($A14,06_OPEX!$A:$L,10,FALSE),-VLOOKUP($A14,06_OPEX!$A:$L,6,FALSE),0),IF($C14="Custom",-IFERROR(VLOOKUP($A14,06C_OPEX_CUSTOM!$A:$O,2+MATCH(G$3,06C_OPEX_CUSTOM!$C$3:$N$3,0),FALSE),0),0))))*IFERROR(IF(VLOOKUP($A14,06_OPEX!$A:$L,5,FALSE)="Variable",MULT_OPEX_VARIABLE,MULT_OPEX_FIJO),1)</f>
        <v/>
      </c>
      <c r="H14" s="52">
        <f>(IF($C14="Mensual",IF(AND(H$3&gt;=VLOOKUP($A14,06_OPEX!$A:$L,8,FALSE),H$3&lt;=VLOOKUP($A14,06_OPEX!$A:$L,9,FALSE)),-VLOOKUP($A14,06_OPEX!$A:$L,6,FALSE),0),IF($C14="Unico",IF(H$3=VLOOKUP($A14,06_OPEX!$A:$L,10,FALSE),-VLOOKUP($A14,06_OPEX!$A:$L,6,FALSE),0),IF($C14="Custom",-IFERROR(VLOOKUP($A14,06C_OPEX_CUSTOM!$A:$O,2+MATCH(H$3,06C_OPEX_CUSTOM!$C$3:$N$3,0),FALSE),0),0))))*IFERROR(IF(VLOOKUP($A14,06_OPEX!$A:$L,5,FALSE)="Variable",MULT_OPEX_VARIABLE,MULT_OPEX_FIJO),1)</f>
        <v/>
      </c>
      <c r="I14" s="52">
        <f>(IF($C14="Mensual",IF(AND(I$3&gt;=VLOOKUP($A14,06_OPEX!$A:$L,8,FALSE),I$3&lt;=VLOOKUP($A14,06_OPEX!$A:$L,9,FALSE)),-VLOOKUP($A14,06_OPEX!$A:$L,6,FALSE),0),IF($C14="Unico",IF(I$3=VLOOKUP($A14,06_OPEX!$A:$L,10,FALSE),-VLOOKUP($A14,06_OPEX!$A:$L,6,FALSE),0),IF($C14="Custom",-IFERROR(VLOOKUP($A14,06C_OPEX_CUSTOM!$A:$O,2+MATCH(I$3,06C_OPEX_CUSTOM!$C$3:$N$3,0),FALSE),0),0))))*IFERROR(IF(VLOOKUP($A14,06_OPEX!$A:$L,5,FALSE)="Variable",MULT_OPEX_VARIABLE,MULT_OPEX_FIJO),1)</f>
        <v/>
      </c>
      <c r="J14" s="52">
        <f>(IF($C14="Mensual",IF(AND(J$3&gt;=VLOOKUP($A14,06_OPEX!$A:$L,8,FALSE),J$3&lt;=VLOOKUP($A14,06_OPEX!$A:$L,9,FALSE)),-VLOOKUP($A14,06_OPEX!$A:$L,6,FALSE),0),IF($C14="Unico",IF(J$3=VLOOKUP($A14,06_OPEX!$A:$L,10,FALSE),-VLOOKUP($A14,06_OPEX!$A:$L,6,FALSE),0),IF($C14="Custom",-IFERROR(VLOOKUP($A14,06C_OPEX_CUSTOM!$A:$O,2+MATCH(J$3,06C_OPEX_CUSTOM!$C$3:$N$3,0),FALSE),0),0))))*IFERROR(IF(VLOOKUP($A14,06_OPEX!$A:$L,5,FALSE)="Variable",MULT_OPEX_VARIABLE,MULT_OPEX_FIJO),1)</f>
        <v/>
      </c>
      <c r="K14" s="52">
        <f>(IF($C14="Mensual",IF(AND(K$3&gt;=VLOOKUP($A14,06_OPEX!$A:$L,8,FALSE),K$3&lt;=VLOOKUP($A14,06_OPEX!$A:$L,9,FALSE)),-VLOOKUP($A14,06_OPEX!$A:$L,6,FALSE),0),IF($C14="Unico",IF(K$3=VLOOKUP($A14,06_OPEX!$A:$L,10,FALSE),-VLOOKUP($A14,06_OPEX!$A:$L,6,FALSE),0),IF($C14="Custom",-IFERROR(VLOOKUP($A14,06C_OPEX_CUSTOM!$A:$O,2+MATCH(K$3,06C_OPEX_CUSTOM!$C$3:$N$3,0),FALSE),0),0))))*IFERROR(IF(VLOOKUP($A14,06_OPEX!$A:$L,5,FALSE)="Variable",MULT_OPEX_VARIABLE,MULT_OPEX_FIJO),1)</f>
        <v/>
      </c>
      <c r="L14" s="52">
        <f>(IF($C14="Mensual",IF(AND(L$3&gt;=VLOOKUP($A14,06_OPEX!$A:$L,8,FALSE),L$3&lt;=VLOOKUP($A14,06_OPEX!$A:$L,9,FALSE)),-VLOOKUP($A14,06_OPEX!$A:$L,6,FALSE),0),IF($C14="Unico",IF(L$3=VLOOKUP($A14,06_OPEX!$A:$L,10,FALSE),-VLOOKUP($A14,06_OPEX!$A:$L,6,FALSE),0),IF($C14="Custom",-IFERROR(VLOOKUP($A14,06C_OPEX_CUSTOM!$A:$O,2+MATCH(L$3,06C_OPEX_CUSTOM!$C$3:$N$3,0),FALSE),0),0))))*IFERROR(IF(VLOOKUP($A14,06_OPEX!$A:$L,5,FALSE)="Variable",MULT_OPEX_VARIABLE,MULT_OPEX_FIJO),1)</f>
        <v/>
      </c>
      <c r="M14" s="52">
        <f>(IF($C14="Mensual",IF(AND(M$3&gt;=VLOOKUP($A14,06_OPEX!$A:$L,8,FALSE),M$3&lt;=VLOOKUP($A14,06_OPEX!$A:$L,9,FALSE)),-VLOOKUP($A14,06_OPEX!$A:$L,6,FALSE),0),IF($C14="Unico",IF(M$3=VLOOKUP($A14,06_OPEX!$A:$L,10,FALSE),-VLOOKUP($A14,06_OPEX!$A:$L,6,FALSE),0),IF($C14="Custom",-IFERROR(VLOOKUP($A14,06C_OPEX_CUSTOM!$A:$O,2+MATCH(M$3,06C_OPEX_CUSTOM!$C$3:$N$3,0),FALSE),0),0))))*IFERROR(IF(VLOOKUP($A14,06_OPEX!$A:$L,5,FALSE)="Variable",MULT_OPEX_VARIABLE,MULT_OPEX_FIJO),1)</f>
        <v/>
      </c>
      <c r="N14" s="52">
        <f>(IF($C14="Mensual",IF(AND(N$3&gt;=VLOOKUP($A14,06_OPEX!$A:$L,8,FALSE),N$3&lt;=VLOOKUP($A14,06_OPEX!$A:$L,9,FALSE)),-VLOOKUP($A14,06_OPEX!$A:$L,6,FALSE),0),IF($C14="Unico",IF(N$3=VLOOKUP($A14,06_OPEX!$A:$L,10,FALSE),-VLOOKUP($A14,06_OPEX!$A:$L,6,FALSE),0),IF($C14="Custom",-IFERROR(VLOOKUP($A14,06C_OPEX_CUSTOM!$A:$O,2+MATCH(N$3,06C_OPEX_CUSTOM!$C$3:$N$3,0),FALSE),0),0))))*IFERROR(IF(VLOOKUP($A14,06_OPEX!$A:$L,5,FALSE)="Variable",MULT_OPEX_VARIABLE,MULT_OPEX_FIJO),1)</f>
        <v/>
      </c>
      <c r="O14" s="52">
        <f>(IF($C14="Mensual",IF(AND(O$3&gt;=VLOOKUP($A14,06_OPEX!$A:$L,8,FALSE),O$3&lt;=VLOOKUP($A14,06_OPEX!$A:$L,9,FALSE)),-VLOOKUP($A14,06_OPEX!$A:$L,6,FALSE),0),IF($C14="Unico",IF(O$3=VLOOKUP($A14,06_OPEX!$A:$L,10,FALSE),-VLOOKUP($A14,06_OPEX!$A:$L,6,FALSE),0),IF($C14="Custom",-IFERROR(VLOOKUP($A14,06C_OPEX_CUSTOM!$A:$O,2+MATCH(O$3,06C_OPEX_CUSTOM!$C$3:$N$3,0),FALSE),0),0))))*IFERROR(IF(VLOOKUP($A14,06_OPEX!$A:$L,5,FALSE)="Variable",MULT_OPEX_VARIABLE,MULT_OPEX_FIJO),1)</f>
        <v/>
      </c>
      <c r="P14" s="52">
        <f>(IF($C14="Mensual",IF(AND(P$3&gt;=VLOOKUP($A14,06_OPEX!$A:$L,8,FALSE),P$3&lt;=VLOOKUP($A14,06_OPEX!$A:$L,9,FALSE)),-VLOOKUP($A14,06_OPEX!$A:$L,6,FALSE),0),IF($C14="Unico",IF(P$3=VLOOKUP($A14,06_OPEX!$A:$L,10,FALSE),-VLOOKUP($A14,06_OPEX!$A:$L,6,FALSE),0),IF($C14="Custom",-IFERROR(VLOOKUP($A14,06C_OPEX_CUSTOM!$A:$O,2+MATCH(P$3,06C_OPEX_CUSTOM!$C$3:$N$3,0),FALSE),0),0))))*IFERROR(IF(VLOOKUP($A14,06_OPEX!$A:$L,5,FALSE)="Variable",MULT_OPEX_VARIABLE,MULT_OPEX_FIJO),1)</f>
        <v/>
      </c>
      <c r="Q14" s="56">
        <f>SUM(E14:P14)</f>
        <v/>
      </c>
    </row>
    <row r="16">
      <c r="A16" s="34" t="inlineStr">
        <is>
          <t>TOTAL_OPEX</t>
        </is>
      </c>
      <c r="E16" s="57">
        <f>SUM(E4:E15)</f>
        <v/>
      </c>
      <c r="F16" s="57">
        <f>SUM(F4:F15)</f>
        <v/>
      </c>
      <c r="G16" s="57">
        <f>SUM(G4:G15)</f>
        <v/>
      </c>
      <c r="H16" s="57">
        <f>SUM(H4:H15)</f>
        <v/>
      </c>
      <c r="I16" s="57">
        <f>SUM(I4:I15)</f>
        <v/>
      </c>
      <c r="J16" s="57">
        <f>SUM(J4:J15)</f>
        <v/>
      </c>
      <c r="K16" s="57">
        <f>SUM(K4:K15)</f>
        <v/>
      </c>
      <c r="L16" s="57">
        <f>SUM(L4:L15)</f>
        <v/>
      </c>
      <c r="M16" s="57">
        <f>SUM(M4:M15)</f>
        <v/>
      </c>
      <c r="N16" s="57">
        <f>SUM(N4:N15)</f>
        <v/>
      </c>
      <c r="O16" s="57">
        <f>SUM(O4:O15)</f>
        <v/>
      </c>
      <c r="P16" s="57">
        <f>SUM(P4:P15)</f>
        <v/>
      </c>
      <c r="Q16" s="57">
        <f>SUM(Q4:Q15)</f>
        <v/>
      </c>
    </row>
  </sheetData>
  <mergeCells count="2">
    <mergeCell ref="A1:Q1"/>
    <mergeCell ref="A16:D1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28" customWidth="1" min="15" max="15"/>
  </cols>
  <sheetData>
    <row r="1">
      <c r="A1" s="7" t="inlineStr">
        <is>
          <t>OPEX CUSTOM (Inputs) — solo para Recurrencia=Custom</t>
        </is>
      </c>
    </row>
    <row r="3">
      <c r="A3" s="8" t="inlineStr">
        <is>
          <t>OPEX_ID</t>
        </is>
      </c>
      <c r="B3" s="8" t="inlineStr">
        <is>
          <t>Concepto</t>
        </is>
      </c>
      <c r="C3" s="31" t="n">
        <v>46053</v>
      </c>
      <c r="D3" s="31" t="n">
        <v>46081</v>
      </c>
      <c r="E3" s="31" t="n">
        <v>46112</v>
      </c>
      <c r="F3" s="31" t="n">
        <v>46142</v>
      </c>
      <c r="G3" s="31" t="n">
        <v>46173</v>
      </c>
      <c r="H3" s="31" t="n">
        <v>46203</v>
      </c>
      <c r="I3" s="31" t="n">
        <v>46234</v>
      </c>
      <c r="J3" s="31" t="n">
        <v>46265</v>
      </c>
      <c r="K3" s="31" t="n">
        <v>46295</v>
      </c>
      <c r="L3" s="31" t="n">
        <v>46326</v>
      </c>
      <c r="M3" s="31" t="n">
        <v>46356</v>
      </c>
      <c r="N3" s="31" t="n">
        <v>46387</v>
      </c>
      <c r="O3" s="8" t="inlineStr">
        <is>
          <t>Notas</t>
        </is>
      </c>
    </row>
    <row r="4">
      <c r="A4" s="16" t="inlineStr">
        <is>
          <t>OPEX-001</t>
        </is>
      </c>
      <c r="B4" s="16" t="inlineStr">
        <is>
          <t>Equipo PC 1</t>
        </is>
      </c>
      <c r="C4" s="44" t="n">
        <v>249998</v>
      </c>
      <c r="D4" s="44" t="n">
        <v>124999</v>
      </c>
      <c r="E4" s="44" t="n">
        <v>124999</v>
      </c>
      <c r="F4" s="44" t="n">
        <v>124999</v>
      </c>
      <c r="G4" s="44" t="n">
        <v>124999</v>
      </c>
      <c r="H4" s="44" t="n">
        <v>124999</v>
      </c>
      <c r="I4" s="44" t="n">
        <v>124999</v>
      </c>
      <c r="J4" s="44" t="n">
        <v>124999</v>
      </c>
      <c r="K4" s="44" t="n">
        <v>124999</v>
      </c>
      <c r="L4" s="44" t="n">
        <v>124999</v>
      </c>
      <c r="M4" s="44" t="n">
        <v>124999</v>
      </c>
      <c r="N4" s="44" t="n">
        <v>124999</v>
      </c>
      <c r="O4" s="16" t="inlineStr">
        <is>
          <t>Importado desde FLUJO 2026</t>
        </is>
      </c>
    </row>
  </sheetData>
  <mergeCells count="1">
    <mergeCell ref="A1:N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14" customWidth="1" min="4" max="4"/>
    <col width="40" customWidth="1" min="5" max="5"/>
  </cols>
  <sheetData>
    <row r="1">
      <c r="A1" s="7" t="inlineStr">
        <is>
          <t>COSTOS DIRECTOS (Inputs)</t>
        </is>
      </c>
    </row>
    <row r="3">
      <c r="A3" s="8" t="inlineStr">
        <is>
          <t>CD_ID</t>
        </is>
      </c>
      <c r="B3" s="8" t="inlineStr">
        <is>
          <t>Concepto</t>
        </is>
      </c>
      <c r="C3" s="8" t="inlineStr">
        <is>
          <t>IVA_afecto</t>
        </is>
      </c>
      <c r="D3" s="8" t="inlineStr">
        <is>
          <t>Centro_costo</t>
        </is>
      </c>
      <c r="E3" s="8" t="inlineStr">
        <is>
          <t>Notas</t>
        </is>
      </c>
    </row>
    <row r="4">
      <c r="A4" s="16" t="inlineStr">
        <is>
          <t>CD-001</t>
        </is>
      </c>
      <c r="B4" s="16" t="inlineStr">
        <is>
          <t>Huella de Carbono</t>
        </is>
      </c>
      <c r="C4" s="16" t="inlineStr">
        <is>
          <t>SI</t>
        </is>
      </c>
      <c r="D4" s="16" t="inlineStr">
        <is>
          <t>Operaciones</t>
        </is>
      </c>
      <c r="E4" s="16" t="inlineStr">
        <is>
          <t>Importado desde FLUJO 2026. Ajustar según ejecución.</t>
        </is>
      </c>
    </row>
    <row r="5">
      <c r="A5" s="16" t="inlineStr">
        <is>
          <t>CD-002</t>
        </is>
      </c>
      <c r="B5" s="16" t="inlineStr">
        <is>
          <t>Otras Consultorías</t>
        </is>
      </c>
      <c r="C5" s="16" t="inlineStr">
        <is>
          <t>SI</t>
        </is>
      </c>
      <c r="D5" s="16" t="inlineStr">
        <is>
          <t>Operaciones</t>
        </is>
      </c>
      <c r="E5" s="16" t="inlineStr">
        <is>
          <t>Importado desde FLUJO 2026. Ajustar según ejecución.</t>
        </is>
      </c>
    </row>
  </sheetData>
  <mergeCells count="1">
    <mergeCell ref="A1:E1"/>
  </mergeCells>
  <dataValidations count="1">
    <dataValidation sqref="C4:C5" showDropDown="0" showInputMessage="0" showErrorMessage="0" allowBlank="0" type="list">
      <formula1>"SI,NO"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7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</cols>
  <sheetData>
    <row r="1">
      <c r="A1" s="7" t="inlineStr">
        <is>
          <t>COSTOS DIRECTOS — PLAN MENSUAL NETO (Inputs)</t>
        </is>
      </c>
    </row>
    <row r="3">
      <c r="A3" s="8" t="inlineStr">
        <is>
          <t>CD_ID</t>
        </is>
      </c>
      <c r="B3" s="8" t="inlineStr">
        <is>
          <t>Concepto</t>
        </is>
      </c>
      <c r="C3" s="31" t="n">
        <v>46053</v>
      </c>
      <c r="D3" s="31" t="n">
        <v>46081</v>
      </c>
      <c r="E3" s="31" t="n">
        <v>46112</v>
      </c>
      <c r="F3" s="31" t="n">
        <v>46142</v>
      </c>
      <c r="G3" s="31" t="n">
        <v>46173</v>
      </c>
      <c r="H3" s="31" t="n">
        <v>46203</v>
      </c>
      <c r="I3" s="31" t="n">
        <v>46234</v>
      </c>
      <c r="J3" s="31" t="n">
        <v>46265</v>
      </c>
      <c r="K3" s="31" t="n">
        <v>46295</v>
      </c>
      <c r="L3" s="31" t="n">
        <v>46326</v>
      </c>
      <c r="M3" s="31" t="n">
        <v>46356</v>
      </c>
      <c r="N3" s="31" t="n">
        <v>46387</v>
      </c>
      <c r="O3" s="8" t="inlineStr">
        <is>
          <t>Total_Año</t>
        </is>
      </c>
    </row>
    <row r="4">
      <c r="A4" s="16" t="inlineStr">
        <is>
          <t>CD-001</t>
        </is>
      </c>
      <c r="B4" s="16" t="inlineStr">
        <is>
          <t>Huella de Carbono</t>
        </is>
      </c>
      <c r="C4" s="44" t="n">
        <v>-5057017</v>
      </c>
      <c r="D4" s="44" t="n">
        <v>-3026928</v>
      </c>
      <c r="E4" s="44" t="n">
        <v>-1975000</v>
      </c>
      <c r="F4" s="44" t="n">
        <v>-400000</v>
      </c>
      <c r="G4" s="44" t="n">
        <v>0</v>
      </c>
      <c r="H4" s="44" t="n">
        <v>0</v>
      </c>
      <c r="I4" s="44" t="n">
        <v>0</v>
      </c>
      <c r="J4" s="44" t="n">
        <v>0</v>
      </c>
      <c r="K4" s="44" t="n">
        <v>0</v>
      </c>
      <c r="L4" s="44" t="n">
        <v>0</v>
      </c>
      <c r="M4" s="44" t="n">
        <v>0</v>
      </c>
      <c r="N4" s="44" t="n">
        <v>0</v>
      </c>
      <c r="O4" s="52">
        <f>SUM(C4:N4)</f>
        <v/>
      </c>
    </row>
    <row r="5">
      <c r="A5" s="16" t="inlineStr">
        <is>
          <t>CD-002</t>
        </is>
      </c>
      <c r="B5" s="16" t="inlineStr">
        <is>
          <t>Otras Consultorías</t>
        </is>
      </c>
      <c r="C5" s="44" t="n">
        <v>0</v>
      </c>
      <c r="D5" s="44" t="n">
        <v>0</v>
      </c>
      <c r="E5" s="44" t="n">
        <v>0</v>
      </c>
      <c r="F5" s="44" t="n">
        <v>0</v>
      </c>
      <c r="G5" s="44" t="n">
        <v>-4800000</v>
      </c>
      <c r="H5" s="44" t="n">
        <v>0</v>
      </c>
      <c r="I5" s="44" t="n">
        <v>0</v>
      </c>
      <c r="J5" s="44" t="n">
        <v>0</v>
      </c>
      <c r="K5" s="44" t="n">
        <v>0</v>
      </c>
      <c r="L5" s="44" t="n">
        <v>0</v>
      </c>
      <c r="M5" s="44" t="n">
        <v>0</v>
      </c>
      <c r="N5" s="44" t="n">
        <v>0</v>
      </c>
      <c r="O5" s="52">
        <f>SUM(C5:N5)</f>
        <v/>
      </c>
    </row>
    <row r="7">
      <c r="A7" s="38" t="inlineStr">
        <is>
          <t>TOTAL_CD</t>
        </is>
      </c>
      <c r="B7" s="58" t="n"/>
      <c r="C7" s="57">
        <f>SUM(C4:C6)</f>
        <v/>
      </c>
      <c r="D7" s="57">
        <f>SUM(D4:D6)</f>
        <v/>
      </c>
      <c r="E7" s="57">
        <f>SUM(E4:E6)</f>
        <v/>
      </c>
      <c r="F7" s="57">
        <f>SUM(F4:F6)</f>
        <v/>
      </c>
      <c r="G7" s="57">
        <f>SUM(G4:G6)</f>
        <v/>
      </c>
      <c r="H7" s="57">
        <f>SUM(H4:H6)</f>
        <v/>
      </c>
      <c r="I7" s="57">
        <f>SUM(I4:I6)</f>
        <v/>
      </c>
      <c r="J7" s="57">
        <f>SUM(J4:J6)</f>
        <v/>
      </c>
      <c r="K7" s="57">
        <f>SUM(K4:K6)</f>
        <v/>
      </c>
      <c r="L7" s="57">
        <f>SUM(L4:L6)</f>
        <v/>
      </c>
      <c r="M7" s="57">
        <f>SUM(M4:M6)</f>
        <v/>
      </c>
      <c r="N7" s="57">
        <f>SUM(N4:N6)</f>
        <v/>
      </c>
      <c r="O7" s="57">
        <f>SUM(O4:O6)</f>
        <v/>
      </c>
    </row>
  </sheetData>
  <mergeCells count="2">
    <mergeCell ref="A1:O1"/>
    <mergeCell ref="A7:B7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0" customWidth="1" min="4" max="4"/>
    <col width="40" customWidth="1" min="5" max="5"/>
  </cols>
  <sheetData>
    <row r="1">
      <c r="A1" s="7" t="inlineStr">
        <is>
          <t>NO OPERACIONALES (Inputs) — caja debajo de operación (no incluye IVA F29)</t>
        </is>
      </c>
    </row>
    <row r="3">
      <c r="A3" s="8" t="inlineStr">
        <is>
          <t>NOP_ID</t>
        </is>
      </c>
      <c r="B3" s="8" t="inlineStr">
        <is>
          <t>Concepto</t>
        </is>
      </c>
      <c r="C3" s="8" t="inlineStr">
        <is>
          <t>Tipo</t>
        </is>
      </c>
      <c r="D3" s="8" t="inlineStr">
        <is>
          <t>IVA_afecto</t>
        </is>
      </c>
      <c r="E3" s="8" t="inlineStr">
        <is>
          <t>Notas</t>
        </is>
      </c>
    </row>
    <row r="4">
      <c r="A4" s="16" t="inlineStr">
        <is>
          <t>NOP-001</t>
        </is>
      </c>
      <c r="B4" s="16" t="inlineStr">
        <is>
          <t>Devoluciones SII y boletas de garantía</t>
        </is>
      </c>
      <c r="C4" s="16" t="inlineStr">
        <is>
          <t>Ingreso</t>
        </is>
      </c>
      <c r="D4" s="16" t="inlineStr">
        <is>
          <t>NO</t>
        </is>
      </c>
      <c r="E4" s="16" t="inlineStr">
        <is>
          <t>Importado desde FLUJO 2026. Revisar.</t>
        </is>
      </c>
    </row>
    <row r="5">
      <c r="A5" s="16" t="inlineStr">
        <is>
          <t>NOP-002</t>
        </is>
      </c>
      <c r="B5" s="16" t="inlineStr">
        <is>
          <t>Devolución boletas h. (TTGF)</t>
        </is>
      </c>
      <c r="C5" s="16" t="inlineStr">
        <is>
          <t>Ingreso</t>
        </is>
      </c>
      <c r="D5" s="16" t="inlineStr">
        <is>
          <t>NO</t>
        </is>
      </c>
      <c r="E5" s="16" t="inlineStr">
        <is>
          <t>Importado desde FLUJO 2026. Revisar.</t>
        </is>
      </c>
    </row>
    <row r="6">
      <c r="A6" s="16" t="inlineStr">
        <is>
          <t>NOP-003</t>
        </is>
      </c>
      <c r="B6" s="16" t="inlineStr">
        <is>
          <t>Otras devoluciones</t>
        </is>
      </c>
      <c r="C6" s="16" t="inlineStr">
        <is>
          <t>Ingreso</t>
        </is>
      </c>
      <c r="D6" s="16" t="inlineStr">
        <is>
          <t>NO</t>
        </is>
      </c>
      <c r="E6" s="16" t="inlineStr">
        <is>
          <t>Importado desde FLUJO 2026. Revisar.</t>
        </is>
      </c>
    </row>
    <row r="7">
      <c r="A7" s="16" t="inlineStr">
        <is>
          <t>NOP-004</t>
        </is>
      </c>
      <c r="B7" s="16" t="inlineStr">
        <is>
          <t>IAT</t>
        </is>
      </c>
      <c r="C7" s="16" t="inlineStr">
        <is>
          <t>Ingreso</t>
        </is>
      </c>
      <c r="D7" s="16" t="inlineStr">
        <is>
          <t>NO</t>
        </is>
      </c>
      <c r="E7" s="16" t="inlineStr">
        <is>
          <t>Importado desde FLUJO 2026. Revisar.</t>
        </is>
      </c>
    </row>
    <row r="8">
      <c r="A8" s="16" t="inlineStr">
        <is>
          <t>NOP-005</t>
        </is>
      </c>
      <c r="B8" s="16" t="inlineStr">
        <is>
          <t>Tarjeta de crédito (microservicios)</t>
        </is>
      </c>
      <c r="C8" s="16" t="inlineStr">
        <is>
          <t>Ingreso</t>
        </is>
      </c>
      <c r="D8" s="16" t="inlineStr">
        <is>
          <t>NO</t>
        </is>
      </c>
      <c r="E8" s="16" t="inlineStr">
        <is>
          <t>Importado desde FLUJO 2026. Revisar.</t>
        </is>
      </c>
    </row>
    <row r="9">
      <c r="A9" s="16" t="inlineStr">
        <is>
          <t>NOP-006</t>
        </is>
      </c>
      <c r="B9" s="16" t="inlineStr">
        <is>
          <t>Reembolsos de préstamos</t>
        </is>
      </c>
      <c r="C9" s="16" t="inlineStr">
        <is>
          <t>Egreso</t>
        </is>
      </c>
      <c r="D9" s="16" t="inlineStr">
        <is>
          <t>NO</t>
        </is>
      </c>
      <c r="E9" s="16" t="inlineStr">
        <is>
          <t>Importado desde FLUJO 2026. Revisar.</t>
        </is>
      </c>
    </row>
    <row r="10">
      <c r="A10" s="16" t="inlineStr">
        <is>
          <t>NOP-007</t>
        </is>
      </c>
      <c r="B10" s="16" t="inlineStr">
        <is>
          <t>Comisiones bancarias</t>
        </is>
      </c>
      <c r="C10" s="16" t="inlineStr">
        <is>
          <t>Egreso</t>
        </is>
      </c>
      <c r="D10" s="16" t="inlineStr">
        <is>
          <t>NO</t>
        </is>
      </c>
      <c r="E10" s="16" t="inlineStr">
        <is>
          <t>Importado desde FLUJO 2026. Revisar.</t>
        </is>
      </c>
    </row>
    <row r="11">
      <c r="A11" s="16" t="inlineStr">
        <is>
          <t>NOP-008</t>
        </is>
      </c>
      <c r="B11" s="16" t="inlineStr">
        <is>
          <t>Retenciones boletas</t>
        </is>
      </c>
      <c r="C11" s="16" t="inlineStr">
        <is>
          <t>Egreso</t>
        </is>
      </c>
      <c r="D11" s="16" t="inlineStr">
        <is>
          <t>NO</t>
        </is>
      </c>
      <c r="E11" s="16" t="inlineStr">
        <is>
          <t>Importado desde FLUJO 2026. Revisar.</t>
        </is>
      </c>
    </row>
    <row r="12">
      <c r="A12" s="16" t="inlineStr">
        <is>
          <t>NOP-009</t>
        </is>
      </c>
      <c r="B12" s="16" t="inlineStr">
        <is>
          <t>Cuota IVA atrasado</t>
        </is>
      </c>
      <c r="C12" s="16" t="inlineStr">
        <is>
          <t>Egreso</t>
        </is>
      </c>
      <c r="D12" s="16" t="inlineStr">
        <is>
          <t>NO</t>
        </is>
      </c>
      <c r="E12" s="16" t="inlineStr">
        <is>
          <t>Importado desde FLUJO 2026. Revisar.</t>
        </is>
      </c>
    </row>
    <row r="13">
      <c r="A13" s="16" t="inlineStr">
        <is>
          <t>NOP-010</t>
        </is>
      </c>
      <c r="B13" s="16" t="inlineStr">
        <is>
          <t>IAT</t>
        </is>
      </c>
      <c r="C13" s="16" t="inlineStr">
        <is>
          <t>Egreso</t>
        </is>
      </c>
      <c r="D13" s="16" t="inlineStr">
        <is>
          <t>NO</t>
        </is>
      </c>
      <c r="E13" s="16" t="inlineStr">
        <is>
          <t>Importado desde FLUJO 2026. Revisar.</t>
        </is>
      </c>
    </row>
    <row r="14">
      <c r="A14" s="16" t="inlineStr">
        <is>
          <t>NOP-011</t>
        </is>
      </c>
      <c r="B14" s="16" t="inlineStr">
        <is>
          <t>IAT #2</t>
        </is>
      </c>
      <c r="C14" s="16" t="inlineStr">
        <is>
          <t>Egreso</t>
        </is>
      </c>
      <c r="D14" s="16" t="inlineStr">
        <is>
          <t>NO</t>
        </is>
      </c>
      <c r="E14" s="16" t="inlineStr">
        <is>
          <t>Importado desde FLUJO 2026. Revisar.</t>
        </is>
      </c>
    </row>
    <row r="15">
      <c r="A15" s="16" t="inlineStr">
        <is>
          <t>NOP-012</t>
        </is>
      </c>
      <c r="B15" s="16" t="inlineStr">
        <is>
          <t>IAT #3</t>
        </is>
      </c>
      <c r="C15" s="16" t="inlineStr">
        <is>
          <t>Egreso</t>
        </is>
      </c>
      <c r="D15" s="16" t="inlineStr">
        <is>
          <t>NO</t>
        </is>
      </c>
      <c r="E15" s="16" t="inlineStr">
        <is>
          <t>Importado desde FLUJO 2026. Revisar.</t>
        </is>
      </c>
    </row>
    <row r="16">
      <c r="A16" s="16" t="inlineStr">
        <is>
          <t>NOP-013</t>
        </is>
      </c>
      <c r="B16" s="16" t="inlineStr">
        <is>
          <t>EFI</t>
        </is>
      </c>
      <c r="C16" s="16" t="inlineStr">
        <is>
          <t>Egreso</t>
        </is>
      </c>
      <c r="D16" s="16" t="inlineStr">
        <is>
          <t>NO</t>
        </is>
      </c>
      <c r="E16" s="16" t="inlineStr">
        <is>
          <t>Importado desde FLUJO 2026. Revisar.</t>
        </is>
      </c>
    </row>
  </sheetData>
  <mergeCells count="1">
    <mergeCell ref="A1:E1"/>
  </mergeCells>
  <dataValidations count="1">
    <dataValidation sqref="C4:C16" showDropDown="0" showInputMessage="0" showErrorMessage="0" allowBlank="0" type="list">
      <formula1>"Ingreso,Egreso"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18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</cols>
  <sheetData>
    <row r="1">
      <c r="A1" s="7" t="inlineStr">
        <is>
          <t>NO OPERACIONALES — PLAN MENSUAL (Inputs)</t>
        </is>
      </c>
    </row>
    <row r="3">
      <c r="A3" s="8" t="inlineStr">
        <is>
          <t>NOP_ID</t>
        </is>
      </c>
      <c r="B3" s="8" t="inlineStr">
        <is>
          <t>Concepto</t>
        </is>
      </c>
      <c r="C3" s="8" t="inlineStr">
        <is>
          <t>Tipo</t>
        </is>
      </c>
      <c r="D3" s="31" t="n">
        <v>46053</v>
      </c>
      <c r="E3" s="31" t="n">
        <v>46081</v>
      </c>
      <c r="F3" s="31" t="n">
        <v>46112</v>
      </c>
      <c r="G3" s="31" t="n">
        <v>46142</v>
      </c>
      <c r="H3" s="31" t="n">
        <v>46173</v>
      </c>
      <c r="I3" s="31" t="n">
        <v>46203</v>
      </c>
      <c r="J3" s="31" t="n">
        <v>46234</v>
      </c>
      <c r="K3" s="31" t="n">
        <v>46265</v>
      </c>
      <c r="L3" s="31" t="n">
        <v>46295</v>
      </c>
      <c r="M3" s="31" t="n">
        <v>46326</v>
      </c>
      <c r="N3" s="31" t="n">
        <v>46356</v>
      </c>
      <c r="O3" s="31" t="n">
        <v>46387</v>
      </c>
      <c r="P3" s="8" t="inlineStr">
        <is>
          <t>Total_Año</t>
        </is>
      </c>
    </row>
    <row r="4">
      <c r="A4" s="16" t="inlineStr">
        <is>
          <t>NOP-001</t>
        </is>
      </c>
      <c r="B4" s="16" t="inlineStr">
        <is>
          <t>Devoluciones SII y boletas de garantía</t>
        </is>
      </c>
      <c r="C4" s="16" t="inlineStr">
        <is>
          <t>Ingreso</t>
        </is>
      </c>
      <c r="D4" s="44" t="n">
        <v>0</v>
      </c>
      <c r="E4" s="44" t="n">
        <v>1427908</v>
      </c>
      <c r="F4" s="44" t="n">
        <v>0</v>
      </c>
      <c r="G4" s="44" t="n">
        <v>0</v>
      </c>
      <c r="H4" s="44" t="n">
        <v>0</v>
      </c>
      <c r="I4" s="44" t="n">
        <v>0</v>
      </c>
      <c r="J4" s="44" t="n">
        <v>0</v>
      </c>
      <c r="K4" s="44" t="n">
        <v>0</v>
      </c>
      <c r="L4" s="44" t="n">
        <v>0</v>
      </c>
      <c r="M4" s="44" t="n">
        <v>0</v>
      </c>
      <c r="N4" s="44" t="n">
        <v>0</v>
      </c>
      <c r="O4" s="44" t="n">
        <v>0</v>
      </c>
      <c r="P4" s="52">
        <f>SUM(D4:O4)</f>
        <v/>
      </c>
    </row>
    <row r="5">
      <c r="A5" s="16" t="inlineStr">
        <is>
          <t>NOP-002</t>
        </is>
      </c>
      <c r="B5" s="16" t="inlineStr">
        <is>
          <t>Devolución boletas h. (TTGF)</t>
        </is>
      </c>
      <c r="C5" s="16" t="inlineStr">
        <is>
          <t>Ingreso</t>
        </is>
      </c>
      <c r="D5" s="44" t="n">
        <v>702532</v>
      </c>
      <c r="E5" s="44" t="n">
        <v>702532</v>
      </c>
      <c r="F5" s="44" t="n">
        <v>702532</v>
      </c>
      <c r="G5" s="44" t="n">
        <v>702532</v>
      </c>
      <c r="H5" s="44" t="n">
        <v>702532</v>
      </c>
      <c r="I5" s="44" t="n">
        <v>702532</v>
      </c>
      <c r="J5" s="44" t="n">
        <v>702532</v>
      </c>
      <c r="K5" s="44" t="n">
        <v>702532</v>
      </c>
      <c r="L5" s="44" t="n">
        <v>702532</v>
      </c>
      <c r="M5" s="44" t="n">
        <v>702532</v>
      </c>
      <c r="N5" s="44" t="n">
        <v>702532</v>
      </c>
      <c r="O5" s="44" t="n">
        <v>702532</v>
      </c>
      <c r="P5" s="52">
        <f>SUM(D5:O5)</f>
        <v/>
      </c>
    </row>
    <row r="6">
      <c r="A6" s="16" t="inlineStr">
        <is>
          <t>NOP-003</t>
        </is>
      </c>
      <c r="B6" s="16" t="inlineStr">
        <is>
          <t>Otras devoluciones</t>
        </is>
      </c>
      <c r="C6" s="16" t="inlineStr">
        <is>
          <t>Ingreso</t>
        </is>
      </c>
      <c r="D6" s="44" t="n">
        <v>0</v>
      </c>
      <c r="E6" s="44" t="n">
        <v>0</v>
      </c>
      <c r="F6" s="44" t="n">
        <v>224998</v>
      </c>
      <c r="G6" s="44" t="n">
        <v>0</v>
      </c>
      <c r="H6" s="44" t="n">
        <v>0</v>
      </c>
      <c r="I6" s="44" t="n">
        <v>0</v>
      </c>
      <c r="J6" s="44" t="n">
        <v>0</v>
      </c>
      <c r="K6" s="44" t="n">
        <v>0</v>
      </c>
      <c r="L6" s="44" t="n">
        <v>0</v>
      </c>
      <c r="M6" s="44" t="n">
        <v>0</v>
      </c>
      <c r="N6" s="44" t="n">
        <v>0</v>
      </c>
      <c r="O6" s="44" t="n">
        <v>0</v>
      </c>
      <c r="P6" s="52">
        <f>SUM(D6:O6)</f>
        <v/>
      </c>
    </row>
    <row r="7">
      <c r="A7" s="16" t="inlineStr">
        <is>
          <t>NOP-004</t>
        </is>
      </c>
      <c r="B7" s="16" t="inlineStr">
        <is>
          <t>IAT</t>
        </is>
      </c>
      <c r="C7" s="16" t="inlineStr">
        <is>
          <t>Ingreso</t>
        </is>
      </c>
      <c r="D7" s="44" t="n">
        <v>250000</v>
      </c>
      <c r="E7" s="44" t="n">
        <v>250000</v>
      </c>
      <c r="F7" s="44" t="n">
        <v>250000</v>
      </c>
      <c r="G7" s="44" t="n">
        <v>250000</v>
      </c>
      <c r="H7" s="44" t="n">
        <v>250000</v>
      </c>
      <c r="I7" s="44" t="n">
        <v>250000</v>
      </c>
      <c r="J7" s="44" t="n">
        <v>250000</v>
      </c>
      <c r="K7" s="44" t="n">
        <v>250000</v>
      </c>
      <c r="L7" s="44" t="n">
        <v>250000</v>
      </c>
      <c r="M7" s="44" t="n">
        <v>250000</v>
      </c>
      <c r="N7" s="44" t="n">
        <v>250000</v>
      </c>
      <c r="O7" s="44" t="n">
        <v>250000</v>
      </c>
      <c r="P7" s="52">
        <f>SUM(D7:O7)</f>
        <v/>
      </c>
    </row>
    <row r="8">
      <c r="A8" s="16" t="inlineStr">
        <is>
          <t>NOP-005</t>
        </is>
      </c>
      <c r="B8" s="16" t="inlineStr">
        <is>
          <t>Tarjeta de crédito (microservicios)</t>
        </is>
      </c>
      <c r="C8" s="16" t="inlineStr">
        <is>
          <t>Ingreso</t>
        </is>
      </c>
      <c r="D8" s="44" t="n">
        <v>0</v>
      </c>
      <c r="E8" s="44" t="n">
        <v>1876334</v>
      </c>
      <c r="F8" s="44" t="n">
        <v>0</v>
      </c>
      <c r="G8" s="44" t="n">
        <v>0</v>
      </c>
      <c r="H8" s="44" t="n">
        <v>0</v>
      </c>
      <c r="I8" s="44" t="n">
        <v>0</v>
      </c>
      <c r="J8" s="44" t="n">
        <v>0</v>
      </c>
      <c r="K8" s="44" t="n">
        <v>0</v>
      </c>
      <c r="L8" s="44" t="n">
        <v>0</v>
      </c>
      <c r="M8" s="44" t="n">
        <v>0</v>
      </c>
      <c r="N8" s="44" t="n">
        <v>0</v>
      </c>
      <c r="O8" s="44" t="n">
        <v>0</v>
      </c>
      <c r="P8" s="52">
        <f>SUM(D8:O8)</f>
        <v/>
      </c>
    </row>
    <row r="9">
      <c r="A9" s="16" t="inlineStr">
        <is>
          <t>NOP-006</t>
        </is>
      </c>
      <c r="B9" s="16" t="inlineStr">
        <is>
          <t>Reembolsos de préstamos</t>
        </is>
      </c>
      <c r="C9" s="16" t="inlineStr">
        <is>
          <t>Egreso</t>
        </is>
      </c>
      <c r="D9" s="44" t="n">
        <v>0</v>
      </c>
      <c r="E9" s="44" t="n">
        <v>0</v>
      </c>
      <c r="F9" s="44" t="n">
        <v>-3000000</v>
      </c>
      <c r="G9" s="44" t="n">
        <v>0</v>
      </c>
      <c r="H9" s="44" t="n">
        <v>0</v>
      </c>
      <c r="I9" s="44" t="n">
        <v>0</v>
      </c>
      <c r="J9" s="44" t="n">
        <v>0</v>
      </c>
      <c r="K9" s="44" t="n">
        <v>0</v>
      </c>
      <c r="L9" s="44" t="n">
        <v>0</v>
      </c>
      <c r="M9" s="44" t="n">
        <v>0</v>
      </c>
      <c r="N9" s="44" t="n">
        <v>0</v>
      </c>
      <c r="O9" s="44" t="n">
        <v>0</v>
      </c>
      <c r="P9" s="52">
        <f>SUM(D9:O9)</f>
        <v/>
      </c>
    </row>
    <row r="10">
      <c r="A10" s="16" t="inlineStr">
        <is>
          <t>NOP-007</t>
        </is>
      </c>
      <c r="B10" s="16" t="inlineStr">
        <is>
          <t>Comisiones bancarias</t>
        </is>
      </c>
      <c r="C10" s="16" t="inlineStr">
        <is>
          <t>Egreso</t>
        </is>
      </c>
      <c r="D10" s="44" t="n">
        <v>-15000</v>
      </c>
      <c r="E10" s="44" t="n">
        <v>-15000</v>
      </c>
      <c r="F10" s="44" t="n">
        <v>-15000</v>
      </c>
      <c r="G10" s="44" t="n">
        <v>-15000</v>
      </c>
      <c r="H10" s="44" t="n">
        <v>-15000</v>
      </c>
      <c r="I10" s="44" t="n">
        <v>-15000</v>
      </c>
      <c r="J10" s="44" t="n">
        <v>-15000</v>
      </c>
      <c r="K10" s="44" t="n">
        <v>-15000</v>
      </c>
      <c r="L10" s="44" t="n">
        <v>-15000</v>
      </c>
      <c r="M10" s="44" t="n">
        <v>-15000</v>
      </c>
      <c r="N10" s="44" t="n">
        <v>-15000</v>
      </c>
      <c r="O10" s="44" t="n">
        <v>-15000</v>
      </c>
      <c r="P10" s="52">
        <f>SUM(D10:O10)</f>
        <v/>
      </c>
    </row>
    <row r="11">
      <c r="A11" s="16" t="inlineStr">
        <is>
          <t>NOP-008</t>
        </is>
      </c>
      <c r="B11" s="16" t="inlineStr">
        <is>
          <t>Retenciones boletas</t>
        </is>
      </c>
      <c r="C11" s="16" t="inlineStr">
        <is>
          <t>Egreso</t>
        </is>
      </c>
      <c r="D11" s="44" t="n">
        <v>-647815</v>
      </c>
      <c r="E11" s="44" t="n">
        <v>-478851</v>
      </c>
      <c r="F11" s="44" t="n">
        <v>-478851</v>
      </c>
      <c r="G11" s="44" t="n">
        <v>-1249548</v>
      </c>
      <c r="H11" s="44" t="n">
        <v>-658792</v>
      </c>
      <c r="I11" s="44" t="n">
        <v>-658792</v>
      </c>
      <c r="J11" s="44" t="n">
        <v>-658792</v>
      </c>
      <c r="K11" s="44" t="n">
        <v>-658792</v>
      </c>
      <c r="L11" s="44" t="n">
        <v>-658792</v>
      </c>
      <c r="M11" s="44" t="n">
        <v>-658792</v>
      </c>
      <c r="N11" s="44" t="n">
        <v>-658792</v>
      </c>
      <c r="O11" s="44" t="n">
        <v>-658792</v>
      </c>
      <c r="P11" s="52">
        <f>SUM(D11:O11)</f>
        <v/>
      </c>
    </row>
    <row r="12">
      <c r="A12" s="16" t="inlineStr">
        <is>
          <t>NOP-009</t>
        </is>
      </c>
      <c r="B12" s="16" t="inlineStr">
        <is>
          <t>Cuota IVA atrasado</t>
        </is>
      </c>
      <c r="C12" s="16" t="inlineStr">
        <is>
          <t>Egreso</t>
        </is>
      </c>
      <c r="D12" s="44" t="n">
        <v>-769938</v>
      </c>
      <c r="E12" s="44" t="n">
        <v>-384969</v>
      </c>
      <c r="F12" s="44" t="n">
        <v>-384969</v>
      </c>
      <c r="G12" s="44" t="n">
        <v>-384969</v>
      </c>
      <c r="H12" s="44" t="n">
        <v>-384969</v>
      </c>
      <c r="I12" s="44" t="n">
        <v>-384969</v>
      </c>
      <c r="J12" s="44" t="n">
        <v>-384969</v>
      </c>
      <c r="K12" s="44" t="n">
        <v>-384969</v>
      </c>
      <c r="L12" s="44" t="n">
        <v>-384969</v>
      </c>
      <c r="M12" s="44" t="n">
        <v>-384969</v>
      </c>
      <c r="N12" s="44" t="n">
        <v>-384969</v>
      </c>
      <c r="O12" s="44" t="n">
        <v>-384969</v>
      </c>
      <c r="P12" s="52">
        <f>SUM(D12:O12)</f>
        <v/>
      </c>
    </row>
    <row r="13">
      <c r="A13" s="16" t="inlineStr">
        <is>
          <t>NOP-010</t>
        </is>
      </c>
      <c r="B13" s="16" t="inlineStr">
        <is>
          <t>IAT</t>
        </is>
      </c>
      <c r="C13" s="16" t="inlineStr">
        <is>
          <t>Egreso</t>
        </is>
      </c>
      <c r="D13" s="44" t="n">
        <v>-49423</v>
      </c>
      <c r="E13" s="44" t="n">
        <v>0</v>
      </c>
      <c r="F13" s="44" t="n">
        <v>0</v>
      </c>
      <c r="G13" s="44" t="n">
        <v>0</v>
      </c>
      <c r="H13" s="44" t="n">
        <v>0</v>
      </c>
      <c r="I13" s="44" t="n">
        <v>0</v>
      </c>
      <c r="J13" s="44" t="n">
        <v>0</v>
      </c>
      <c r="K13" s="44" t="n">
        <v>0</v>
      </c>
      <c r="L13" s="44" t="n">
        <v>0</v>
      </c>
      <c r="M13" s="44" t="n">
        <v>0</v>
      </c>
      <c r="N13" s="44" t="n">
        <v>0</v>
      </c>
      <c r="O13" s="44" t="n">
        <v>0</v>
      </c>
      <c r="P13" s="52">
        <f>SUM(D13:O13)</f>
        <v/>
      </c>
    </row>
    <row r="14">
      <c r="A14" s="16" t="inlineStr">
        <is>
          <t>NOP-011</t>
        </is>
      </c>
      <c r="B14" s="16" t="inlineStr">
        <is>
          <t>IAT #2</t>
        </is>
      </c>
      <c r="C14" s="16" t="inlineStr">
        <is>
          <t>Egreso</t>
        </is>
      </c>
      <c r="D14" s="44" t="n">
        <v>-1780000</v>
      </c>
      <c r="E14" s="44" t="n">
        <v>0</v>
      </c>
      <c r="F14" s="44" t="n">
        <v>0</v>
      </c>
      <c r="G14" s="44" t="n">
        <v>0</v>
      </c>
      <c r="H14" s="44" t="n">
        <v>0</v>
      </c>
      <c r="I14" s="44" t="n">
        <v>0</v>
      </c>
      <c r="J14" s="44" t="n">
        <v>0</v>
      </c>
      <c r="K14" s="44" t="n">
        <v>0</v>
      </c>
      <c r="L14" s="44" t="n">
        <v>0</v>
      </c>
      <c r="M14" s="44" t="n">
        <v>0</v>
      </c>
      <c r="N14" s="44" t="n">
        <v>0</v>
      </c>
      <c r="O14" s="44" t="n">
        <v>0</v>
      </c>
      <c r="P14" s="52">
        <f>SUM(D14:O14)</f>
        <v/>
      </c>
    </row>
    <row r="15">
      <c r="A15" s="16" t="inlineStr">
        <is>
          <t>NOP-012</t>
        </is>
      </c>
      <c r="B15" s="16" t="inlineStr">
        <is>
          <t>IAT #3</t>
        </is>
      </c>
      <c r="C15" s="16" t="inlineStr">
        <is>
          <t>Egreso</t>
        </is>
      </c>
      <c r="D15" s="44" t="n">
        <v>-6785444</v>
      </c>
      <c r="E15" s="44" t="n">
        <v>0</v>
      </c>
      <c r="F15" s="44" t="n">
        <v>0</v>
      </c>
      <c r="G15" s="44" t="n">
        <v>0</v>
      </c>
      <c r="H15" s="44" t="n">
        <v>0</v>
      </c>
      <c r="I15" s="44" t="n">
        <v>0</v>
      </c>
      <c r="J15" s="44" t="n">
        <v>0</v>
      </c>
      <c r="K15" s="44" t="n">
        <v>0</v>
      </c>
      <c r="L15" s="44" t="n">
        <v>0</v>
      </c>
      <c r="M15" s="44" t="n">
        <v>0</v>
      </c>
      <c r="N15" s="44" t="n">
        <v>0</v>
      </c>
      <c r="O15" s="44" t="n">
        <v>0</v>
      </c>
      <c r="P15" s="52">
        <f>SUM(D15:O15)</f>
        <v/>
      </c>
    </row>
    <row r="16">
      <c r="A16" s="16" t="inlineStr">
        <is>
          <t>NOP-013</t>
        </is>
      </c>
      <c r="B16" s="16" t="inlineStr">
        <is>
          <t>EFI</t>
        </is>
      </c>
      <c r="C16" s="16" t="inlineStr">
        <is>
          <t>Egreso</t>
        </is>
      </c>
      <c r="D16" s="44" t="n">
        <v>0</v>
      </c>
      <c r="E16" s="44" t="n">
        <v>-500000</v>
      </c>
      <c r="F16" s="44" t="n">
        <v>-500000</v>
      </c>
      <c r="G16" s="44" t="n">
        <v>-500000</v>
      </c>
      <c r="H16" s="44" t="n">
        <v>-700000</v>
      </c>
      <c r="I16" s="44" t="n">
        <v>0</v>
      </c>
      <c r="J16" s="44" t="n">
        <v>0</v>
      </c>
      <c r="K16" s="44" t="n">
        <v>0</v>
      </c>
      <c r="L16" s="44" t="n">
        <v>0</v>
      </c>
      <c r="M16" s="44" t="n">
        <v>0</v>
      </c>
      <c r="N16" s="44" t="n">
        <v>0</v>
      </c>
      <c r="O16" s="44" t="n">
        <v>0</v>
      </c>
      <c r="P16" s="52">
        <f>SUM(D16:O16)</f>
        <v/>
      </c>
    </row>
    <row r="18">
      <c r="A18" s="38" t="inlineStr">
        <is>
          <t>TOTAL_NOP</t>
        </is>
      </c>
      <c r="B18" s="59" t="n"/>
      <c r="C18" s="58" t="n"/>
      <c r="D18" s="57">
        <f>SUM(D4:D17)</f>
        <v/>
      </c>
      <c r="E18" s="57">
        <f>SUM(E4:E17)</f>
        <v/>
      </c>
      <c r="F18" s="57">
        <f>SUM(F4:F17)</f>
        <v/>
      </c>
      <c r="G18" s="57">
        <f>SUM(G4:G17)</f>
        <v/>
      </c>
      <c r="H18" s="57">
        <f>SUM(H4:H17)</f>
        <v/>
      </c>
      <c r="I18" s="57">
        <f>SUM(I4:I17)</f>
        <v/>
      </c>
      <c r="J18" s="57">
        <f>SUM(J4:J17)</f>
        <v/>
      </c>
      <c r="K18" s="57">
        <f>SUM(K4:K17)</f>
        <v/>
      </c>
      <c r="L18" s="57">
        <f>SUM(L4:L17)</f>
        <v/>
      </c>
      <c r="M18" s="57">
        <f>SUM(M4:M17)</f>
        <v/>
      </c>
      <c r="N18" s="57">
        <f>SUM(N4:N17)</f>
        <v/>
      </c>
      <c r="O18" s="57">
        <f>SUM(O4:O17)</f>
        <v/>
      </c>
      <c r="P18" s="57">
        <f>SUM(P4:P17)</f>
        <v/>
      </c>
    </row>
  </sheetData>
  <mergeCells count="2">
    <mergeCell ref="A1:O1"/>
    <mergeCell ref="A18:C1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</cols>
  <sheetData>
    <row r="1">
      <c r="A1" s="7" t="inlineStr">
        <is>
          <t>FACTURACIÓN (Devengo) — Neto vs IVA vs Bruto (Calculado)</t>
        </is>
      </c>
    </row>
    <row r="3">
      <c r="A3" s="8" t="inlineStr">
        <is>
          <t>Concepto</t>
        </is>
      </c>
      <c r="B3" s="31" t="n">
        <v>46053</v>
      </c>
      <c r="C3" s="31" t="n">
        <v>46081</v>
      </c>
      <c r="D3" s="31" t="n">
        <v>46112</v>
      </c>
      <c r="E3" s="31" t="n">
        <v>46142</v>
      </c>
      <c r="F3" s="31" t="n">
        <v>46173</v>
      </c>
      <c r="G3" s="31" t="n">
        <v>46203</v>
      </c>
      <c r="H3" s="31" t="n">
        <v>46234</v>
      </c>
      <c r="I3" s="31" t="n">
        <v>46265</v>
      </c>
      <c r="J3" s="31" t="n">
        <v>46295</v>
      </c>
      <c r="K3" s="31" t="n">
        <v>46326</v>
      </c>
      <c r="L3" s="31" t="n">
        <v>46356</v>
      </c>
      <c r="M3" s="31" t="n">
        <v>46387</v>
      </c>
      <c r="N3" s="8" t="inlineStr">
        <is>
          <t>Total_Año</t>
        </is>
      </c>
    </row>
    <row r="4">
      <c r="A4" s="38" t="inlineStr">
        <is>
          <t>Ventas_netas_sin_IVA</t>
        </is>
      </c>
      <c r="B4" s="52">
        <f>SUMIFS(04B_HITOS!$E$4:$E$500,04B_HITOS!$C$4:$C$500,B$3)</f>
        <v/>
      </c>
      <c r="C4" s="52">
        <f>SUMIFS(04B_HITOS!$E$4:$E$500,04B_HITOS!$C$4:$C$500,C$3)</f>
        <v/>
      </c>
      <c r="D4" s="52">
        <f>SUMIFS(04B_HITOS!$E$4:$E$500,04B_HITOS!$C$4:$C$500,D$3)</f>
        <v/>
      </c>
      <c r="E4" s="52">
        <f>SUMIFS(04B_HITOS!$E$4:$E$500,04B_HITOS!$C$4:$C$500,E$3)</f>
        <v/>
      </c>
      <c r="F4" s="52">
        <f>SUMIFS(04B_HITOS!$E$4:$E$500,04B_HITOS!$C$4:$C$500,F$3)</f>
        <v/>
      </c>
      <c r="G4" s="52">
        <f>SUMIFS(04B_HITOS!$E$4:$E$500,04B_HITOS!$C$4:$C$500,G$3)</f>
        <v/>
      </c>
      <c r="H4" s="52">
        <f>SUMIFS(04B_HITOS!$E$4:$E$500,04B_HITOS!$C$4:$C$500,H$3)</f>
        <v/>
      </c>
      <c r="I4" s="52">
        <f>SUMIFS(04B_HITOS!$E$4:$E$500,04B_HITOS!$C$4:$C$500,I$3)</f>
        <v/>
      </c>
      <c r="J4" s="52">
        <f>SUMIFS(04B_HITOS!$E$4:$E$500,04B_HITOS!$C$4:$C$500,J$3)</f>
        <v/>
      </c>
      <c r="K4" s="52">
        <f>SUMIFS(04B_HITOS!$E$4:$E$500,04B_HITOS!$C$4:$C$500,K$3)</f>
        <v/>
      </c>
      <c r="L4" s="52">
        <f>SUMIFS(04B_HITOS!$E$4:$E$500,04B_HITOS!$C$4:$C$500,L$3)</f>
        <v/>
      </c>
      <c r="M4" s="52">
        <f>SUMIFS(04B_HITOS!$E$4:$E$500,04B_HITOS!$C$4:$C$500,M$3)</f>
        <v/>
      </c>
      <c r="N4" s="52">
        <f>SUM(B4:M4)</f>
        <v/>
      </c>
    </row>
    <row r="5">
      <c r="A5" s="36" t="inlineStr">
        <is>
          <t>IVA_debito</t>
        </is>
      </c>
      <c r="B5" s="52">
        <f>SUMIFS(04B_HITOS!$F$4:$F$500,04B_HITOS!$C$4:$C$500,B$3)</f>
        <v/>
      </c>
      <c r="C5" s="52">
        <f>SUMIFS(04B_HITOS!$F$4:$F$500,04B_HITOS!$C$4:$C$500,C$3)</f>
        <v/>
      </c>
      <c r="D5" s="52">
        <f>SUMIFS(04B_HITOS!$F$4:$F$500,04B_HITOS!$C$4:$C$500,D$3)</f>
        <v/>
      </c>
      <c r="E5" s="52">
        <f>SUMIFS(04B_HITOS!$F$4:$F$500,04B_HITOS!$C$4:$C$500,E$3)</f>
        <v/>
      </c>
      <c r="F5" s="52">
        <f>SUMIFS(04B_HITOS!$F$4:$F$500,04B_HITOS!$C$4:$C$500,F$3)</f>
        <v/>
      </c>
      <c r="G5" s="52">
        <f>SUMIFS(04B_HITOS!$F$4:$F$500,04B_HITOS!$C$4:$C$500,G$3)</f>
        <v/>
      </c>
      <c r="H5" s="52">
        <f>SUMIFS(04B_HITOS!$F$4:$F$500,04B_HITOS!$C$4:$C$500,H$3)</f>
        <v/>
      </c>
      <c r="I5" s="52">
        <f>SUMIFS(04B_HITOS!$F$4:$F$500,04B_HITOS!$C$4:$C$500,I$3)</f>
        <v/>
      </c>
      <c r="J5" s="52">
        <f>SUMIFS(04B_HITOS!$F$4:$F$500,04B_HITOS!$C$4:$C$500,J$3)</f>
        <v/>
      </c>
      <c r="K5" s="52">
        <f>SUMIFS(04B_HITOS!$F$4:$F$500,04B_HITOS!$C$4:$C$500,K$3)</f>
        <v/>
      </c>
      <c r="L5" s="52">
        <f>SUMIFS(04B_HITOS!$F$4:$F$500,04B_HITOS!$C$4:$C$500,L$3)</f>
        <v/>
      </c>
      <c r="M5" s="52">
        <f>SUMIFS(04B_HITOS!$F$4:$F$500,04B_HITOS!$C$4:$C$500,M$3)</f>
        <v/>
      </c>
      <c r="N5" s="52">
        <f>SUM(B5:M5)</f>
        <v/>
      </c>
    </row>
    <row r="6">
      <c r="A6" s="36" t="inlineStr">
        <is>
          <t>Ventas_brutas_con_IVA</t>
        </is>
      </c>
      <c r="B6" s="52">
        <f>SUMIFS(04B_HITOS!$G$4:$G$500,04B_HITOS!$C$4:$C$500,B$3)</f>
        <v/>
      </c>
      <c r="C6" s="52">
        <f>SUMIFS(04B_HITOS!$G$4:$G$500,04B_HITOS!$C$4:$C$500,C$3)</f>
        <v/>
      </c>
      <c r="D6" s="52">
        <f>SUMIFS(04B_HITOS!$G$4:$G$500,04B_HITOS!$C$4:$C$500,D$3)</f>
        <v/>
      </c>
      <c r="E6" s="52">
        <f>SUMIFS(04B_HITOS!$G$4:$G$500,04B_HITOS!$C$4:$C$500,E$3)</f>
        <v/>
      </c>
      <c r="F6" s="52">
        <f>SUMIFS(04B_HITOS!$G$4:$G$500,04B_HITOS!$C$4:$C$500,F$3)</f>
        <v/>
      </c>
      <c r="G6" s="52">
        <f>SUMIFS(04B_HITOS!$G$4:$G$500,04B_HITOS!$C$4:$C$500,G$3)</f>
        <v/>
      </c>
      <c r="H6" s="52">
        <f>SUMIFS(04B_HITOS!$G$4:$G$500,04B_HITOS!$C$4:$C$500,H$3)</f>
        <v/>
      </c>
      <c r="I6" s="52">
        <f>SUMIFS(04B_HITOS!$G$4:$G$500,04B_HITOS!$C$4:$C$500,I$3)</f>
        <v/>
      </c>
      <c r="J6" s="52">
        <f>SUMIFS(04B_HITOS!$G$4:$G$500,04B_HITOS!$C$4:$C$500,J$3)</f>
        <v/>
      </c>
      <c r="K6" s="52">
        <f>SUMIFS(04B_HITOS!$G$4:$G$500,04B_HITOS!$C$4:$C$500,K$3)</f>
        <v/>
      </c>
      <c r="L6" s="52">
        <f>SUMIFS(04B_HITOS!$G$4:$G$500,04B_HITOS!$C$4:$C$500,L$3)</f>
        <v/>
      </c>
      <c r="M6" s="52">
        <f>SUMIFS(04B_HITOS!$G$4:$G$500,04B_HITOS!$C$4:$C$500,M$3)</f>
        <v/>
      </c>
      <c r="N6" s="52">
        <f>SUM(B6:M6)</f>
        <v/>
      </c>
    </row>
  </sheetData>
  <mergeCells count="1">
    <mergeCell ref="A1:N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</cols>
  <sheetData>
    <row r="1">
      <c r="A1" s="7" t="inlineStr">
        <is>
          <t>COBRANZAS (Caja) — Cobros brutos por mes (Calculado)</t>
        </is>
      </c>
    </row>
    <row r="3">
      <c r="A3" s="8" t="inlineStr">
        <is>
          <t>Concepto</t>
        </is>
      </c>
      <c r="B3" s="31" t="n">
        <v>46053</v>
      </c>
      <c r="C3" s="31" t="n">
        <v>46081</v>
      </c>
      <c r="D3" s="31" t="n">
        <v>46112</v>
      </c>
      <c r="E3" s="31" t="n">
        <v>46142</v>
      </c>
      <c r="F3" s="31" t="n">
        <v>46173</v>
      </c>
      <c r="G3" s="31" t="n">
        <v>46203</v>
      </c>
      <c r="H3" s="31" t="n">
        <v>46234</v>
      </c>
      <c r="I3" s="31" t="n">
        <v>46265</v>
      </c>
      <c r="J3" s="31" t="n">
        <v>46295</v>
      </c>
      <c r="K3" s="31" t="n">
        <v>46326</v>
      </c>
      <c r="L3" s="31" t="n">
        <v>46356</v>
      </c>
      <c r="M3" s="31" t="n">
        <v>46387</v>
      </c>
      <c r="N3" s="8" t="inlineStr">
        <is>
          <t>Total_Año</t>
        </is>
      </c>
    </row>
    <row r="4">
      <c r="A4" s="38" t="inlineStr">
        <is>
          <t>Cobros_brutos_con_IVA</t>
        </is>
      </c>
      <c r="B4" s="52">
        <f>SUMIFS(04B_HITOS!$K$4:$K$500,04B_HITOS!$J$4:$J$500,B$3)</f>
        <v/>
      </c>
      <c r="C4" s="52">
        <f>SUMIFS(04B_HITOS!$K$4:$K$500,04B_HITOS!$J$4:$J$500,C$3)</f>
        <v/>
      </c>
      <c r="D4" s="52">
        <f>SUMIFS(04B_HITOS!$K$4:$K$500,04B_HITOS!$J$4:$J$500,D$3)</f>
        <v/>
      </c>
      <c r="E4" s="52">
        <f>SUMIFS(04B_HITOS!$K$4:$K$500,04B_HITOS!$J$4:$J$500,E$3)</f>
        <v/>
      </c>
      <c r="F4" s="52">
        <f>SUMIFS(04B_HITOS!$K$4:$K$500,04B_HITOS!$J$4:$J$500,F$3)</f>
        <v/>
      </c>
      <c r="G4" s="52">
        <f>SUMIFS(04B_HITOS!$K$4:$K$500,04B_HITOS!$J$4:$J$500,G$3)</f>
        <v/>
      </c>
      <c r="H4" s="52">
        <f>SUMIFS(04B_HITOS!$K$4:$K$500,04B_HITOS!$J$4:$J$500,H$3)</f>
        <v/>
      </c>
      <c r="I4" s="52">
        <f>SUMIFS(04B_HITOS!$K$4:$K$500,04B_HITOS!$J$4:$J$500,I$3)</f>
        <v/>
      </c>
      <c r="J4" s="52">
        <f>SUMIFS(04B_HITOS!$K$4:$K$500,04B_HITOS!$J$4:$J$500,J$3)</f>
        <v/>
      </c>
      <c r="K4" s="52">
        <f>SUMIFS(04B_HITOS!$K$4:$K$500,04B_HITOS!$J$4:$J$500,K$3)</f>
        <v/>
      </c>
      <c r="L4" s="52">
        <f>SUMIFS(04B_HITOS!$K$4:$K$500,04B_HITOS!$J$4:$J$500,L$3)</f>
        <v/>
      </c>
      <c r="M4" s="52">
        <f>SUMIFS(04B_HITOS!$K$4:$K$500,04B_HITOS!$J$4:$J$500,M$3)</f>
        <v/>
      </c>
      <c r="N4" s="52">
        <f>SUM(B4:M4)</f>
        <v/>
      </c>
    </row>
  </sheetData>
  <mergeCells count="1">
    <mergeCell ref="A1:N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</cols>
  <sheetData>
    <row r="1">
      <c r="A1" s="7" t="inlineStr">
        <is>
          <t>IVA LEDGER (F29) — Débito/Crédito/Remanente/Pago (Calculado)</t>
        </is>
      </c>
    </row>
    <row r="3">
      <c r="A3" s="8" t="inlineStr">
        <is>
          <t>Concepto</t>
        </is>
      </c>
      <c r="B3" s="31" t="n">
        <v>46053</v>
      </c>
      <c r="C3" s="31" t="n">
        <v>46081</v>
      </c>
      <c r="D3" s="31" t="n">
        <v>46112</v>
      </c>
      <c r="E3" s="31" t="n">
        <v>46142</v>
      </c>
      <c r="F3" s="31" t="n">
        <v>46173</v>
      </c>
      <c r="G3" s="31" t="n">
        <v>46203</v>
      </c>
      <c r="H3" s="31" t="n">
        <v>46234</v>
      </c>
      <c r="I3" s="31" t="n">
        <v>46265</v>
      </c>
      <c r="J3" s="31" t="n">
        <v>46295</v>
      </c>
      <c r="K3" s="31" t="n">
        <v>46326</v>
      </c>
      <c r="L3" s="31" t="n">
        <v>46356</v>
      </c>
      <c r="M3" s="31" t="n">
        <v>46387</v>
      </c>
      <c r="N3" s="8" t="inlineStr">
        <is>
          <t>Total_Año</t>
        </is>
      </c>
    </row>
    <row r="4">
      <c r="A4" s="38" t="inlineStr">
        <is>
          <t>IVA_debito (ventas)</t>
        </is>
      </c>
      <c r="B4" s="52">
        <f>10_FACTURACION_NETO!B5</f>
        <v/>
      </c>
      <c r="C4" s="52">
        <f>10_FACTURACION_NETO!C5</f>
        <v/>
      </c>
      <c r="D4" s="52">
        <f>10_FACTURACION_NETO!D5</f>
        <v/>
      </c>
      <c r="E4" s="52">
        <f>10_FACTURACION_NETO!E5</f>
        <v/>
      </c>
      <c r="F4" s="52">
        <f>10_FACTURACION_NETO!F5</f>
        <v/>
      </c>
      <c r="G4" s="52">
        <f>10_FACTURACION_NETO!G5</f>
        <v/>
      </c>
      <c r="H4" s="52">
        <f>10_FACTURACION_NETO!H5</f>
        <v/>
      </c>
      <c r="I4" s="52">
        <f>10_FACTURACION_NETO!I5</f>
        <v/>
      </c>
      <c r="J4" s="52">
        <f>10_FACTURACION_NETO!J5</f>
        <v/>
      </c>
      <c r="K4" s="52">
        <f>10_FACTURACION_NETO!K5</f>
        <v/>
      </c>
      <c r="L4" s="52">
        <f>10_FACTURACION_NETO!L5</f>
        <v/>
      </c>
      <c r="M4" s="52">
        <f>10_FACTURACION_NETO!M5</f>
        <v/>
      </c>
      <c r="N4" s="52">
        <f>SUM(B4:M4)</f>
        <v/>
      </c>
    </row>
    <row r="5">
      <c r="A5" s="36" t="inlineStr">
        <is>
          <t>IVA_credito (compras)</t>
        </is>
      </c>
      <c r="B5" s="52">
        <f>-TASA_IVA*(SUMIFS(06B_OPEX_MENSUAL!E$4:E$200,06B_OPEX_MENSUAL!$D$4:$D$200,"SI")+06E_COSTOS_DIRECTOS_MENSUAL!C7)</f>
        <v/>
      </c>
      <c r="C5" s="52">
        <f>-TASA_IVA*(SUMIFS(06B_OPEX_MENSUAL!F$4:F$200,06B_OPEX_MENSUAL!$D$4:$D$200,"SI")+06E_COSTOS_DIRECTOS_MENSUAL!D7)</f>
        <v/>
      </c>
      <c r="D5" s="52">
        <f>-TASA_IVA*(SUMIFS(06B_OPEX_MENSUAL!G$4:G$200,06B_OPEX_MENSUAL!$D$4:$D$200,"SI")+06E_COSTOS_DIRECTOS_MENSUAL!E7)</f>
        <v/>
      </c>
      <c r="E5" s="52">
        <f>-TASA_IVA*(SUMIFS(06B_OPEX_MENSUAL!H$4:H$200,06B_OPEX_MENSUAL!$D$4:$D$200,"SI")+06E_COSTOS_DIRECTOS_MENSUAL!F7)</f>
        <v/>
      </c>
      <c r="F5" s="52">
        <f>-TASA_IVA*(SUMIFS(06B_OPEX_MENSUAL!I$4:I$200,06B_OPEX_MENSUAL!$D$4:$D$200,"SI")+06E_COSTOS_DIRECTOS_MENSUAL!G7)</f>
        <v/>
      </c>
      <c r="G5" s="52">
        <f>-TASA_IVA*(SUMIFS(06B_OPEX_MENSUAL!J$4:J$200,06B_OPEX_MENSUAL!$D$4:$D$200,"SI")+06E_COSTOS_DIRECTOS_MENSUAL!H7)</f>
        <v/>
      </c>
      <c r="H5" s="52">
        <f>-TASA_IVA*(SUMIFS(06B_OPEX_MENSUAL!K$4:K$200,06B_OPEX_MENSUAL!$D$4:$D$200,"SI")+06E_COSTOS_DIRECTOS_MENSUAL!I7)</f>
        <v/>
      </c>
      <c r="I5" s="52">
        <f>-TASA_IVA*(SUMIFS(06B_OPEX_MENSUAL!L$4:L$200,06B_OPEX_MENSUAL!$D$4:$D$200,"SI")+06E_COSTOS_DIRECTOS_MENSUAL!J7)</f>
        <v/>
      </c>
      <c r="J5" s="52">
        <f>-TASA_IVA*(SUMIFS(06B_OPEX_MENSUAL!M$4:M$200,06B_OPEX_MENSUAL!$D$4:$D$200,"SI")+06E_COSTOS_DIRECTOS_MENSUAL!K7)</f>
        <v/>
      </c>
      <c r="K5" s="52">
        <f>-TASA_IVA*(SUMIFS(06B_OPEX_MENSUAL!N$4:N$200,06B_OPEX_MENSUAL!$D$4:$D$200,"SI")+06E_COSTOS_DIRECTOS_MENSUAL!L7)</f>
        <v/>
      </c>
      <c r="L5" s="52">
        <f>-TASA_IVA*(SUMIFS(06B_OPEX_MENSUAL!O$4:O$200,06B_OPEX_MENSUAL!$D$4:$D$200,"SI")+06E_COSTOS_DIRECTOS_MENSUAL!M7)</f>
        <v/>
      </c>
      <c r="M5" s="52">
        <f>-TASA_IVA*(SUMIFS(06B_OPEX_MENSUAL!P$4:P$200,06B_OPEX_MENSUAL!$D$4:$D$200,"SI")+06E_COSTOS_DIRECTOS_MENSUAL!N7)</f>
        <v/>
      </c>
      <c r="N5" s="52">
        <f>SUM(B5:M5)</f>
        <v/>
      </c>
    </row>
    <row r="6">
      <c r="A6" s="36" t="inlineStr">
        <is>
          <t>Remanente_anterior</t>
        </is>
      </c>
      <c r="B6" s="52">
        <f>IVA_REMANENTE_INICIAL</f>
        <v/>
      </c>
      <c r="C6" s="52">
        <f>B9</f>
        <v/>
      </c>
      <c r="D6" s="52">
        <f>C9</f>
        <v/>
      </c>
      <c r="E6" s="52">
        <f>D9</f>
        <v/>
      </c>
      <c r="F6" s="52">
        <f>E9</f>
        <v/>
      </c>
      <c r="G6" s="52">
        <f>F9</f>
        <v/>
      </c>
      <c r="H6" s="52">
        <f>G9</f>
        <v/>
      </c>
      <c r="I6" s="52">
        <f>H9</f>
        <v/>
      </c>
      <c r="J6" s="52">
        <f>I9</f>
        <v/>
      </c>
      <c r="K6" s="52">
        <f>J9</f>
        <v/>
      </c>
      <c r="L6" s="52">
        <f>K9</f>
        <v/>
      </c>
      <c r="M6" s="52">
        <f>L9</f>
        <v/>
      </c>
      <c r="N6" s="52">
        <f>SUM(B6:M6)</f>
        <v/>
      </c>
    </row>
    <row r="7">
      <c r="A7" s="36" t="inlineStr">
        <is>
          <t>IVA_neto_mes</t>
        </is>
      </c>
      <c r="B7" s="52">
        <f>B4+B6-B5</f>
        <v/>
      </c>
      <c r="C7" s="52">
        <f>C4+C6-C5</f>
        <v/>
      </c>
      <c r="D7" s="52">
        <f>D4+D6-D5</f>
        <v/>
      </c>
      <c r="E7" s="52">
        <f>E4+E6-E5</f>
        <v/>
      </c>
      <c r="F7" s="52">
        <f>F4+F6-F5</f>
        <v/>
      </c>
      <c r="G7" s="52">
        <f>G4+G6-G5</f>
        <v/>
      </c>
      <c r="H7" s="52">
        <f>H4+H6-H5</f>
        <v/>
      </c>
      <c r="I7" s="52">
        <f>I4+I6-I5</f>
        <v/>
      </c>
      <c r="J7" s="52">
        <f>J4+J6-J5</f>
        <v/>
      </c>
      <c r="K7" s="52">
        <f>K4+K6-K5</f>
        <v/>
      </c>
      <c r="L7" s="52">
        <f>L4+L6-L5</f>
        <v/>
      </c>
      <c r="M7" s="52">
        <f>M4+M6-M5</f>
        <v/>
      </c>
      <c r="N7" s="52">
        <f>SUM(B7:M7)</f>
        <v/>
      </c>
    </row>
    <row r="8">
      <c r="A8" s="36" t="inlineStr">
        <is>
          <t>IVA_a_pagar (F29)</t>
        </is>
      </c>
      <c r="B8" s="52">
        <f>MAX(0,B7)</f>
        <v/>
      </c>
      <c r="C8" s="52">
        <f>MAX(0,C7)</f>
        <v/>
      </c>
      <c r="D8" s="52">
        <f>MAX(0,D7)</f>
        <v/>
      </c>
      <c r="E8" s="52">
        <f>MAX(0,E7)</f>
        <v/>
      </c>
      <c r="F8" s="52">
        <f>MAX(0,F7)</f>
        <v/>
      </c>
      <c r="G8" s="52">
        <f>MAX(0,G7)</f>
        <v/>
      </c>
      <c r="H8" s="52">
        <f>MAX(0,H7)</f>
        <v/>
      </c>
      <c r="I8" s="52">
        <f>MAX(0,I7)</f>
        <v/>
      </c>
      <c r="J8" s="52">
        <f>MAX(0,J7)</f>
        <v/>
      </c>
      <c r="K8" s="52">
        <f>MAX(0,K7)</f>
        <v/>
      </c>
      <c r="L8" s="52">
        <f>MAX(0,L7)</f>
        <v/>
      </c>
      <c r="M8" s="52">
        <f>MAX(0,M7)</f>
        <v/>
      </c>
      <c r="N8" s="52">
        <f>SUM(B8:M8)</f>
        <v/>
      </c>
    </row>
    <row r="9">
      <c r="A9" s="36" t="inlineStr">
        <is>
          <t>Remanente_siguiente</t>
        </is>
      </c>
      <c r="B9" s="52">
        <f>B7-B8</f>
        <v/>
      </c>
      <c r="C9" s="52">
        <f>C7-C8</f>
        <v/>
      </c>
      <c r="D9" s="52">
        <f>D7-D8</f>
        <v/>
      </c>
      <c r="E9" s="52">
        <f>E7-E8</f>
        <v/>
      </c>
      <c r="F9" s="52">
        <f>F7-F8</f>
        <v/>
      </c>
      <c r="G9" s="52">
        <f>G7-G8</f>
        <v/>
      </c>
      <c r="H9" s="52">
        <f>H7-H8</f>
        <v/>
      </c>
      <c r="I9" s="52">
        <f>I7-I8</f>
        <v/>
      </c>
      <c r="J9" s="52">
        <f>J7-J8</f>
        <v/>
      </c>
      <c r="K9" s="52">
        <f>K7-K8</f>
        <v/>
      </c>
      <c r="L9" s="52">
        <f>L7-L8</f>
        <v/>
      </c>
      <c r="M9" s="52">
        <f>M7-M8</f>
        <v/>
      </c>
      <c r="N9" s="52">
        <f>SUM(B9:M9)</f>
        <v/>
      </c>
    </row>
  </sheetData>
  <mergeCells count="1">
    <mergeCell ref="A1:N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</cols>
  <sheetData>
    <row r="1">
      <c r="A1" s="7" t="inlineStr">
        <is>
          <t>FLUJO DE CAJA 2026 (Calculado)</t>
        </is>
      </c>
    </row>
    <row r="3">
      <c r="A3" s="8" t="inlineStr">
        <is>
          <t>Concepto</t>
        </is>
      </c>
      <c r="B3" s="31" t="n">
        <v>46053</v>
      </c>
      <c r="C3" s="31" t="n">
        <v>46081</v>
      </c>
      <c r="D3" s="31" t="n">
        <v>46112</v>
      </c>
      <c r="E3" s="31" t="n">
        <v>46142</v>
      </c>
      <c r="F3" s="31" t="n">
        <v>46173</v>
      </c>
      <c r="G3" s="31" t="n">
        <v>46203</v>
      </c>
      <c r="H3" s="31" t="n">
        <v>46234</v>
      </c>
      <c r="I3" s="31" t="n">
        <v>46265</v>
      </c>
      <c r="J3" s="31" t="n">
        <v>46295</v>
      </c>
      <c r="K3" s="31" t="n">
        <v>46326</v>
      </c>
      <c r="L3" s="31" t="n">
        <v>46356</v>
      </c>
      <c r="M3" s="31" t="n">
        <v>46387</v>
      </c>
      <c r="N3" s="8" t="inlineStr">
        <is>
          <t>Total_Año</t>
        </is>
      </c>
    </row>
    <row r="4">
      <c r="A4" s="38" t="inlineStr">
        <is>
          <t>Saldo_inicial</t>
        </is>
      </c>
      <c r="B4" s="52">
        <f>SALDO_INICIAL_CAJA</f>
        <v/>
      </c>
      <c r="C4" s="52">
        <f>B13</f>
        <v/>
      </c>
      <c r="D4" s="52">
        <f>C13</f>
        <v/>
      </c>
      <c r="E4" s="52">
        <f>D13</f>
        <v/>
      </c>
      <c r="F4" s="52">
        <f>E13</f>
        <v/>
      </c>
      <c r="G4" s="52">
        <f>F13</f>
        <v/>
      </c>
      <c r="H4" s="52">
        <f>G13</f>
        <v/>
      </c>
      <c r="I4" s="52">
        <f>H13</f>
        <v/>
      </c>
      <c r="J4" s="52">
        <f>I13</f>
        <v/>
      </c>
      <c r="K4" s="52">
        <f>J13</f>
        <v/>
      </c>
      <c r="L4" s="52">
        <f>K13</f>
        <v/>
      </c>
      <c r="M4" s="52">
        <f>L13</f>
        <v/>
      </c>
      <c r="N4" s="52">
        <f>SUM(B4:M4)</f>
        <v/>
      </c>
    </row>
    <row r="5">
      <c r="A5" s="36" t="inlineStr">
        <is>
          <t>Cobros_del_mes (caja) [bruto con IVA]</t>
        </is>
      </c>
      <c r="B5" s="52">
        <f>12_COBRANZAS!B4</f>
        <v/>
      </c>
      <c r="C5" s="52">
        <f>12_COBRANZAS!C4</f>
        <v/>
      </c>
      <c r="D5" s="52">
        <f>12_COBRANZAS!D4</f>
        <v/>
      </c>
      <c r="E5" s="52">
        <f>12_COBRANZAS!E4</f>
        <v/>
      </c>
      <c r="F5" s="52">
        <f>12_COBRANZAS!F4</f>
        <v/>
      </c>
      <c r="G5" s="52">
        <f>12_COBRANZAS!G4</f>
        <v/>
      </c>
      <c r="H5" s="52">
        <f>12_COBRANZAS!H4</f>
        <v/>
      </c>
      <c r="I5" s="52">
        <f>12_COBRANZAS!I4</f>
        <v/>
      </c>
      <c r="J5" s="52">
        <f>12_COBRANZAS!J4</f>
        <v/>
      </c>
      <c r="K5" s="52">
        <f>12_COBRANZAS!K4</f>
        <v/>
      </c>
      <c r="L5" s="52">
        <f>12_COBRANZAS!L4</f>
        <v/>
      </c>
      <c r="M5" s="52">
        <f>12_COBRANZAS!M4</f>
        <v/>
      </c>
      <c r="N5" s="52">
        <f>SUM(B5:M5)</f>
        <v/>
      </c>
    </row>
    <row r="6">
      <c r="A6" s="36" t="inlineStr">
        <is>
          <t>Disponible operacional (Saldo inicial + cobros)</t>
        </is>
      </c>
      <c r="B6" s="52">
        <f>B4+B5</f>
        <v/>
      </c>
      <c r="C6" s="52">
        <f>C4+C5</f>
        <v/>
      </c>
      <c r="D6" s="52">
        <f>D4+D5</f>
        <v/>
      </c>
      <c r="E6" s="52">
        <f>E4+E5</f>
        <v/>
      </c>
      <c r="F6" s="52">
        <f>F4+F5</f>
        <v/>
      </c>
      <c r="G6" s="52">
        <f>G4+G5</f>
        <v/>
      </c>
      <c r="H6" s="52">
        <f>H4+H5</f>
        <v/>
      </c>
      <c r="I6" s="52">
        <f>I4+I5</f>
        <v/>
      </c>
      <c r="J6" s="52">
        <f>J4+J5</f>
        <v/>
      </c>
      <c r="K6" s="52">
        <f>K4+K5</f>
        <v/>
      </c>
      <c r="L6" s="52">
        <f>L4+L5</f>
        <v/>
      </c>
      <c r="M6" s="52">
        <f>M4+M5</f>
        <v/>
      </c>
      <c r="N6" s="52">
        <f>SUM(B6:M6)</f>
        <v/>
      </c>
    </row>
    <row r="7">
      <c r="A7" s="36" t="inlineStr">
        <is>
          <t>Pagos_costos_directos (gross)</t>
        </is>
      </c>
      <c r="B7" s="52">
        <f>(06E_COSTOS_DIRECTOS_MENSUAL!C7*(1+TASA_IVA))*MULT_COSTO_DIRECTO</f>
        <v/>
      </c>
      <c r="C7" s="52">
        <f>(06E_COSTOS_DIRECTOS_MENSUAL!D7*(1+TASA_IVA))*MULT_COSTO_DIRECTO</f>
        <v/>
      </c>
      <c r="D7" s="52">
        <f>(06E_COSTOS_DIRECTOS_MENSUAL!E7*(1+TASA_IVA))*MULT_COSTO_DIRECTO</f>
        <v/>
      </c>
      <c r="E7" s="52">
        <f>(06E_COSTOS_DIRECTOS_MENSUAL!F7*(1+TASA_IVA))*MULT_COSTO_DIRECTO</f>
        <v/>
      </c>
      <c r="F7" s="52">
        <f>(06E_COSTOS_DIRECTOS_MENSUAL!G7*(1+TASA_IVA))*MULT_COSTO_DIRECTO</f>
        <v/>
      </c>
      <c r="G7" s="52">
        <f>(06E_COSTOS_DIRECTOS_MENSUAL!H7*(1+TASA_IVA))*MULT_COSTO_DIRECTO</f>
        <v/>
      </c>
      <c r="H7" s="52">
        <f>(06E_COSTOS_DIRECTOS_MENSUAL!I7*(1+TASA_IVA))*MULT_COSTO_DIRECTO</f>
        <v/>
      </c>
      <c r="I7" s="52">
        <f>(06E_COSTOS_DIRECTOS_MENSUAL!J7*(1+TASA_IVA))*MULT_COSTO_DIRECTO</f>
        <v/>
      </c>
      <c r="J7" s="52">
        <f>(06E_COSTOS_DIRECTOS_MENSUAL!K7*(1+TASA_IVA))*MULT_COSTO_DIRECTO</f>
        <v/>
      </c>
      <c r="K7" s="52">
        <f>(06E_COSTOS_DIRECTOS_MENSUAL!L7*(1+TASA_IVA))*MULT_COSTO_DIRECTO</f>
        <v/>
      </c>
      <c r="L7" s="52">
        <f>(06E_COSTOS_DIRECTOS_MENSUAL!M7*(1+TASA_IVA))*MULT_COSTO_DIRECTO</f>
        <v/>
      </c>
      <c r="M7" s="52">
        <f>(06E_COSTOS_DIRECTOS_MENSUAL!N7*(1+TASA_IVA))*MULT_COSTO_DIRECTO</f>
        <v/>
      </c>
      <c r="N7" s="52">
        <f>SUM(B7:M7)</f>
        <v/>
      </c>
    </row>
    <row r="8">
      <c r="A8" s="36" t="inlineStr">
        <is>
          <t>Pagos_personas (sin IVA)</t>
        </is>
      </c>
      <c r="B8" s="52">
        <f>(05B_PERSONAS_MENSUAL!D12)*MULT_PERSONAS</f>
        <v/>
      </c>
      <c r="C8" s="52">
        <f>(05B_PERSONAS_MENSUAL!E12)*MULT_PERSONAS</f>
        <v/>
      </c>
      <c r="D8" s="52">
        <f>(05B_PERSONAS_MENSUAL!F12)*MULT_PERSONAS</f>
        <v/>
      </c>
      <c r="E8" s="52">
        <f>(05B_PERSONAS_MENSUAL!G12)*MULT_PERSONAS</f>
        <v/>
      </c>
      <c r="F8" s="52">
        <f>(05B_PERSONAS_MENSUAL!H12)*MULT_PERSONAS</f>
        <v/>
      </c>
      <c r="G8" s="52">
        <f>(05B_PERSONAS_MENSUAL!I12)*MULT_PERSONAS</f>
        <v/>
      </c>
      <c r="H8" s="52">
        <f>(05B_PERSONAS_MENSUAL!J12)*MULT_PERSONAS</f>
        <v/>
      </c>
      <c r="I8" s="52">
        <f>(05B_PERSONAS_MENSUAL!K12)*MULT_PERSONAS</f>
        <v/>
      </c>
      <c r="J8" s="52">
        <f>(05B_PERSONAS_MENSUAL!L12)*MULT_PERSONAS</f>
        <v/>
      </c>
      <c r="K8" s="52">
        <f>(05B_PERSONAS_MENSUAL!M12)*MULT_PERSONAS</f>
        <v/>
      </c>
      <c r="L8" s="52">
        <f>(05B_PERSONAS_MENSUAL!N12)*MULT_PERSONAS</f>
        <v/>
      </c>
      <c r="M8" s="52">
        <f>(05B_PERSONAS_MENSUAL!O12)*MULT_PERSONAS</f>
        <v/>
      </c>
      <c r="N8" s="52">
        <f>SUM(B8:M8)</f>
        <v/>
      </c>
    </row>
    <row r="9">
      <c r="A9" s="36" t="inlineStr">
        <is>
          <t>Pagos_OPEX (gross)</t>
        </is>
      </c>
      <c r="B9" s="52">
        <f>06B_OPEX_MENSUAL!E16+(SUMIFS(06B_OPEX_MENSUAL!E$4:E$200,06B_OPEX_MENSUAL!$D$4:$D$200,"SI"))*TASA_IVA</f>
        <v/>
      </c>
      <c r="C9" s="52">
        <f>06B_OPEX_MENSUAL!F16+(SUMIFS(06B_OPEX_MENSUAL!F$4:F$200,06B_OPEX_MENSUAL!$D$4:$D$200,"SI"))*TASA_IVA</f>
        <v/>
      </c>
      <c r="D9" s="52">
        <f>06B_OPEX_MENSUAL!G16+(SUMIFS(06B_OPEX_MENSUAL!G$4:G$200,06B_OPEX_MENSUAL!$D$4:$D$200,"SI"))*TASA_IVA</f>
        <v/>
      </c>
      <c r="E9" s="52">
        <f>06B_OPEX_MENSUAL!H16+(SUMIFS(06B_OPEX_MENSUAL!H$4:H$200,06B_OPEX_MENSUAL!$D$4:$D$200,"SI"))*TASA_IVA</f>
        <v/>
      </c>
      <c r="F9" s="52">
        <f>06B_OPEX_MENSUAL!I16+(SUMIFS(06B_OPEX_MENSUAL!I$4:I$200,06B_OPEX_MENSUAL!$D$4:$D$200,"SI"))*TASA_IVA</f>
        <v/>
      </c>
      <c r="G9" s="52">
        <f>06B_OPEX_MENSUAL!J16+(SUMIFS(06B_OPEX_MENSUAL!J$4:J$200,06B_OPEX_MENSUAL!$D$4:$D$200,"SI"))*TASA_IVA</f>
        <v/>
      </c>
      <c r="H9" s="52">
        <f>06B_OPEX_MENSUAL!K16+(SUMIFS(06B_OPEX_MENSUAL!K$4:K$200,06B_OPEX_MENSUAL!$D$4:$D$200,"SI"))*TASA_IVA</f>
        <v/>
      </c>
      <c r="I9" s="52">
        <f>06B_OPEX_MENSUAL!L16+(SUMIFS(06B_OPEX_MENSUAL!L$4:L$200,06B_OPEX_MENSUAL!$D$4:$D$200,"SI"))*TASA_IVA</f>
        <v/>
      </c>
      <c r="J9" s="52">
        <f>06B_OPEX_MENSUAL!M16+(SUMIFS(06B_OPEX_MENSUAL!M$4:M$200,06B_OPEX_MENSUAL!$D$4:$D$200,"SI"))*TASA_IVA</f>
        <v/>
      </c>
      <c r="K9" s="52">
        <f>06B_OPEX_MENSUAL!N16+(SUMIFS(06B_OPEX_MENSUAL!N$4:N$200,06B_OPEX_MENSUAL!$D$4:$D$200,"SI"))*TASA_IVA</f>
        <v/>
      </c>
      <c r="L9" s="52">
        <f>06B_OPEX_MENSUAL!O16+(SUMIFS(06B_OPEX_MENSUAL!O$4:O$200,06B_OPEX_MENSUAL!$D$4:$D$200,"SI"))*TASA_IVA</f>
        <v/>
      </c>
      <c r="M9" s="52">
        <f>06B_OPEX_MENSUAL!P16+(SUMIFS(06B_OPEX_MENSUAL!P$4:P$200,06B_OPEX_MENSUAL!$D$4:$D$200,"SI"))*TASA_IVA</f>
        <v/>
      </c>
      <c r="N9" s="52">
        <f>SUM(B9:M9)</f>
        <v/>
      </c>
    </row>
    <row r="10">
      <c r="A10" s="36" t="inlineStr">
        <is>
          <t>Pago_IVA_F29</t>
        </is>
      </c>
      <c r="B10" s="52">
        <f>-11_IVA_LEDGER!B8</f>
        <v/>
      </c>
      <c r="C10" s="52">
        <f>-11_IVA_LEDGER!C8</f>
        <v/>
      </c>
      <c r="D10" s="52">
        <f>-11_IVA_LEDGER!D8</f>
        <v/>
      </c>
      <c r="E10" s="52">
        <f>-11_IVA_LEDGER!E8</f>
        <v/>
      </c>
      <c r="F10" s="52">
        <f>-11_IVA_LEDGER!F8</f>
        <v/>
      </c>
      <c r="G10" s="52">
        <f>-11_IVA_LEDGER!G8</f>
        <v/>
      </c>
      <c r="H10" s="52">
        <f>-11_IVA_LEDGER!H8</f>
        <v/>
      </c>
      <c r="I10" s="52">
        <f>-11_IVA_LEDGER!I8</f>
        <v/>
      </c>
      <c r="J10" s="52">
        <f>-11_IVA_LEDGER!J8</f>
        <v/>
      </c>
      <c r="K10" s="52">
        <f>-11_IVA_LEDGER!K8</f>
        <v/>
      </c>
      <c r="L10" s="52">
        <f>-11_IVA_LEDGER!L8</f>
        <v/>
      </c>
      <c r="M10" s="52">
        <f>-11_IVA_LEDGER!M8</f>
        <v/>
      </c>
      <c r="N10" s="52">
        <f>SUM(B10:M10)</f>
        <v/>
      </c>
    </row>
    <row r="11">
      <c r="A11" s="36" t="inlineStr">
        <is>
          <t>Otros_no_operacionales (neto caja)</t>
        </is>
      </c>
      <c r="B11" s="52">
        <f>07B_NO_OPERACIONALES_MENSUAL!D18</f>
        <v/>
      </c>
      <c r="C11" s="52">
        <f>07B_NO_OPERACIONALES_MENSUAL!E18</f>
        <v/>
      </c>
      <c r="D11" s="52">
        <f>07B_NO_OPERACIONALES_MENSUAL!F18</f>
        <v/>
      </c>
      <c r="E11" s="52">
        <f>07B_NO_OPERACIONALES_MENSUAL!G18</f>
        <v/>
      </c>
      <c r="F11" s="52">
        <f>07B_NO_OPERACIONALES_MENSUAL!H18</f>
        <v/>
      </c>
      <c r="G11" s="52">
        <f>07B_NO_OPERACIONALES_MENSUAL!I18</f>
        <v/>
      </c>
      <c r="H11" s="52">
        <f>07B_NO_OPERACIONALES_MENSUAL!J18</f>
        <v/>
      </c>
      <c r="I11" s="52">
        <f>07B_NO_OPERACIONALES_MENSUAL!K18</f>
        <v/>
      </c>
      <c r="J11" s="52">
        <f>07B_NO_OPERACIONALES_MENSUAL!L18</f>
        <v/>
      </c>
      <c r="K11" s="52">
        <f>07B_NO_OPERACIONALES_MENSUAL!M18</f>
        <v/>
      </c>
      <c r="L11" s="52">
        <f>07B_NO_OPERACIONALES_MENSUAL!N18</f>
        <v/>
      </c>
      <c r="M11" s="52">
        <f>07B_NO_OPERACIONALES_MENSUAL!O18</f>
        <v/>
      </c>
      <c r="N11" s="52">
        <f>SUM(B11:M11)</f>
        <v/>
      </c>
    </row>
    <row r="12">
      <c r="A12" s="36" t="inlineStr">
        <is>
          <t>Variación_caja</t>
        </is>
      </c>
      <c r="B12" s="52">
        <f>B5+B7+B8+B9+B10+B11</f>
        <v/>
      </c>
      <c r="C12" s="52">
        <f>C5+C7+C8+C9+C10+C11</f>
        <v/>
      </c>
      <c r="D12" s="52">
        <f>D5+D7+D8+D9+D10+D11</f>
        <v/>
      </c>
      <c r="E12" s="52">
        <f>E5+E7+E8+E9+E10+E11</f>
        <v/>
      </c>
      <c r="F12" s="52">
        <f>F5+F7+F8+F9+F10+F11</f>
        <v/>
      </c>
      <c r="G12" s="52">
        <f>G5+G7+G8+G9+G10+G11</f>
        <v/>
      </c>
      <c r="H12" s="52">
        <f>H5+H7+H8+H9+H10+H11</f>
        <v/>
      </c>
      <c r="I12" s="52">
        <f>I5+I7+I8+I9+I10+I11</f>
        <v/>
      </c>
      <c r="J12" s="52">
        <f>J5+J7+J8+J9+J10+J11</f>
        <v/>
      </c>
      <c r="K12" s="52">
        <f>K5+K7+K8+K9+K10+K11</f>
        <v/>
      </c>
      <c r="L12" s="52">
        <f>L5+L7+L8+L9+L10+L11</f>
        <v/>
      </c>
      <c r="M12" s="52">
        <f>M5+M7+M8+M9+M10+M11</f>
        <v/>
      </c>
      <c r="N12" s="52">
        <f>SUM(B12:M12)</f>
        <v/>
      </c>
    </row>
    <row r="13">
      <c r="A13" s="38" t="inlineStr">
        <is>
          <t>Saldo_final</t>
        </is>
      </c>
      <c r="B13" s="57">
        <f>B4+B12</f>
        <v/>
      </c>
      <c r="C13" s="57">
        <f>C4+C12</f>
        <v/>
      </c>
      <c r="D13" s="57">
        <f>D4+D12</f>
        <v/>
      </c>
      <c r="E13" s="57">
        <f>E4+E12</f>
        <v/>
      </c>
      <c r="F13" s="57">
        <f>F4+F12</f>
        <v/>
      </c>
      <c r="G13" s="57">
        <f>G4+G12</f>
        <v/>
      </c>
      <c r="H13" s="57">
        <f>H4+H12</f>
        <v/>
      </c>
      <c r="I13" s="57">
        <f>I4+I12</f>
        <v/>
      </c>
      <c r="J13" s="57">
        <f>J4+J12</f>
        <v/>
      </c>
      <c r="K13" s="57">
        <f>K4+K12</f>
        <v/>
      </c>
      <c r="L13" s="57">
        <f>L4+L12</f>
        <v/>
      </c>
      <c r="M13" s="57">
        <f>M4+M12</f>
        <v/>
      </c>
      <c r="N13" s="57">
        <f>SUM(B13:M13)</f>
        <v/>
      </c>
    </row>
  </sheetData>
  <mergeCells count="1">
    <mergeCell ref="A1:N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</cols>
  <sheetData>
    <row r="1">
      <c r="A1" s="7" t="inlineStr">
        <is>
          <t>P&amp;L (Estado de Resultados) — Neto sin IVA (Calculado)</t>
        </is>
      </c>
    </row>
    <row r="3">
      <c r="A3" s="8" t="inlineStr">
        <is>
          <t>Concepto</t>
        </is>
      </c>
      <c r="B3" s="31" t="n">
        <v>46053</v>
      </c>
      <c r="C3" s="31" t="n">
        <v>46081</v>
      </c>
      <c r="D3" s="31" t="n">
        <v>46112</v>
      </c>
      <c r="E3" s="31" t="n">
        <v>46142</v>
      </c>
      <c r="F3" s="31" t="n">
        <v>46173</v>
      </c>
      <c r="G3" s="31" t="n">
        <v>46203</v>
      </c>
      <c r="H3" s="31" t="n">
        <v>46234</v>
      </c>
      <c r="I3" s="31" t="n">
        <v>46265</v>
      </c>
      <c r="J3" s="31" t="n">
        <v>46295</v>
      </c>
      <c r="K3" s="31" t="n">
        <v>46326</v>
      </c>
      <c r="L3" s="31" t="n">
        <v>46356</v>
      </c>
      <c r="M3" s="31" t="n">
        <v>46387</v>
      </c>
      <c r="N3" s="8" t="inlineStr">
        <is>
          <t>Total_Año</t>
        </is>
      </c>
    </row>
    <row r="4">
      <c r="A4" s="38" t="inlineStr">
        <is>
          <t>Ventas_netas_sin_IVA</t>
        </is>
      </c>
      <c r="B4" s="52">
        <f>10_FACTURACION_NETO!B4</f>
        <v/>
      </c>
      <c r="C4" s="52">
        <f>10_FACTURACION_NETO!C4</f>
        <v/>
      </c>
      <c r="D4" s="52">
        <f>10_FACTURACION_NETO!D4</f>
        <v/>
      </c>
      <c r="E4" s="52">
        <f>10_FACTURACION_NETO!E4</f>
        <v/>
      </c>
      <c r="F4" s="52">
        <f>10_FACTURACION_NETO!F4</f>
        <v/>
      </c>
      <c r="G4" s="52">
        <f>10_FACTURACION_NETO!G4</f>
        <v/>
      </c>
      <c r="H4" s="52">
        <f>10_FACTURACION_NETO!H4</f>
        <v/>
      </c>
      <c r="I4" s="52">
        <f>10_FACTURACION_NETO!I4</f>
        <v/>
      </c>
      <c r="J4" s="52">
        <f>10_FACTURACION_NETO!J4</f>
        <v/>
      </c>
      <c r="K4" s="52">
        <f>10_FACTURACION_NETO!K4</f>
        <v/>
      </c>
      <c r="L4" s="52">
        <f>10_FACTURACION_NETO!L4</f>
        <v/>
      </c>
      <c r="M4" s="52">
        <f>10_FACTURACION_NETO!M4</f>
        <v/>
      </c>
      <c r="N4" s="52">
        <f>SUM(B4:M4)</f>
        <v/>
      </c>
    </row>
    <row r="5">
      <c r="A5" s="36" t="inlineStr">
        <is>
          <t>Costos_directos_netos</t>
        </is>
      </c>
      <c r="B5" s="52">
        <f>06E_COSTOS_DIRECTOS_MENSUAL!C7*MULT_COSTO_DIRECTO</f>
        <v/>
      </c>
      <c r="C5" s="52">
        <f>06E_COSTOS_DIRECTOS_MENSUAL!D7*MULT_COSTO_DIRECTO</f>
        <v/>
      </c>
      <c r="D5" s="52">
        <f>06E_COSTOS_DIRECTOS_MENSUAL!E7*MULT_COSTO_DIRECTO</f>
        <v/>
      </c>
      <c r="E5" s="52">
        <f>06E_COSTOS_DIRECTOS_MENSUAL!F7*MULT_COSTO_DIRECTO</f>
        <v/>
      </c>
      <c r="F5" s="52">
        <f>06E_COSTOS_DIRECTOS_MENSUAL!G7*MULT_COSTO_DIRECTO</f>
        <v/>
      </c>
      <c r="G5" s="52">
        <f>06E_COSTOS_DIRECTOS_MENSUAL!H7*MULT_COSTO_DIRECTO</f>
        <v/>
      </c>
      <c r="H5" s="52">
        <f>06E_COSTOS_DIRECTOS_MENSUAL!I7*MULT_COSTO_DIRECTO</f>
        <v/>
      </c>
      <c r="I5" s="52">
        <f>06E_COSTOS_DIRECTOS_MENSUAL!J7*MULT_COSTO_DIRECTO</f>
        <v/>
      </c>
      <c r="J5" s="52">
        <f>06E_COSTOS_DIRECTOS_MENSUAL!K7*MULT_COSTO_DIRECTO</f>
        <v/>
      </c>
      <c r="K5" s="52">
        <f>06E_COSTOS_DIRECTOS_MENSUAL!L7*MULT_COSTO_DIRECTO</f>
        <v/>
      </c>
      <c r="L5" s="52">
        <f>06E_COSTOS_DIRECTOS_MENSUAL!M7*MULT_COSTO_DIRECTO</f>
        <v/>
      </c>
      <c r="M5" s="52">
        <f>06E_COSTOS_DIRECTOS_MENSUAL!N7*MULT_COSTO_DIRECTO</f>
        <v/>
      </c>
      <c r="N5" s="52">
        <f>SUM(B5:M5)</f>
        <v/>
      </c>
    </row>
    <row r="6">
      <c r="A6" s="36" t="inlineStr">
        <is>
          <t>Margen_bruto</t>
        </is>
      </c>
      <c r="B6" s="52">
        <f>B4+B5</f>
        <v/>
      </c>
      <c r="C6" s="52">
        <f>C4+C5</f>
        <v/>
      </c>
      <c r="D6" s="52">
        <f>D4+D5</f>
        <v/>
      </c>
      <c r="E6" s="52">
        <f>E4+E5</f>
        <v/>
      </c>
      <c r="F6" s="52">
        <f>F4+F5</f>
        <v/>
      </c>
      <c r="G6" s="52">
        <f>G4+G5</f>
        <v/>
      </c>
      <c r="H6" s="52">
        <f>H4+H5</f>
        <v/>
      </c>
      <c r="I6" s="52">
        <f>I4+I5</f>
        <v/>
      </c>
      <c r="J6" s="52">
        <f>J4+J5</f>
        <v/>
      </c>
      <c r="K6" s="52">
        <f>K4+K5</f>
        <v/>
      </c>
      <c r="L6" s="52">
        <f>L4+L5</f>
        <v/>
      </c>
      <c r="M6" s="52">
        <f>M4+M5</f>
        <v/>
      </c>
      <c r="N6" s="52">
        <f>SUM(B6:M6)</f>
        <v/>
      </c>
    </row>
    <row r="7">
      <c r="A7" s="36" t="inlineStr">
        <is>
          <t>OPEX_Personas</t>
        </is>
      </c>
      <c r="B7" s="52">
        <f>05B_PERSONAS_MENSUAL!D12*MULT_PERSONAS</f>
        <v/>
      </c>
      <c r="C7" s="52">
        <f>05B_PERSONAS_MENSUAL!E12*MULT_PERSONAS</f>
        <v/>
      </c>
      <c r="D7" s="52">
        <f>05B_PERSONAS_MENSUAL!F12*MULT_PERSONAS</f>
        <v/>
      </c>
      <c r="E7" s="52">
        <f>05B_PERSONAS_MENSUAL!G12*MULT_PERSONAS</f>
        <v/>
      </c>
      <c r="F7" s="52">
        <f>05B_PERSONAS_MENSUAL!H12*MULT_PERSONAS</f>
        <v/>
      </c>
      <c r="G7" s="52">
        <f>05B_PERSONAS_MENSUAL!I12*MULT_PERSONAS</f>
        <v/>
      </c>
      <c r="H7" s="52">
        <f>05B_PERSONAS_MENSUAL!J12*MULT_PERSONAS</f>
        <v/>
      </c>
      <c r="I7" s="52">
        <f>05B_PERSONAS_MENSUAL!K12*MULT_PERSONAS</f>
        <v/>
      </c>
      <c r="J7" s="52">
        <f>05B_PERSONAS_MENSUAL!L12*MULT_PERSONAS</f>
        <v/>
      </c>
      <c r="K7" s="52">
        <f>05B_PERSONAS_MENSUAL!M12*MULT_PERSONAS</f>
        <v/>
      </c>
      <c r="L7" s="52">
        <f>05B_PERSONAS_MENSUAL!N12*MULT_PERSONAS</f>
        <v/>
      </c>
      <c r="M7" s="52">
        <f>05B_PERSONAS_MENSUAL!O12*MULT_PERSONAS</f>
        <v/>
      </c>
      <c r="N7" s="52">
        <f>SUM(B7:M7)</f>
        <v/>
      </c>
    </row>
    <row r="8">
      <c r="A8" s="36" t="inlineStr">
        <is>
          <t>OPEX_Otros_netos</t>
        </is>
      </c>
      <c r="B8" s="52">
        <f>06B_OPEX_MENSUAL!E16</f>
        <v/>
      </c>
      <c r="C8" s="52">
        <f>06B_OPEX_MENSUAL!F16</f>
        <v/>
      </c>
      <c r="D8" s="52">
        <f>06B_OPEX_MENSUAL!G16</f>
        <v/>
      </c>
      <c r="E8" s="52">
        <f>06B_OPEX_MENSUAL!H16</f>
        <v/>
      </c>
      <c r="F8" s="52">
        <f>06B_OPEX_MENSUAL!I16</f>
        <v/>
      </c>
      <c r="G8" s="52">
        <f>06B_OPEX_MENSUAL!J16</f>
        <v/>
      </c>
      <c r="H8" s="52">
        <f>06B_OPEX_MENSUAL!K16</f>
        <v/>
      </c>
      <c r="I8" s="52">
        <f>06B_OPEX_MENSUAL!L16</f>
        <v/>
      </c>
      <c r="J8" s="52">
        <f>06B_OPEX_MENSUAL!M16</f>
        <v/>
      </c>
      <c r="K8" s="52">
        <f>06B_OPEX_MENSUAL!N16</f>
        <v/>
      </c>
      <c r="L8" s="52">
        <f>06B_OPEX_MENSUAL!O16</f>
        <v/>
      </c>
      <c r="M8" s="52">
        <f>06B_OPEX_MENSUAL!P16</f>
        <v/>
      </c>
      <c r="N8" s="52">
        <f>SUM(B8:M8)</f>
        <v/>
      </c>
    </row>
    <row r="9">
      <c r="A9" s="38" t="inlineStr">
        <is>
          <t>Resultado_operacional</t>
        </is>
      </c>
      <c r="B9" s="57">
        <f>B6+B7+B8</f>
        <v/>
      </c>
      <c r="C9" s="57">
        <f>C6+C7+C8</f>
        <v/>
      </c>
      <c r="D9" s="57">
        <f>D6+D7+D8</f>
        <v/>
      </c>
      <c r="E9" s="57">
        <f>E6+E7+E8</f>
        <v/>
      </c>
      <c r="F9" s="57">
        <f>F6+F7+F8</f>
        <v/>
      </c>
      <c r="G9" s="57">
        <f>G6+G7+G8</f>
        <v/>
      </c>
      <c r="H9" s="57">
        <f>H6+H7+H8</f>
        <v/>
      </c>
      <c r="I9" s="57">
        <f>I6+I7+I8</f>
        <v/>
      </c>
      <c r="J9" s="57">
        <f>J6+J7+J8</f>
        <v/>
      </c>
      <c r="K9" s="57">
        <f>K6+K7+K8</f>
        <v/>
      </c>
      <c r="L9" s="57">
        <f>L6+L7+L8</f>
        <v/>
      </c>
      <c r="M9" s="57">
        <f>M6+M7+M8</f>
        <v/>
      </c>
      <c r="N9" s="57">
        <f>SUM(B9:M9)</f>
        <v/>
      </c>
    </row>
    <row r="10">
      <c r="A10" s="36" t="inlineStr">
        <is>
          <t>Otros_no_operacionales</t>
        </is>
      </c>
      <c r="B10" s="52">
        <f>07B_NO_OPERACIONALES_MENSUAL!D18</f>
        <v/>
      </c>
      <c r="C10" s="52">
        <f>07B_NO_OPERACIONALES_MENSUAL!E18</f>
        <v/>
      </c>
      <c r="D10" s="52">
        <f>07B_NO_OPERACIONALES_MENSUAL!F18</f>
        <v/>
      </c>
      <c r="E10" s="52">
        <f>07B_NO_OPERACIONALES_MENSUAL!G18</f>
        <v/>
      </c>
      <c r="F10" s="52">
        <f>07B_NO_OPERACIONALES_MENSUAL!H18</f>
        <v/>
      </c>
      <c r="G10" s="52">
        <f>07B_NO_OPERACIONALES_MENSUAL!I18</f>
        <v/>
      </c>
      <c r="H10" s="52">
        <f>07B_NO_OPERACIONALES_MENSUAL!J18</f>
        <v/>
      </c>
      <c r="I10" s="52">
        <f>07B_NO_OPERACIONALES_MENSUAL!K18</f>
        <v/>
      </c>
      <c r="J10" s="52">
        <f>07B_NO_OPERACIONALES_MENSUAL!L18</f>
        <v/>
      </c>
      <c r="K10" s="52">
        <f>07B_NO_OPERACIONALES_MENSUAL!M18</f>
        <v/>
      </c>
      <c r="L10" s="52">
        <f>07B_NO_OPERACIONALES_MENSUAL!N18</f>
        <v/>
      </c>
      <c r="M10" s="52">
        <f>07B_NO_OPERACIONALES_MENSUAL!O18</f>
        <v/>
      </c>
      <c r="N10" s="52">
        <f>SUM(B10:M10)</f>
        <v/>
      </c>
    </row>
    <row r="11">
      <c r="A11" s="38" t="inlineStr">
        <is>
          <t>Resultado_antes_de_impuestos (aprox)</t>
        </is>
      </c>
      <c r="B11" s="57">
        <f>B9+B10</f>
        <v/>
      </c>
      <c r="C11" s="57">
        <f>C9+C10</f>
        <v/>
      </c>
      <c r="D11" s="57">
        <f>D9+D10</f>
        <v/>
      </c>
      <c r="E11" s="57">
        <f>E9+E10</f>
        <v/>
      </c>
      <c r="F11" s="57">
        <f>F9+F10</f>
        <v/>
      </c>
      <c r="G11" s="57">
        <f>G9+G10</f>
        <v/>
      </c>
      <c r="H11" s="57">
        <f>H9+H10</f>
        <v/>
      </c>
      <c r="I11" s="57">
        <f>I9+I10</f>
        <v/>
      </c>
      <c r="J11" s="57">
        <f>J9+J10</f>
        <v/>
      </c>
      <c r="K11" s="57">
        <f>K9+K10</f>
        <v/>
      </c>
      <c r="L11" s="57">
        <f>L9+L10</f>
        <v/>
      </c>
      <c r="M11" s="57">
        <f>M9+M10</f>
        <v/>
      </c>
      <c r="N11" s="57">
        <f>SUM(B11:M11)</f>
        <v/>
      </c>
    </row>
  </sheetData>
  <mergeCells count="1">
    <mergeCell ref="A1:N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30" customWidth="1" min="3" max="3"/>
  </cols>
  <sheetData>
    <row r="1">
      <c r="A1" s="7" t="inlineStr">
        <is>
          <t>KPIs / Resumen Ejecutivo (Calculado)</t>
        </is>
      </c>
    </row>
    <row r="3">
      <c r="A3" s="8" t="inlineStr">
        <is>
          <t>Métrica</t>
        </is>
      </c>
      <c r="B3" s="8" t="inlineStr">
        <is>
          <t>Valor</t>
        </is>
      </c>
      <c r="C3" s="8" t="inlineStr">
        <is>
          <t>Notas</t>
        </is>
      </c>
      <c r="D3" s="8" t="inlineStr"/>
    </row>
    <row r="4">
      <c r="A4" s="36" t="inlineStr">
        <is>
          <t>Ventas netas (año, sin IVA)</t>
        </is>
      </c>
      <c r="B4" s="52">
        <f>20_PYG_MENSUAL!N4</f>
        <v/>
      </c>
      <c r="C4" s="36" t="inlineStr"/>
    </row>
    <row r="5">
      <c r="A5" s="36" t="inlineStr">
        <is>
          <t>Margen bruto (año)</t>
        </is>
      </c>
      <c r="B5" s="52">
        <f>20_PYG_MENSUAL!N6</f>
        <v/>
      </c>
      <c r="C5" s="36" t="inlineStr"/>
    </row>
    <row r="6">
      <c r="A6" s="36" t="inlineStr">
        <is>
          <t>Margen bruto %</t>
        </is>
      </c>
      <c r="B6" s="55">
        <f>IFERROR(20_PYG_MENSUAL!N6/20_PYG_MENSUAL!N4,0)</f>
        <v/>
      </c>
      <c r="C6" s="36" t="inlineStr"/>
    </row>
    <row r="7">
      <c r="A7" s="36" t="inlineStr">
        <is>
          <t>OPEX total (año)</t>
        </is>
      </c>
      <c r="B7" s="52">
        <f>-(20_PYG_MENSUAL!N7+20_PYG_MENSUAL!N8)</f>
        <v/>
      </c>
      <c r="C7" s="36" t="inlineStr"/>
    </row>
    <row r="8">
      <c r="A8" s="36" t="inlineStr">
        <is>
          <t>Resultado operacional (año)</t>
        </is>
      </c>
      <c r="B8" s="52">
        <f>20_PYG_MENSUAL!N9</f>
        <v/>
      </c>
      <c r="C8" s="36" t="inlineStr"/>
    </row>
    <row r="9">
      <c r="A9" s="36" t="inlineStr">
        <is>
          <t>Resultado antes de impuestos (año, aprox)</t>
        </is>
      </c>
      <c r="B9" s="52">
        <f>20_PYG_MENSUAL!N11</f>
        <v/>
      </c>
      <c r="C9" s="36" t="inlineStr"/>
    </row>
    <row r="10">
      <c r="A10" s="36" t="inlineStr">
        <is>
          <t>Caja final (dic)</t>
        </is>
      </c>
      <c r="B10" s="52">
        <f>14_FLUJO_CAJA!M13</f>
        <v/>
      </c>
      <c r="C10" s="36" t="inlineStr"/>
    </row>
    <row r="11">
      <c r="A11" s="36" t="inlineStr">
        <is>
          <t>Caja mínima (año)</t>
        </is>
      </c>
      <c r="B11" s="52">
        <f>MIN(14_FLUJO_CAJA!B13:M13)</f>
        <v/>
      </c>
      <c r="C11" s="36" t="inlineStr"/>
    </row>
    <row r="12">
      <c r="A12" s="36" t="inlineStr">
        <is>
          <t>Meses con caja negativa</t>
        </is>
      </c>
      <c r="B12" s="19">
        <f>COUNTIF(14_FLUJO_CAJA!B13:M13,"&lt;0")</f>
        <v/>
      </c>
      <c r="C12" s="36" t="inlineStr"/>
    </row>
    <row r="13">
      <c r="A13" s="36" t="inlineStr">
        <is>
          <t>Burn rate promedio (jul–dic)</t>
        </is>
      </c>
      <c r="B13" s="52">
        <f>-AVERAGE(14_FLUJO_CAJA!H12:M12)</f>
        <v/>
      </c>
      <c r="C13" s="36" t="inlineStr"/>
    </row>
    <row r="14">
      <c r="A14" s="36" t="inlineStr">
        <is>
          <t>OPEX mensual promedio (jul–dic)</t>
        </is>
      </c>
      <c r="B14" s="52">
        <f>-AVERAGE(20_PYG_MENSUAL!H7:M7)-AVERAGE(20_PYG_MENSUAL!H8:M8)</f>
        <v/>
      </c>
      <c r="C14" s="36" t="inlineStr"/>
    </row>
    <row r="16">
      <c r="A16" s="24" t="inlineStr">
        <is>
          <t>Semáforo</t>
        </is>
      </c>
      <c r="B16" s="39">
        <f>IF(14_FLUJO_CAJA!M13&gt;=0,"OK","ALERTA")</f>
        <v/>
      </c>
    </row>
  </sheetData>
  <mergeCells count="1">
    <mergeCell ref="A1:D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</cols>
  <sheetData>
    <row r="1">
      <c r="A1" s="47" t="inlineStr">
        <is>
          <t>KPIs por escenario (calculado en paralelo)</t>
        </is>
      </c>
    </row>
    <row r="3">
      <c r="A3" s="24" t="inlineStr">
        <is>
          <t>Métrica</t>
        </is>
      </c>
      <c r="B3" s="24" t="inlineStr">
        <is>
          <t>Base</t>
        </is>
      </c>
      <c r="C3" s="24" t="inlineStr">
        <is>
          <t>Conservador</t>
        </is>
      </c>
      <c r="D3" s="24" t="inlineStr">
        <is>
          <t>Agresivo</t>
        </is>
      </c>
    </row>
    <row r="4">
      <c r="A4" t="inlineStr">
        <is>
          <t>Ventas netas (año, sin IVA)</t>
        </is>
      </c>
      <c r="B4">
        <f>20_PYG_MENSUAL_BASE!N4</f>
        <v/>
      </c>
      <c r="C4">
        <f>20_PYG_MENSUAL_CONS!N4</f>
        <v/>
      </c>
      <c r="D4">
        <f>20_PYG_MENSUAL_AGR!N4</f>
        <v/>
      </c>
    </row>
    <row r="5">
      <c r="A5" t="inlineStr">
        <is>
          <t>Margen bruto (año)</t>
        </is>
      </c>
      <c r="B5">
        <f>20_PYG_MENSUAL_BASE!N6</f>
        <v/>
      </c>
      <c r="C5">
        <f>20_PYG_MENSUAL_CONS!N6</f>
        <v/>
      </c>
      <c r="D5">
        <f>20_PYG_MENSUAL_AGR!N6</f>
        <v/>
      </c>
    </row>
    <row r="6">
      <c r="A6" t="inlineStr">
        <is>
          <t>Margen bruto %</t>
        </is>
      </c>
      <c r="B6">
        <f>IFERROR(20_PYG_MENSUAL_BASE!N6/20_PYG_MENSUAL_BASE!N4,0)</f>
        <v/>
      </c>
      <c r="C6">
        <f>IFERROR(20_PYG_MENSUAL_CONS!N6/20_PYG_MENSUAL_CONS!N4,0)</f>
        <v/>
      </c>
      <c r="D6">
        <f>IFERROR(20_PYG_MENSUAL_AGR!N6/20_PYG_MENSUAL_AGR!N4,0)</f>
        <v/>
      </c>
    </row>
    <row r="7">
      <c r="A7" t="inlineStr">
        <is>
          <t>OPEX total (año)</t>
        </is>
      </c>
      <c r="B7">
        <f>-(20_PYG_MENSUAL_BASE!N7+20_PYG_MENSUAL_BASE!N8)</f>
        <v/>
      </c>
      <c r="C7">
        <f>-(20_PYG_MENSUAL_CONS!N7+20_PYG_MENSUAL_CONS!N8)</f>
        <v/>
      </c>
      <c r="D7">
        <f>-(20_PYG_MENSUAL_AGR!N7+20_PYG_MENSUAL_AGR!N8)</f>
        <v/>
      </c>
    </row>
    <row r="8">
      <c r="A8" t="inlineStr">
        <is>
          <t>Resultado operacional (año)</t>
        </is>
      </c>
      <c r="B8">
        <f>20_PYG_MENSUAL_BASE!N9</f>
        <v/>
      </c>
      <c r="C8">
        <f>20_PYG_MENSUAL_CONS!N9</f>
        <v/>
      </c>
      <c r="D8">
        <f>20_PYG_MENSUAL_AGR!N9</f>
        <v/>
      </c>
    </row>
    <row r="9">
      <c r="A9" t="inlineStr">
        <is>
          <t>Resultado antes de impuestos (año, aprox)</t>
        </is>
      </c>
      <c r="B9">
        <f>20_PYG_MENSUAL_BASE!N11</f>
        <v/>
      </c>
      <c r="C9">
        <f>20_PYG_MENSUAL_CONS!N11</f>
        <v/>
      </c>
      <c r="D9">
        <f>20_PYG_MENSUAL_AGR!N11</f>
        <v/>
      </c>
    </row>
    <row r="10">
      <c r="A10" t="inlineStr">
        <is>
          <t>Caja final (dic)</t>
        </is>
      </c>
      <c r="B10">
        <f>14_FLUJO_CAJA_BASE!M13</f>
        <v/>
      </c>
      <c r="C10">
        <f>14_FLUJO_CAJA_CONS!M13</f>
        <v/>
      </c>
      <c r="D10">
        <f>14_FLUJO_CAJA_AGR!M13</f>
        <v/>
      </c>
    </row>
    <row r="11">
      <c r="A11" t="inlineStr">
        <is>
          <t>Caja mínima (año)</t>
        </is>
      </c>
      <c r="B11">
        <f>MIN(14_FLUJO_CAJA_BASE!B13:M13)</f>
        <v/>
      </c>
      <c r="C11">
        <f>MIN(14_FLUJO_CAJA_CONS!B13:M13)</f>
        <v/>
      </c>
      <c r="D11">
        <f>MIN(14_FLUJO_CAJA_AGR!B13:M13)</f>
        <v/>
      </c>
    </row>
    <row r="12">
      <c r="A12" t="inlineStr">
        <is>
          <t>Meses con caja negativa</t>
        </is>
      </c>
      <c r="B12">
        <f>COUNTIF(14_FLUJO_CAJA_BASE!B13:M13,"&lt;0")</f>
        <v/>
      </c>
      <c r="C12">
        <f>COUNTIF(14_FLUJO_CAJA_CONS!B13:M13,"&lt;0")</f>
        <v/>
      </c>
      <c r="D12">
        <f>COUNTIF(14_FLUJO_CAJA_AGR!B13:M13,"&lt;0")</f>
        <v/>
      </c>
    </row>
    <row r="13">
      <c r="A13" t="inlineStr">
        <is>
          <t>Burn rate promedio (jul–dic)</t>
        </is>
      </c>
      <c r="B13">
        <f>-AVERAGE(14_FLUJO_CAJA_BASE!H12:M12)</f>
        <v/>
      </c>
      <c r="C13">
        <f>-AVERAGE(14_FLUJO_CAJA_CONS!H12:M12)</f>
        <v/>
      </c>
      <c r="D13">
        <f>-AVERAGE(14_FLUJO_CAJA_AGR!H12:M12)</f>
        <v/>
      </c>
    </row>
    <row r="14">
      <c r="A14" t="inlineStr">
        <is>
          <t>Semáforo</t>
        </is>
      </c>
      <c r="B14">
        <f>IF(14_FLUJO_CAJA_BASE!M13&gt;=0,"OK","ALERTA")</f>
        <v/>
      </c>
      <c r="C14">
        <f>IF(14_FLUJO_CAJA_CONS!M13&gt;=0,"OK","ALERTA")</f>
        <v/>
      </c>
      <c r="D14">
        <f>IF(14_FLUJO_CAJA_AGR!M13&gt;=0,"OK","ALERTA")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18" customWidth="1" min="4" max="4"/>
  </cols>
  <sheetData>
    <row r="1">
      <c r="A1" s="7" t="inlineStr">
        <is>
          <t>Dashboard 2026 (Calculado)</t>
        </is>
      </c>
    </row>
    <row r="3">
      <c r="A3" s="8" t="inlineStr">
        <is>
          <t>Mes</t>
        </is>
      </c>
      <c r="B3" s="8" t="inlineStr">
        <is>
          <t>Ventas netas (sin IVA)</t>
        </is>
      </c>
      <c r="C3" s="8" t="inlineStr">
        <is>
          <t>Cobros (bruto)</t>
        </is>
      </c>
      <c r="D3" s="8" t="inlineStr">
        <is>
          <t>Saldo final caja</t>
        </is>
      </c>
    </row>
    <row r="4">
      <c r="A4" s="40" t="n">
        <v>46053</v>
      </c>
      <c r="B4" s="52">
        <f>20_PYG_MENSUAL!B4</f>
        <v/>
      </c>
      <c r="C4" s="52">
        <f>12_COBRANZAS!B4</f>
        <v/>
      </c>
      <c r="D4" s="52">
        <f>14_FLUJO_CAJA!B13</f>
        <v/>
      </c>
    </row>
    <row r="5">
      <c r="A5" s="40" t="n">
        <v>46081</v>
      </c>
      <c r="B5" s="52">
        <f>20_PYG_MENSUAL!C4</f>
        <v/>
      </c>
      <c r="C5" s="52">
        <f>12_COBRANZAS!C4</f>
        <v/>
      </c>
      <c r="D5" s="52">
        <f>14_FLUJO_CAJA!C13</f>
        <v/>
      </c>
    </row>
    <row r="6">
      <c r="A6" s="40" t="n">
        <v>46112</v>
      </c>
      <c r="B6" s="52">
        <f>20_PYG_MENSUAL!D4</f>
        <v/>
      </c>
      <c r="C6" s="52">
        <f>12_COBRANZAS!D4</f>
        <v/>
      </c>
      <c r="D6" s="52">
        <f>14_FLUJO_CAJA!D13</f>
        <v/>
      </c>
    </row>
    <row r="7">
      <c r="A7" s="40" t="n">
        <v>46142</v>
      </c>
      <c r="B7" s="52">
        <f>20_PYG_MENSUAL!E4</f>
        <v/>
      </c>
      <c r="C7" s="52">
        <f>12_COBRANZAS!E4</f>
        <v/>
      </c>
      <c r="D7" s="52">
        <f>14_FLUJO_CAJA!E13</f>
        <v/>
      </c>
    </row>
    <row r="8">
      <c r="A8" s="40" t="n">
        <v>46173</v>
      </c>
      <c r="B8" s="52">
        <f>20_PYG_MENSUAL!F4</f>
        <v/>
      </c>
      <c r="C8" s="52">
        <f>12_COBRANZAS!F4</f>
        <v/>
      </c>
      <c r="D8" s="52">
        <f>14_FLUJO_CAJA!F13</f>
        <v/>
      </c>
    </row>
    <row r="9">
      <c r="A9" s="40" t="n">
        <v>46203</v>
      </c>
      <c r="B9" s="52">
        <f>20_PYG_MENSUAL!G4</f>
        <v/>
      </c>
      <c r="C9" s="52">
        <f>12_COBRANZAS!G4</f>
        <v/>
      </c>
      <c r="D9" s="52">
        <f>14_FLUJO_CAJA!G13</f>
        <v/>
      </c>
    </row>
    <row r="10">
      <c r="A10" s="40" t="n">
        <v>46234</v>
      </c>
      <c r="B10" s="52">
        <f>20_PYG_MENSUAL!H4</f>
        <v/>
      </c>
      <c r="C10" s="52">
        <f>12_COBRANZAS!H4</f>
        <v/>
      </c>
      <c r="D10" s="52">
        <f>14_FLUJO_CAJA!H13</f>
        <v/>
      </c>
    </row>
    <row r="11">
      <c r="A11" s="40" t="n">
        <v>46265</v>
      </c>
      <c r="B11" s="52">
        <f>20_PYG_MENSUAL!I4</f>
        <v/>
      </c>
      <c r="C11" s="52">
        <f>12_COBRANZAS!I4</f>
        <v/>
      </c>
      <c r="D11" s="52">
        <f>14_FLUJO_CAJA!I13</f>
        <v/>
      </c>
    </row>
    <row r="12">
      <c r="A12" s="40" t="n">
        <v>46295</v>
      </c>
      <c r="B12" s="52">
        <f>20_PYG_MENSUAL!J4</f>
        <v/>
      </c>
      <c r="C12" s="52">
        <f>12_COBRANZAS!J4</f>
        <v/>
      </c>
      <c r="D12" s="52">
        <f>14_FLUJO_CAJA!J13</f>
        <v/>
      </c>
    </row>
    <row r="13">
      <c r="A13" s="40" t="n">
        <v>46326</v>
      </c>
      <c r="B13" s="52">
        <f>20_PYG_MENSUAL!K4</f>
        <v/>
      </c>
      <c r="C13" s="52">
        <f>12_COBRANZAS!K4</f>
        <v/>
      </c>
      <c r="D13" s="52">
        <f>14_FLUJO_CAJA!K13</f>
        <v/>
      </c>
    </row>
    <row r="14">
      <c r="A14" s="40" t="n">
        <v>46356</v>
      </c>
      <c r="B14" s="52">
        <f>20_PYG_MENSUAL!L4</f>
        <v/>
      </c>
      <c r="C14" s="52">
        <f>12_COBRANZAS!L4</f>
        <v/>
      </c>
      <c r="D14" s="52">
        <f>14_FLUJO_CAJA!L13</f>
        <v/>
      </c>
    </row>
    <row r="15">
      <c r="A15" s="40" t="n">
        <v>46387</v>
      </c>
      <c r="B15" s="52">
        <f>20_PYG_MENSUAL!M4</f>
        <v/>
      </c>
      <c r="C15" s="52">
        <f>12_COBRANZAS!M4</f>
        <v/>
      </c>
      <c r="D15" s="52">
        <f>14_FLUJO_CAJA!M13</f>
        <v/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6" customWidth="1" min="10" max="10"/>
  </cols>
  <sheetData>
    <row r="1">
      <c r="A1" s="60" t="inlineStr">
        <is>
          <t>Dashboard 2026 — 3 escenarios en paralelo (no depende del selector)</t>
        </is>
      </c>
      <c r="B1" s="47" t="n"/>
      <c r="C1" s="47" t="n"/>
      <c r="D1" s="47" t="n"/>
      <c r="E1" s="47" t="n"/>
      <c r="F1" s="47" t="n"/>
      <c r="G1" s="47" t="n"/>
      <c r="H1" s="47" t="n"/>
      <c r="I1" s="47" t="n"/>
      <c r="J1" s="47" t="n"/>
    </row>
    <row r="3">
      <c r="A3" s="24" t="inlineStr">
        <is>
          <t>Mes</t>
        </is>
      </c>
      <c r="B3" s="24" t="inlineStr">
        <is>
          <t>Ventas netas Base</t>
        </is>
      </c>
      <c r="C3" s="24" t="inlineStr">
        <is>
          <t>Ventas netas Cons</t>
        </is>
      </c>
      <c r="D3" s="24" t="inlineStr">
        <is>
          <t>Ventas netas Agr</t>
        </is>
      </c>
      <c r="E3" s="24" t="inlineStr">
        <is>
          <t>Cobros Base</t>
        </is>
      </c>
      <c r="F3" s="24" t="inlineStr">
        <is>
          <t>Cobros Cons</t>
        </is>
      </c>
      <c r="G3" s="24" t="inlineStr">
        <is>
          <t>Cobros Agr</t>
        </is>
      </c>
      <c r="H3" s="24" t="inlineStr">
        <is>
          <t>Saldo final Base</t>
        </is>
      </c>
      <c r="I3" s="24" t="inlineStr">
        <is>
          <t>Saldo final Cons</t>
        </is>
      </c>
      <c r="J3" s="24" t="inlineStr">
        <is>
          <t>Saldo final Agr</t>
        </is>
      </c>
    </row>
    <row r="4">
      <c r="A4" s="61" t="n">
        <v>46053</v>
      </c>
      <c r="B4">
        <f>INDEX(20_PYG_MENSUAL_BASE!$B$4:$M$4, MATCH($A4, 20_PYG_MENSUAL_BASE!$B$3:$M$3, 0))</f>
        <v/>
      </c>
      <c r="C4">
        <f>INDEX(20_PYG_MENSUAL_CONS!$B$4:$M$4, MATCH($A4, 20_PYG_MENSUAL_CONS!$B$3:$M$3, 0))</f>
        <v/>
      </c>
      <c r="D4">
        <f>INDEX(20_PYG_MENSUAL_AGR!$B$4:$M$4, MATCH($A4, 20_PYG_MENSUAL_AGR!$B$3:$M$3, 0))</f>
        <v/>
      </c>
      <c r="E4">
        <f>INDEX(12_COBRANZAS_BASE!$B$4:$M$4, MATCH($A4, 12_COBRANZAS_BASE!$B$3:$M$3, 0))</f>
        <v/>
      </c>
      <c r="F4">
        <f>INDEX(12_COBRANZAS_CONS!$B$4:$M$4, MATCH($A4, 12_COBRANZAS_CONS!$B$3:$M$3, 0))</f>
        <v/>
      </c>
      <c r="G4">
        <f>INDEX(12_COBRANZAS_AGR!$B$4:$M$4, MATCH($A4, 12_COBRANZAS_AGR!$B$3:$M$3, 0))</f>
        <v/>
      </c>
      <c r="H4">
        <f>INDEX(14_FLUJO_CAJA_BASE!$B$13:$M$13, MATCH($A4, 14_FLUJO_CAJA_BASE!$B$3:$M$3, 0))</f>
        <v/>
      </c>
      <c r="I4">
        <f>INDEX(14_FLUJO_CAJA_CONS!$B$13:$M$13, MATCH($A4, 14_FLUJO_CAJA_CONS!$B$3:$M$3, 0))</f>
        <v/>
      </c>
      <c r="J4">
        <f>INDEX(14_FLUJO_CAJA_AGR!$B$13:$M$13, MATCH($A4, 14_FLUJO_CAJA_AGR!$B$3:$M$3, 0))</f>
        <v/>
      </c>
    </row>
    <row r="5">
      <c r="A5" s="61" t="n">
        <v>46081</v>
      </c>
      <c r="B5">
        <f>INDEX(20_PYG_MENSUAL_BASE!$B$4:$M$4, MATCH($A5, 20_PYG_MENSUAL_BASE!$B$3:$M$3, 0))</f>
        <v/>
      </c>
      <c r="C5">
        <f>INDEX(20_PYG_MENSUAL_CONS!$B$4:$M$4, MATCH($A5, 20_PYG_MENSUAL_CONS!$B$3:$M$3, 0))</f>
        <v/>
      </c>
      <c r="D5">
        <f>INDEX(20_PYG_MENSUAL_AGR!$B$4:$M$4, MATCH($A5, 20_PYG_MENSUAL_AGR!$B$3:$M$3, 0))</f>
        <v/>
      </c>
      <c r="E5">
        <f>INDEX(12_COBRANZAS_BASE!$B$4:$M$4, MATCH($A5, 12_COBRANZAS_BASE!$B$3:$M$3, 0))</f>
        <v/>
      </c>
      <c r="F5">
        <f>INDEX(12_COBRANZAS_CONS!$B$4:$M$4, MATCH($A5, 12_COBRANZAS_CONS!$B$3:$M$3, 0))</f>
        <v/>
      </c>
      <c r="G5">
        <f>INDEX(12_COBRANZAS_AGR!$B$4:$M$4, MATCH($A5, 12_COBRANZAS_AGR!$B$3:$M$3, 0))</f>
        <v/>
      </c>
      <c r="H5">
        <f>INDEX(14_FLUJO_CAJA_BASE!$B$13:$M$13, MATCH($A5, 14_FLUJO_CAJA_BASE!$B$3:$M$3, 0))</f>
        <v/>
      </c>
      <c r="I5">
        <f>INDEX(14_FLUJO_CAJA_CONS!$B$13:$M$13, MATCH($A5, 14_FLUJO_CAJA_CONS!$B$3:$M$3, 0))</f>
        <v/>
      </c>
      <c r="J5">
        <f>INDEX(14_FLUJO_CAJA_AGR!$B$13:$M$13, MATCH($A5, 14_FLUJO_CAJA_AGR!$B$3:$M$3, 0))</f>
        <v/>
      </c>
    </row>
    <row r="6">
      <c r="A6" s="61" t="n">
        <v>46112</v>
      </c>
      <c r="B6">
        <f>INDEX(20_PYG_MENSUAL_BASE!$B$4:$M$4, MATCH($A6, 20_PYG_MENSUAL_BASE!$B$3:$M$3, 0))</f>
        <v/>
      </c>
      <c r="C6">
        <f>INDEX(20_PYG_MENSUAL_CONS!$B$4:$M$4, MATCH($A6, 20_PYG_MENSUAL_CONS!$B$3:$M$3, 0))</f>
        <v/>
      </c>
      <c r="D6">
        <f>INDEX(20_PYG_MENSUAL_AGR!$B$4:$M$4, MATCH($A6, 20_PYG_MENSUAL_AGR!$B$3:$M$3, 0))</f>
        <v/>
      </c>
      <c r="E6">
        <f>INDEX(12_COBRANZAS_BASE!$B$4:$M$4, MATCH($A6, 12_COBRANZAS_BASE!$B$3:$M$3, 0))</f>
        <v/>
      </c>
      <c r="F6">
        <f>INDEX(12_COBRANZAS_CONS!$B$4:$M$4, MATCH($A6, 12_COBRANZAS_CONS!$B$3:$M$3, 0))</f>
        <v/>
      </c>
      <c r="G6">
        <f>INDEX(12_COBRANZAS_AGR!$B$4:$M$4, MATCH($A6, 12_COBRANZAS_AGR!$B$3:$M$3, 0))</f>
        <v/>
      </c>
      <c r="H6">
        <f>INDEX(14_FLUJO_CAJA_BASE!$B$13:$M$13, MATCH($A6, 14_FLUJO_CAJA_BASE!$B$3:$M$3, 0))</f>
        <v/>
      </c>
      <c r="I6">
        <f>INDEX(14_FLUJO_CAJA_CONS!$B$13:$M$13, MATCH($A6, 14_FLUJO_CAJA_CONS!$B$3:$M$3, 0))</f>
        <v/>
      </c>
      <c r="J6">
        <f>INDEX(14_FLUJO_CAJA_AGR!$B$13:$M$13, MATCH($A6, 14_FLUJO_CAJA_AGR!$B$3:$M$3, 0))</f>
        <v/>
      </c>
    </row>
    <row r="7">
      <c r="A7" s="61" t="n">
        <v>46142</v>
      </c>
      <c r="B7">
        <f>INDEX(20_PYG_MENSUAL_BASE!$B$4:$M$4, MATCH($A7, 20_PYG_MENSUAL_BASE!$B$3:$M$3, 0))</f>
        <v/>
      </c>
      <c r="C7">
        <f>INDEX(20_PYG_MENSUAL_CONS!$B$4:$M$4, MATCH($A7, 20_PYG_MENSUAL_CONS!$B$3:$M$3, 0))</f>
        <v/>
      </c>
      <c r="D7">
        <f>INDEX(20_PYG_MENSUAL_AGR!$B$4:$M$4, MATCH($A7, 20_PYG_MENSUAL_AGR!$B$3:$M$3, 0))</f>
        <v/>
      </c>
      <c r="E7">
        <f>INDEX(12_COBRANZAS_BASE!$B$4:$M$4, MATCH($A7, 12_COBRANZAS_BASE!$B$3:$M$3, 0))</f>
        <v/>
      </c>
      <c r="F7">
        <f>INDEX(12_COBRANZAS_CONS!$B$4:$M$4, MATCH($A7, 12_COBRANZAS_CONS!$B$3:$M$3, 0))</f>
        <v/>
      </c>
      <c r="G7">
        <f>INDEX(12_COBRANZAS_AGR!$B$4:$M$4, MATCH($A7, 12_COBRANZAS_AGR!$B$3:$M$3, 0))</f>
        <v/>
      </c>
      <c r="H7">
        <f>INDEX(14_FLUJO_CAJA_BASE!$B$13:$M$13, MATCH($A7, 14_FLUJO_CAJA_BASE!$B$3:$M$3, 0))</f>
        <v/>
      </c>
      <c r="I7">
        <f>INDEX(14_FLUJO_CAJA_CONS!$B$13:$M$13, MATCH($A7, 14_FLUJO_CAJA_CONS!$B$3:$M$3, 0))</f>
        <v/>
      </c>
      <c r="J7">
        <f>INDEX(14_FLUJO_CAJA_AGR!$B$13:$M$13, MATCH($A7, 14_FLUJO_CAJA_AGR!$B$3:$M$3, 0))</f>
        <v/>
      </c>
    </row>
    <row r="8">
      <c r="A8" s="61" t="n">
        <v>46173</v>
      </c>
      <c r="B8">
        <f>INDEX(20_PYG_MENSUAL_BASE!$B$4:$M$4, MATCH($A8, 20_PYG_MENSUAL_BASE!$B$3:$M$3, 0))</f>
        <v/>
      </c>
      <c r="C8">
        <f>INDEX(20_PYG_MENSUAL_CONS!$B$4:$M$4, MATCH($A8, 20_PYG_MENSUAL_CONS!$B$3:$M$3, 0))</f>
        <v/>
      </c>
      <c r="D8">
        <f>INDEX(20_PYG_MENSUAL_AGR!$B$4:$M$4, MATCH($A8, 20_PYG_MENSUAL_AGR!$B$3:$M$3, 0))</f>
        <v/>
      </c>
      <c r="E8">
        <f>INDEX(12_COBRANZAS_BASE!$B$4:$M$4, MATCH($A8, 12_COBRANZAS_BASE!$B$3:$M$3, 0))</f>
        <v/>
      </c>
      <c r="F8">
        <f>INDEX(12_COBRANZAS_CONS!$B$4:$M$4, MATCH($A8, 12_COBRANZAS_CONS!$B$3:$M$3, 0))</f>
        <v/>
      </c>
      <c r="G8">
        <f>INDEX(12_COBRANZAS_AGR!$B$4:$M$4, MATCH($A8, 12_COBRANZAS_AGR!$B$3:$M$3, 0))</f>
        <v/>
      </c>
      <c r="H8">
        <f>INDEX(14_FLUJO_CAJA_BASE!$B$13:$M$13, MATCH($A8, 14_FLUJO_CAJA_BASE!$B$3:$M$3, 0))</f>
        <v/>
      </c>
      <c r="I8">
        <f>INDEX(14_FLUJO_CAJA_CONS!$B$13:$M$13, MATCH($A8, 14_FLUJO_CAJA_CONS!$B$3:$M$3, 0))</f>
        <v/>
      </c>
      <c r="J8">
        <f>INDEX(14_FLUJO_CAJA_AGR!$B$13:$M$13, MATCH($A8, 14_FLUJO_CAJA_AGR!$B$3:$M$3, 0))</f>
        <v/>
      </c>
    </row>
    <row r="9">
      <c r="A9" s="61" t="n">
        <v>46203</v>
      </c>
      <c r="B9">
        <f>INDEX(20_PYG_MENSUAL_BASE!$B$4:$M$4, MATCH($A9, 20_PYG_MENSUAL_BASE!$B$3:$M$3, 0))</f>
        <v/>
      </c>
      <c r="C9">
        <f>INDEX(20_PYG_MENSUAL_CONS!$B$4:$M$4, MATCH($A9, 20_PYG_MENSUAL_CONS!$B$3:$M$3, 0))</f>
        <v/>
      </c>
      <c r="D9">
        <f>INDEX(20_PYG_MENSUAL_AGR!$B$4:$M$4, MATCH($A9, 20_PYG_MENSUAL_AGR!$B$3:$M$3, 0))</f>
        <v/>
      </c>
      <c r="E9">
        <f>INDEX(12_COBRANZAS_BASE!$B$4:$M$4, MATCH($A9, 12_COBRANZAS_BASE!$B$3:$M$3, 0))</f>
        <v/>
      </c>
      <c r="F9">
        <f>INDEX(12_COBRANZAS_CONS!$B$4:$M$4, MATCH($A9, 12_COBRANZAS_CONS!$B$3:$M$3, 0))</f>
        <v/>
      </c>
      <c r="G9">
        <f>INDEX(12_COBRANZAS_AGR!$B$4:$M$4, MATCH($A9, 12_COBRANZAS_AGR!$B$3:$M$3, 0))</f>
        <v/>
      </c>
      <c r="H9">
        <f>INDEX(14_FLUJO_CAJA_BASE!$B$13:$M$13, MATCH($A9, 14_FLUJO_CAJA_BASE!$B$3:$M$3, 0))</f>
        <v/>
      </c>
      <c r="I9">
        <f>INDEX(14_FLUJO_CAJA_CONS!$B$13:$M$13, MATCH($A9, 14_FLUJO_CAJA_CONS!$B$3:$M$3, 0))</f>
        <v/>
      </c>
      <c r="J9">
        <f>INDEX(14_FLUJO_CAJA_AGR!$B$13:$M$13, MATCH($A9, 14_FLUJO_CAJA_AGR!$B$3:$M$3, 0))</f>
        <v/>
      </c>
    </row>
    <row r="10">
      <c r="A10" s="61" t="n">
        <v>46234</v>
      </c>
      <c r="B10">
        <f>INDEX(20_PYG_MENSUAL_BASE!$B$4:$M$4, MATCH($A10, 20_PYG_MENSUAL_BASE!$B$3:$M$3, 0))</f>
        <v/>
      </c>
      <c r="C10">
        <f>INDEX(20_PYG_MENSUAL_CONS!$B$4:$M$4, MATCH($A10, 20_PYG_MENSUAL_CONS!$B$3:$M$3, 0))</f>
        <v/>
      </c>
      <c r="D10">
        <f>INDEX(20_PYG_MENSUAL_AGR!$B$4:$M$4, MATCH($A10, 20_PYG_MENSUAL_AGR!$B$3:$M$3, 0))</f>
        <v/>
      </c>
      <c r="E10">
        <f>INDEX(12_COBRANZAS_BASE!$B$4:$M$4, MATCH($A10, 12_COBRANZAS_BASE!$B$3:$M$3, 0))</f>
        <v/>
      </c>
      <c r="F10">
        <f>INDEX(12_COBRANZAS_CONS!$B$4:$M$4, MATCH($A10, 12_COBRANZAS_CONS!$B$3:$M$3, 0))</f>
        <v/>
      </c>
      <c r="G10">
        <f>INDEX(12_COBRANZAS_AGR!$B$4:$M$4, MATCH($A10, 12_COBRANZAS_AGR!$B$3:$M$3, 0))</f>
        <v/>
      </c>
      <c r="H10">
        <f>INDEX(14_FLUJO_CAJA_BASE!$B$13:$M$13, MATCH($A10, 14_FLUJO_CAJA_BASE!$B$3:$M$3, 0))</f>
        <v/>
      </c>
      <c r="I10">
        <f>INDEX(14_FLUJO_CAJA_CONS!$B$13:$M$13, MATCH($A10, 14_FLUJO_CAJA_CONS!$B$3:$M$3, 0))</f>
        <v/>
      </c>
      <c r="J10">
        <f>INDEX(14_FLUJO_CAJA_AGR!$B$13:$M$13, MATCH($A10, 14_FLUJO_CAJA_AGR!$B$3:$M$3, 0))</f>
        <v/>
      </c>
    </row>
    <row r="11">
      <c r="A11" s="61" t="n">
        <v>46265</v>
      </c>
      <c r="B11">
        <f>INDEX(20_PYG_MENSUAL_BASE!$B$4:$M$4, MATCH($A11, 20_PYG_MENSUAL_BASE!$B$3:$M$3, 0))</f>
        <v/>
      </c>
      <c r="C11">
        <f>INDEX(20_PYG_MENSUAL_CONS!$B$4:$M$4, MATCH($A11, 20_PYG_MENSUAL_CONS!$B$3:$M$3, 0))</f>
        <v/>
      </c>
      <c r="D11">
        <f>INDEX(20_PYG_MENSUAL_AGR!$B$4:$M$4, MATCH($A11, 20_PYG_MENSUAL_AGR!$B$3:$M$3, 0))</f>
        <v/>
      </c>
      <c r="E11">
        <f>INDEX(12_COBRANZAS_BASE!$B$4:$M$4, MATCH($A11, 12_COBRANZAS_BASE!$B$3:$M$3, 0))</f>
        <v/>
      </c>
      <c r="F11">
        <f>INDEX(12_COBRANZAS_CONS!$B$4:$M$4, MATCH($A11, 12_COBRANZAS_CONS!$B$3:$M$3, 0))</f>
        <v/>
      </c>
      <c r="G11">
        <f>INDEX(12_COBRANZAS_AGR!$B$4:$M$4, MATCH($A11, 12_COBRANZAS_AGR!$B$3:$M$3, 0))</f>
        <v/>
      </c>
      <c r="H11">
        <f>INDEX(14_FLUJO_CAJA_BASE!$B$13:$M$13, MATCH($A11, 14_FLUJO_CAJA_BASE!$B$3:$M$3, 0))</f>
        <v/>
      </c>
      <c r="I11">
        <f>INDEX(14_FLUJO_CAJA_CONS!$B$13:$M$13, MATCH($A11, 14_FLUJO_CAJA_CONS!$B$3:$M$3, 0))</f>
        <v/>
      </c>
      <c r="J11">
        <f>INDEX(14_FLUJO_CAJA_AGR!$B$13:$M$13, MATCH($A11, 14_FLUJO_CAJA_AGR!$B$3:$M$3, 0))</f>
        <v/>
      </c>
    </row>
    <row r="12">
      <c r="A12" s="61" t="n">
        <v>46295</v>
      </c>
      <c r="B12">
        <f>INDEX(20_PYG_MENSUAL_BASE!$B$4:$M$4, MATCH($A12, 20_PYG_MENSUAL_BASE!$B$3:$M$3, 0))</f>
        <v/>
      </c>
      <c r="C12">
        <f>INDEX(20_PYG_MENSUAL_CONS!$B$4:$M$4, MATCH($A12, 20_PYG_MENSUAL_CONS!$B$3:$M$3, 0))</f>
        <v/>
      </c>
      <c r="D12">
        <f>INDEX(20_PYG_MENSUAL_AGR!$B$4:$M$4, MATCH($A12, 20_PYG_MENSUAL_AGR!$B$3:$M$3, 0))</f>
        <v/>
      </c>
      <c r="E12">
        <f>INDEX(12_COBRANZAS_BASE!$B$4:$M$4, MATCH($A12, 12_COBRANZAS_BASE!$B$3:$M$3, 0))</f>
        <v/>
      </c>
      <c r="F12">
        <f>INDEX(12_COBRANZAS_CONS!$B$4:$M$4, MATCH($A12, 12_COBRANZAS_CONS!$B$3:$M$3, 0))</f>
        <v/>
      </c>
      <c r="G12">
        <f>INDEX(12_COBRANZAS_AGR!$B$4:$M$4, MATCH($A12, 12_COBRANZAS_AGR!$B$3:$M$3, 0))</f>
        <v/>
      </c>
      <c r="H12">
        <f>INDEX(14_FLUJO_CAJA_BASE!$B$13:$M$13, MATCH($A12, 14_FLUJO_CAJA_BASE!$B$3:$M$3, 0))</f>
        <v/>
      </c>
      <c r="I12">
        <f>INDEX(14_FLUJO_CAJA_CONS!$B$13:$M$13, MATCH($A12, 14_FLUJO_CAJA_CONS!$B$3:$M$3, 0))</f>
        <v/>
      </c>
      <c r="J12">
        <f>INDEX(14_FLUJO_CAJA_AGR!$B$13:$M$13, MATCH($A12, 14_FLUJO_CAJA_AGR!$B$3:$M$3, 0))</f>
        <v/>
      </c>
    </row>
    <row r="13">
      <c r="A13" s="61" t="n">
        <v>46326</v>
      </c>
      <c r="B13">
        <f>INDEX(20_PYG_MENSUAL_BASE!$B$4:$M$4, MATCH($A13, 20_PYG_MENSUAL_BASE!$B$3:$M$3, 0))</f>
        <v/>
      </c>
      <c r="C13">
        <f>INDEX(20_PYG_MENSUAL_CONS!$B$4:$M$4, MATCH($A13, 20_PYG_MENSUAL_CONS!$B$3:$M$3, 0))</f>
        <v/>
      </c>
      <c r="D13">
        <f>INDEX(20_PYG_MENSUAL_AGR!$B$4:$M$4, MATCH($A13, 20_PYG_MENSUAL_AGR!$B$3:$M$3, 0))</f>
        <v/>
      </c>
      <c r="E13">
        <f>INDEX(12_COBRANZAS_BASE!$B$4:$M$4, MATCH($A13, 12_COBRANZAS_BASE!$B$3:$M$3, 0))</f>
        <v/>
      </c>
      <c r="F13">
        <f>INDEX(12_COBRANZAS_CONS!$B$4:$M$4, MATCH($A13, 12_COBRANZAS_CONS!$B$3:$M$3, 0))</f>
        <v/>
      </c>
      <c r="G13">
        <f>INDEX(12_COBRANZAS_AGR!$B$4:$M$4, MATCH($A13, 12_COBRANZAS_AGR!$B$3:$M$3, 0))</f>
        <v/>
      </c>
      <c r="H13">
        <f>INDEX(14_FLUJO_CAJA_BASE!$B$13:$M$13, MATCH($A13, 14_FLUJO_CAJA_BASE!$B$3:$M$3, 0))</f>
        <v/>
      </c>
      <c r="I13">
        <f>INDEX(14_FLUJO_CAJA_CONS!$B$13:$M$13, MATCH($A13, 14_FLUJO_CAJA_CONS!$B$3:$M$3, 0))</f>
        <v/>
      </c>
      <c r="J13">
        <f>INDEX(14_FLUJO_CAJA_AGR!$B$13:$M$13, MATCH($A13, 14_FLUJO_CAJA_AGR!$B$3:$M$3, 0))</f>
        <v/>
      </c>
    </row>
    <row r="14">
      <c r="A14" s="61" t="n">
        <v>46356</v>
      </c>
      <c r="B14">
        <f>INDEX(20_PYG_MENSUAL_BASE!$B$4:$M$4, MATCH($A14, 20_PYG_MENSUAL_BASE!$B$3:$M$3, 0))</f>
        <v/>
      </c>
      <c r="C14">
        <f>INDEX(20_PYG_MENSUAL_CONS!$B$4:$M$4, MATCH($A14, 20_PYG_MENSUAL_CONS!$B$3:$M$3, 0))</f>
        <v/>
      </c>
      <c r="D14">
        <f>INDEX(20_PYG_MENSUAL_AGR!$B$4:$M$4, MATCH($A14, 20_PYG_MENSUAL_AGR!$B$3:$M$3, 0))</f>
        <v/>
      </c>
      <c r="E14">
        <f>INDEX(12_COBRANZAS_BASE!$B$4:$M$4, MATCH($A14, 12_COBRANZAS_BASE!$B$3:$M$3, 0))</f>
        <v/>
      </c>
      <c r="F14">
        <f>INDEX(12_COBRANZAS_CONS!$B$4:$M$4, MATCH($A14, 12_COBRANZAS_CONS!$B$3:$M$3, 0))</f>
        <v/>
      </c>
      <c r="G14">
        <f>INDEX(12_COBRANZAS_AGR!$B$4:$M$4, MATCH($A14, 12_COBRANZAS_AGR!$B$3:$M$3, 0))</f>
        <v/>
      </c>
      <c r="H14">
        <f>INDEX(14_FLUJO_CAJA_BASE!$B$13:$M$13, MATCH($A14, 14_FLUJO_CAJA_BASE!$B$3:$M$3, 0))</f>
        <v/>
      </c>
      <c r="I14">
        <f>INDEX(14_FLUJO_CAJA_CONS!$B$13:$M$13, MATCH($A14, 14_FLUJO_CAJA_CONS!$B$3:$M$3, 0))</f>
        <v/>
      </c>
      <c r="J14">
        <f>INDEX(14_FLUJO_CAJA_AGR!$B$13:$M$13, MATCH($A14, 14_FLUJO_CAJA_AGR!$B$3:$M$3, 0))</f>
        <v/>
      </c>
    </row>
    <row r="15">
      <c r="A15" s="61" t="n">
        <v>46387</v>
      </c>
      <c r="B15">
        <f>INDEX(20_PYG_MENSUAL_BASE!$B$4:$M$4, MATCH($A15, 20_PYG_MENSUAL_BASE!$B$3:$M$3, 0))</f>
        <v/>
      </c>
      <c r="C15">
        <f>INDEX(20_PYG_MENSUAL_CONS!$B$4:$M$4, MATCH($A15, 20_PYG_MENSUAL_CONS!$B$3:$M$3, 0))</f>
        <v/>
      </c>
      <c r="D15">
        <f>INDEX(20_PYG_MENSUAL_AGR!$B$4:$M$4, MATCH($A15, 20_PYG_MENSUAL_AGR!$B$3:$M$3, 0))</f>
        <v/>
      </c>
      <c r="E15">
        <f>INDEX(12_COBRANZAS_BASE!$B$4:$M$4, MATCH($A15, 12_COBRANZAS_BASE!$B$3:$M$3, 0))</f>
        <v/>
      </c>
      <c r="F15">
        <f>INDEX(12_COBRANZAS_CONS!$B$4:$M$4, MATCH($A15, 12_COBRANZAS_CONS!$B$3:$M$3, 0))</f>
        <v/>
      </c>
      <c r="G15">
        <f>INDEX(12_COBRANZAS_AGR!$B$4:$M$4, MATCH($A15, 12_COBRANZAS_AGR!$B$3:$M$3, 0))</f>
        <v/>
      </c>
      <c r="H15">
        <f>INDEX(14_FLUJO_CAJA_BASE!$B$13:$M$13, MATCH($A15, 14_FLUJO_CAJA_BASE!$B$3:$M$3, 0))</f>
        <v/>
      </c>
      <c r="I15">
        <f>INDEX(14_FLUJO_CAJA_CONS!$B$13:$M$13, MATCH($A15, 14_FLUJO_CAJA_CONS!$B$3:$M$3, 0))</f>
        <v/>
      </c>
      <c r="J15">
        <f>INDEX(14_FLUJO_CAJA_AGR!$B$13:$M$13, MATCH($A15, 14_FLUJO_CAJA_AGR!$B$3:$M$3, 0))</f>
        <v/>
      </c>
    </row>
    <row r="17">
      <c r="A17" t="inlineStr">
        <is>
          <t>Resumen KPI (año)</t>
        </is>
      </c>
      <c r="B17" t="inlineStr">
        <is>
          <t>Base</t>
        </is>
      </c>
      <c r="C17" t="inlineStr">
        <is>
          <t>Conservador</t>
        </is>
      </c>
      <c r="D17" t="inlineStr">
        <is>
          <t>Agresivo</t>
        </is>
      </c>
    </row>
    <row r="18">
      <c r="A18" t="inlineStr">
        <is>
          <t>Ventas netas (año, sin IVA)</t>
        </is>
      </c>
      <c r="B18">
        <f>21_KPIS_3ESC!B4</f>
        <v/>
      </c>
      <c r="C18">
        <f>21_KPIS_3ESC!C4</f>
        <v/>
      </c>
      <c r="D18">
        <f>21_KPIS_3ESC!D4</f>
        <v/>
      </c>
    </row>
    <row r="19">
      <c r="A19" t="inlineStr">
        <is>
          <t>Resultado operacional (año)</t>
        </is>
      </c>
      <c r="B19">
        <f>21_KPIS_3ESC!B8</f>
        <v/>
      </c>
      <c r="C19">
        <f>21_KPIS_3ESC!C8</f>
        <v/>
      </c>
      <c r="D19">
        <f>21_KPIS_3ESC!D8</f>
        <v/>
      </c>
    </row>
    <row r="20">
      <c r="A20" t="inlineStr">
        <is>
          <t>Caja final (dic)</t>
        </is>
      </c>
      <c r="B20">
        <f>21_KPIS_3ESC!B10</f>
        <v/>
      </c>
      <c r="C20">
        <f>21_KPIS_3ESC!C10</f>
        <v/>
      </c>
      <c r="D20">
        <f>21_KPIS_3ESC!D10</f>
        <v/>
      </c>
    </row>
    <row r="21">
      <c r="A21" t="inlineStr">
        <is>
          <t>Caja mínima (año)</t>
        </is>
      </c>
      <c r="B21">
        <f>21_KPIS_3ESC!B11</f>
        <v/>
      </c>
      <c r="C21">
        <f>21_KPIS_3ESC!C11</f>
        <v/>
      </c>
      <c r="D21">
        <f>21_KPIS_3ESC!D11</f>
        <v/>
      </c>
    </row>
    <row r="22">
      <c r="A22" t="inlineStr">
        <is>
          <t>Meses con caja negativa</t>
        </is>
      </c>
      <c r="B22">
        <f>21_KPIS_3ESC!B12</f>
        <v/>
      </c>
      <c r="C22">
        <f>21_KPIS_3ESC!C12</f>
        <v/>
      </c>
      <c r="D22">
        <f>21_KPIS_3ESC!D12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14" customWidth="1" min="4" max="4"/>
    <col width="10" customWidth="1" min="5" max="5"/>
    <col width="40" customWidth="1" min="6" max="6"/>
  </cols>
  <sheetData>
    <row r="1">
      <c r="A1" s="7" t="inlineStr">
        <is>
          <t>Checks / Control de Calidad (Calculado)</t>
        </is>
      </c>
    </row>
    <row r="3">
      <c r="A3" s="8" t="inlineStr">
        <is>
          <t>Proyecto_ID</t>
        </is>
      </c>
      <c r="B3" s="8" t="inlineStr">
        <is>
          <t>Proyecto_nombre</t>
        </is>
      </c>
      <c r="C3" s="8" t="inlineStr">
        <is>
          <t>Tipo_cliente</t>
        </is>
      </c>
      <c r="D3" s="8" t="inlineStr">
        <is>
          <t>Suma % hitos</t>
        </is>
      </c>
      <c r="E3" s="8" t="inlineStr">
        <is>
          <t>Estado</t>
        </is>
      </c>
      <c r="F3" s="8" t="inlineStr">
        <is>
          <t>Nota</t>
        </is>
      </c>
    </row>
    <row r="4">
      <c r="A4" s="36" t="inlineStr">
        <is>
          <t>PRJ-001</t>
        </is>
      </c>
      <c r="B4" s="36">
        <f>VLOOKUP(A4,04_PROYECTOS!$A:$N,2,FALSE)</f>
        <v/>
      </c>
      <c r="C4" s="36">
        <f>VLOOKUP(A4,04_PROYECTOS!$A:$N,4,FALSE)</f>
        <v/>
      </c>
      <c r="D4" s="55">
        <f>SUMIFS(04B_HITOS!$D$4:$D$500,04B_HITOS!$A$4:$A$500,A4)</f>
        <v/>
      </c>
      <c r="E4" s="26">
        <f>IF(ABS(D4-1)&lt;0.0001,"OK","REVISAR")</f>
        <v/>
      </c>
      <c r="F4" s="36">
        <f>IF(E4="REVISAR","Ajusta hitos en 04B_HITOS","")</f>
        <v/>
      </c>
    </row>
    <row r="5">
      <c r="A5" s="36" t="inlineStr">
        <is>
          <t>PRJ-002</t>
        </is>
      </c>
      <c r="B5" s="36">
        <f>VLOOKUP(A5,04_PROYECTOS!$A:$N,2,FALSE)</f>
        <v/>
      </c>
      <c r="C5" s="36">
        <f>VLOOKUP(A5,04_PROYECTOS!$A:$N,4,FALSE)</f>
        <v/>
      </c>
      <c r="D5" s="55">
        <f>SUMIFS(04B_HITOS!$D$4:$D$500,04B_HITOS!$A$4:$A$500,A5)</f>
        <v/>
      </c>
      <c r="E5" s="26">
        <f>IF(ABS(D5-1)&lt;0.0001,"OK","REVISAR")</f>
        <v/>
      </c>
      <c r="F5" s="36">
        <f>IF(E5="REVISAR","Ajusta hitos en 04B_HITOS","")</f>
        <v/>
      </c>
    </row>
    <row r="6">
      <c r="A6" s="36" t="inlineStr">
        <is>
          <t>PRJ-003</t>
        </is>
      </c>
      <c r="B6" s="36">
        <f>VLOOKUP(A6,04_PROYECTOS!$A:$N,2,FALSE)</f>
        <v/>
      </c>
      <c r="C6" s="36">
        <f>VLOOKUP(A6,04_PROYECTOS!$A:$N,4,FALSE)</f>
        <v/>
      </c>
      <c r="D6" s="55">
        <f>SUMIFS(04B_HITOS!$D$4:$D$500,04B_HITOS!$A$4:$A$500,A6)</f>
        <v/>
      </c>
      <c r="E6" s="26">
        <f>IF(ABS(D6-1)&lt;0.0001,"OK","REVISAR")</f>
        <v/>
      </c>
      <c r="F6" s="36">
        <f>IF(E6="REVISAR","Ajusta hitos en 04B_HITOS","")</f>
        <v/>
      </c>
    </row>
    <row r="7">
      <c r="A7" s="36" t="inlineStr">
        <is>
          <t>PRJ-004</t>
        </is>
      </c>
      <c r="B7" s="36">
        <f>VLOOKUP(A7,04_PROYECTOS!$A:$N,2,FALSE)</f>
        <v/>
      </c>
      <c r="C7" s="36">
        <f>VLOOKUP(A7,04_PROYECTOS!$A:$N,4,FALSE)</f>
        <v/>
      </c>
      <c r="D7" s="55">
        <f>SUMIFS(04B_HITOS!$D$4:$D$500,04B_HITOS!$A$4:$A$500,A7)</f>
        <v/>
      </c>
      <c r="E7" s="26">
        <f>IF(ABS(D7-1)&lt;0.0001,"OK","REVISAR")</f>
        <v/>
      </c>
      <c r="F7" s="36">
        <f>IF(E7="REVISAR","Ajusta hitos en 04B_HITOS","")</f>
        <v/>
      </c>
    </row>
    <row r="8">
      <c r="A8" s="36" t="inlineStr">
        <is>
          <t>PRJ-005</t>
        </is>
      </c>
      <c r="B8" s="36">
        <f>VLOOKUP(A8,04_PROYECTOS!$A:$N,2,FALSE)</f>
        <v/>
      </c>
      <c r="C8" s="36">
        <f>VLOOKUP(A8,04_PROYECTOS!$A:$N,4,FALSE)</f>
        <v/>
      </c>
      <c r="D8" s="55">
        <f>SUMIFS(04B_HITOS!$D$4:$D$500,04B_HITOS!$A$4:$A$500,A8)</f>
        <v/>
      </c>
      <c r="E8" s="26">
        <f>IF(ABS(D8-1)&lt;0.0001,"OK","REVISAR")</f>
        <v/>
      </c>
      <c r="F8" s="36">
        <f>IF(E8="REVISAR","Ajusta hitos en 04B_HITOS","")</f>
        <v/>
      </c>
    </row>
    <row r="9">
      <c r="A9" s="36" t="inlineStr">
        <is>
          <t>PRJ-006</t>
        </is>
      </c>
      <c r="B9" s="36">
        <f>VLOOKUP(A9,04_PROYECTOS!$A:$N,2,FALSE)</f>
        <v/>
      </c>
      <c r="C9" s="36">
        <f>VLOOKUP(A9,04_PROYECTOS!$A:$N,4,FALSE)</f>
        <v/>
      </c>
      <c r="D9" s="55">
        <f>SUMIFS(04B_HITOS!$D$4:$D$500,04B_HITOS!$A$4:$A$500,A9)</f>
        <v/>
      </c>
      <c r="E9" s="26">
        <f>IF(ABS(D9-1)&lt;0.0001,"OK","REVISAR")</f>
        <v/>
      </c>
      <c r="F9" s="36">
        <f>IF(E9="REVISAR","Ajusta hitos en 04B_HITOS","")</f>
        <v/>
      </c>
    </row>
    <row r="10">
      <c r="A10" s="36" t="inlineStr">
        <is>
          <t>PRJ-007</t>
        </is>
      </c>
      <c r="B10" s="36">
        <f>VLOOKUP(A10,04_PROYECTOS!$A:$N,2,FALSE)</f>
        <v/>
      </c>
      <c r="C10" s="36">
        <f>VLOOKUP(A10,04_PROYECTOS!$A:$N,4,FALSE)</f>
        <v/>
      </c>
      <c r="D10" s="55">
        <f>SUMIFS(04B_HITOS!$D$4:$D$500,04B_HITOS!$A$4:$A$500,A10)</f>
        <v/>
      </c>
      <c r="E10" s="26">
        <f>IF(ABS(D10-1)&lt;0.0001,"OK","REVISAR")</f>
        <v/>
      </c>
      <c r="F10" s="36">
        <f>IF(E10="REVISAR","Ajusta hitos en 04B_HITOS","")</f>
        <v/>
      </c>
    </row>
    <row r="11">
      <c r="A11" s="36" t="inlineStr">
        <is>
          <t>PRJ-008</t>
        </is>
      </c>
      <c r="B11" s="36">
        <f>VLOOKUP(A11,04_PROYECTOS!$A:$N,2,FALSE)</f>
        <v/>
      </c>
      <c r="C11" s="36">
        <f>VLOOKUP(A11,04_PROYECTOS!$A:$N,4,FALSE)</f>
        <v/>
      </c>
      <c r="D11" s="55">
        <f>SUMIFS(04B_HITOS!$D$4:$D$500,04B_HITOS!$A$4:$A$500,A11)</f>
        <v/>
      </c>
      <c r="E11" s="26">
        <f>IF(ABS(D11-1)&lt;0.0001,"OK","REVISAR")</f>
        <v/>
      </c>
      <c r="F11" s="36">
        <f>IF(E11="REVISAR","Ajusta hitos en 04B_HITOS","")</f>
        <v/>
      </c>
    </row>
    <row r="12">
      <c r="A12" s="36" t="inlineStr">
        <is>
          <t>PRJ-009</t>
        </is>
      </c>
      <c r="B12" s="36">
        <f>VLOOKUP(A12,04_PROYECTOS!$A:$N,2,FALSE)</f>
        <v/>
      </c>
      <c r="C12" s="36">
        <f>VLOOKUP(A12,04_PROYECTOS!$A:$N,4,FALSE)</f>
        <v/>
      </c>
      <c r="D12" s="55">
        <f>SUMIFS(04B_HITOS!$D$4:$D$500,04B_HITOS!$A$4:$A$500,A12)</f>
        <v/>
      </c>
      <c r="E12" s="26">
        <f>IF(ABS(D12-1)&lt;0.0001,"OK","REVISAR")</f>
        <v/>
      </c>
      <c r="F12" s="36">
        <f>IF(E12="REVISAR","Ajusta hitos en 04B_HITOS","")</f>
        <v/>
      </c>
    </row>
    <row r="13">
      <c r="A13" s="36" t="inlineStr">
        <is>
          <t>PRJ-010</t>
        </is>
      </c>
      <c r="B13" s="36">
        <f>VLOOKUP(A13,04_PROYECTOS!$A:$N,2,FALSE)</f>
        <v/>
      </c>
      <c r="C13" s="36">
        <f>VLOOKUP(A13,04_PROYECTOS!$A:$N,4,FALSE)</f>
        <v/>
      </c>
      <c r="D13" s="55">
        <f>SUMIFS(04B_HITOS!$D$4:$D$500,04B_HITOS!$A$4:$A$500,A13)</f>
        <v/>
      </c>
      <c r="E13" s="26">
        <f>IF(ABS(D13-1)&lt;0.0001,"OK","REVISAR")</f>
        <v/>
      </c>
      <c r="F13" s="36">
        <f>IF(E13="REVISAR","Ajusta hitos en 04B_HITOS","")</f>
        <v/>
      </c>
    </row>
    <row r="14">
      <c r="A14" s="36" t="inlineStr">
        <is>
          <t>PRJ-011</t>
        </is>
      </c>
      <c r="B14" s="36">
        <f>VLOOKUP(A14,04_PROYECTOS!$A:$N,2,FALSE)</f>
        <v/>
      </c>
      <c r="C14" s="36">
        <f>VLOOKUP(A14,04_PROYECTOS!$A:$N,4,FALSE)</f>
        <v/>
      </c>
      <c r="D14" s="55">
        <f>SUMIFS(04B_HITOS!$D$4:$D$500,04B_HITOS!$A$4:$A$500,A14)</f>
        <v/>
      </c>
      <c r="E14" s="26">
        <f>IF(ABS(D14-1)&lt;0.0001,"OK","REVISAR")</f>
        <v/>
      </c>
      <c r="F14" s="36">
        <f>IF(E14="REVISAR","Ajusta hitos en 04B_HITOS","")</f>
        <v/>
      </c>
    </row>
    <row r="15">
      <c r="A15" s="36" t="inlineStr">
        <is>
          <t>PRJ-012</t>
        </is>
      </c>
      <c r="B15" s="36">
        <f>VLOOKUP(A15,04_PROYECTOS!$A:$N,2,FALSE)</f>
        <v/>
      </c>
      <c r="C15" s="36">
        <f>VLOOKUP(A15,04_PROYECTOS!$A:$N,4,FALSE)</f>
        <v/>
      </c>
      <c r="D15" s="55">
        <f>SUMIFS(04B_HITOS!$D$4:$D$500,04B_HITOS!$A$4:$A$500,A15)</f>
        <v/>
      </c>
      <c r="E15" s="26">
        <f>IF(ABS(D15-1)&lt;0.0001,"OK","REVISAR")</f>
        <v/>
      </c>
      <c r="F15" s="36">
        <f>IF(E15="REVISAR","Ajusta hitos en 04B_HITOS","")</f>
        <v/>
      </c>
    </row>
    <row r="16">
      <c r="A16" s="36" t="inlineStr">
        <is>
          <t>PRJ-013</t>
        </is>
      </c>
      <c r="B16" s="36">
        <f>VLOOKUP(A16,04_PROYECTOS!$A:$N,2,FALSE)</f>
        <v/>
      </c>
      <c r="C16" s="36">
        <f>VLOOKUP(A16,04_PROYECTOS!$A:$N,4,FALSE)</f>
        <v/>
      </c>
      <c r="D16" s="55">
        <f>SUMIFS(04B_HITOS!$D$4:$D$500,04B_HITOS!$A$4:$A$500,A16)</f>
        <v/>
      </c>
      <c r="E16" s="26">
        <f>IF(ABS(D16-1)&lt;0.0001,"OK","REVISAR")</f>
        <v/>
      </c>
      <c r="F16" s="36">
        <f>IF(E16="REVISAR","Ajusta hitos en 04B_HITOS","")</f>
        <v/>
      </c>
    </row>
    <row r="17">
      <c r="A17" s="36" t="inlineStr">
        <is>
          <t>PRJ-014</t>
        </is>
      </c>
      <c r="B17" s="36">
        <f>VLOOKUP(A17,04_PROYECTOS!$A:$N,2,FALSE)</f>
        <v/>
      </c>
      <c r="C17" s="36">
        <f>VLOOKUP(A17,04_PROYECTOS!$A:$N,4,FALSE)</f>
        <v/>
      </c>
      <c r="D17" s="55">
        <f>SUMIFS(04B_HITOS!$D$4:$D$500,04B_HITOS!$A$4:$A$500,A17)</f>
        <v/>
      </c>
      <c r="E17" s="26">
        <f>IF(ABS(D17-1)&lt;0.0001,"OK","REVISAR")</f>
        <v/>
      </c>
      <c r="F17" s="36">
        <f>IF(E17="REVISAR","Ajusta hitos en 04B_HITOS","")</f>
        <v/>
      </c>
    </row>
    <row r="18">
      <c r="A18" s="36" t="inlineStr">
        <is>
          <t>PRJ-015</t>
        </is>
      </c>
      <c r="B18" s="36">
        <f>VLOOKUP(A18,04_PROYECTOS!$A:$N,2,FALSE)</f>
        <v/>
      </c>
      <c r="C18" s="36">
        <f>VLOOKUP(A18,04_PROYECTOS!$A:$N,4,FALSE)</f>
        <v/>
      </c>
      <c r="D18" s="55">
        <f>SUMIFS(04B_HITOS!$D$4:$D$500,04B_HITOS!$A$4:$A$500,A18)</f>
        <v/>
      </c>
      <c r="E18" s="26">
        <f>IF(ABS(D18-1)&lt;0.0001,"OK","REVISAR")</f>
        <v/>
      </c>
      <c r="F18" s="36">
        <f>IF(E18="REVISAR","Ajusta hitos en 04B_HITOS","")</f>
        <v/>
      </c>
    </row>
    <row r="19">
      <c r="A19" s="36" t="inlineStr">
        <is>
          <t>PRJ-016</t>
        </is>
      </c>
      <c r="B19" s="36">
        <f>VLOOKUP(A19,04_PROYECTOS!$A:$N,2,FALSE)</f>
        <v/>
      </c>
      <c r="C19" s="36">
        <f>VLOOKUP(A19,04_PROYECTOS!$A:$N,4,FALSE)</f>
        <v/>
      </c>
      <c r="D19" s="55">
        <f>SUMIFS(04B_HITOS!$D$4:$D$500,04B_HITOS!$A$4:$A$500,A19)</f>
        <v/>
      </c>
      <c r="E19" s="26">
        <f>IF(ABS(D19-1)&lt;0.0001,"OK","REVISAR")</f>
        <v/>
      </c>
      <c r="F19" s="36">
        <f>IF(E19="REVISAR","Ajusta hitos en 04B_HITOS","")</f>
        <v/>
      </c>
    </row>
    <row r="20">
      <c r="A20" s="36" t="inlineStr">
        <is>
          <t>PRJ-017</t>
        </is>
      </c>
      <c r="B20" s="36">
        <f>VLOOKUP(A20,04_PROYECTOS!$A:$N,2,FALSE)</f>
        <v/>
      </c>
      <c r="C20" s="36">
        <f>VLOOKUP(A20,04_PROYECTOS!$A:$N,4,FALSE)</f>
        <v/>
      </c>
      <c r="D20" s="55">
        <f>SUMIFS(04B_HITOS!$D$4:$D$500,04B_HITOS!$A$4:$A$500,A20)</f>
        <v/>
      </c>
      <c r="E20" s="26">
        <f>IF(ABS(D20-1)&lt;0.0001,"OK","REVISAR")</f>
        <v/>
      </c>
      <c r="F20" s="36">
        <f>IF(E20="REVISAR","Ajusta hitos en 04B_HITOS","")</f>
        <v/>
      </c>
    </row>
    <row r="21">
      <c r="A21" s="36" t="inlineStr">
        <is>
          <t>PRJ-018</t>
        </is>
      </c>
      <c r="B21" s="36">
        <f>VLOOKUP(A21,04_PROYECTOS!$A:$N,2,FALSE)</f>
        <v/>
      </c>
      <c r="C21" s="36">
        <f>VLOOKUP(A21,04_PROYECTOS!$A:$N,4,FALSE)</f>
        <v/>
      </c>
      <c r="D21" s="55">
        <f>SUMIFS(04B_HITOS!$D$4:$D$500,04B_HITOS!$A$4:$A$500,A21)</f>
        <v/>
      </c>
      <c r="E21" s="26">
        <f>IF(ABS(D21-1)&lt;0.0001,"OK","REVISAR")</f>
        <v/>
      </c>
      <c r="F21" s="36">
        <f>IF(E21="REVISAR","Ajusta hitos en 04B_HITOS","")</f>
        <v/>
      </c>
    </row>
    <row r="22">
      <c r="A22" s="36" t="inlineStr">
        <is>
          <t>PRJ-019</t>
        </is>
      </c>
      <c r="B22" s="36">
        <f>VLOOKUP(A22,04_PROYECTOS!$A:$N,2,FALSE)</f>
        <v/>
      </c>
      <c r="C22" s="36">
        <f>VLOOKUP(A22,04_PROYECTOS!$A:$N,4,FALSE)</f>
        <v/>
      </c>
      <c r="D22" s="55">
        <f>SUMIFS(04B_HITOS!$D$4:$D$500,04B_HITOS!$A$4:$A$500,A22)</f>
        <v/>
      </c>
      <c r="E22" s="26">
        <f>IF(ABS(D22-1)&lt;0.0001,"OK","REVISAR")</f>
        <v/>
      </c>
      <c r="F22" s="36">
        <f>IF(E22="REVISAR","Ajusta hitos en 04B_HITOS","")</f>
        <v/>
      </c>
    </row>
    <row r="23">
      <c r="A23" s="36" t="inlineStr">
        <is>
          <t>PRJ-020</t>
        </is>
      </c>
      <c r="B23" s="36">
        <f>VLOOKUP(A23,04_PROYECTOS!$A:$N,2,FALSE)</f>
        <v/>
      </c>
      <c r="C23" s="36">
        <f>VLOOKUP(A23,04_PROYECTOS!$A:$N,4,FALSE)</f>
        <v/>
      </c>
      <c r="D23" s="55">
        <f>SUMIFS(04B_HITOS!$D$4:$D$500,04B_HITOS!$A$4:$A$500,A23)</f>
        <v/>
      </c>
      <c r="E23" s="26">
        <f>IF(ABS(D23-1)&lt;0.0001,"OK","REVISAR")</f>
        <v/>
      </c>
      <c r="F23" s="36">
        <f>IF(E23="REVISAR","Ajusta hitos en 04B_HITOS","")</f>
        <v/>
      </c>
    </row>
    <row r="24">
      <c r="A24" s="36" t="inlineStr">
        <is>
          <t>PRJ-021</t>
        </is>
      </c>
      <c r="B24" s="36">
        <f>VLOOKUP(A24,04_PROYECTOS!$A:$N,2,FALSE)</f>
        <v/>
      </c>
      <c r="C24" s="36">
        <f>VLOOKUP(A24,04_PROYECTOS!$A:$N,4,FALSE)</f>
        <v/>
      </c>
      <c r="D24" s="55">
        <f>SUMIFS(04B_HITOS!$D$4:$D$500,04B_HITOS!$A$4:$A$500,A24)</f>
        <v/>
      </c>
      <c r="E24" s="26">
        <f>IF(ABS(D24-1)&lt;0.0001,"OK","REVISAR")</f>
        <v/>
      </c>
      <c r="F24" s="36">
        <f>IF(E24="REVISAR","Ajusta hitos en 04B_HITOS","")</f>
        <v/>
      </c>
    </row>
    <row r="25">
      <c r="A25" s="36" t="inlineStr">
        <is>
          <t>PRJ-022</t>
        </is>
      </c>
      <c r="B25" s="36">
        <f>VLOOKUP(A25,04_PROYECTOS!$A:$N,2,FALSE)</f>
        <v/>
      </c>
      <c r="C25" s="36">
        <f>VLOOKUP(A25,04_PROYECTOS!$A:$N,4,FALSE)</f>
        <v/>
      </c>
      <c r="D25" s="55">
        <f>SUMIFS(04B_HITOS!$D$4:$D$500,04B_HITOS!$A$4:$A$500,A25)</f>
        <v/>
      </c>
      <c r="E25" s="26">
        <f>IF(ABS(D25-1)&lt;0.0001,"OK","REVISAR")</f>
        <v/>
      </c>
      <c r="F25" s="36">
        <f>IF(E25="REVISAR","Ajusta hitos en 04B_HITOS","")</f>
        <v/>
      </c>
    </row>
    <row r="26">
      <c r="A26" s="36" t="inlineStr">
        <is>
          <t>PRJ-023</t>
        </is>
      </c>
      <c r="B26" s="36">
        <f>VLOOKUP(A26,04_PROYECTOS!$A:$N,2,FALSE)</f>
        <v/>
      </c>
      <c r="C26" s="36">
        <f>VLOOKUP(A26,04_PROYECTOS!$A:$N,4,FALSE)</f>
        <v/>
      </c>
      <c r="D26" s="55">
        <f>SUMIFS(04B_HITOS!$D$4:$D$500,04B_HITOS!$A$4:$A$500,A26)</f>
        <v/>
      </c>
      <c r="E26" s="26">
        <f>IF(ABS(D26-1)&lt;0.0001,"OK","REVISAR")</f>
        <v/>
      </c>
      <c r="F26" s="36">
        <f>IF(E26="REVISAR","Ajusta hitos en 04B_HITOS","")</f>
        <v/>
      </c>
    </row>
    <row r="27">
      <c r="A27" s="36" t="inlineStr">
        <is>
          <t>PRJ-024</t>
        </is>
      </c>
      <c r="B27" s="36">
        <f>VLOOKUP(A27,04_PROYECTOS!$A:$N,2,FALSE)</f>
        <v/>
      </c>
      <c r="C27" s="36">
        <f>VLOOKUP(A27,04_PROYECTOS!$A:$N,4,FALSE)</f>
        <v/>
      </c>
      <c r="D27" s="55">
        <f>SUMIFS(04B_HITOS!$D$4:$D$500,04B_HITOS!$A$4:$A$500,A27)</f>
        <v/>
      </c>
      <c r="E27" s="26">
        <f>IF(ABS(D27-1)&lt;0.0001,"OK","REVISAR")</f>
        <v/>
      </c>
      <c r="F27" s="36">
        <f>IF(E27="REVISAR","Ajusta hitos en 04B_HITOS","")</f>
        <v/>
      </c>
    </row>
    <row r="28">
      <c r="A28" s="36" t="inlineStr">
        <is>
          <t>PRJ-025</t>
        </is>
      </c>
      <c r="B28" s="36">
        <f>VLOOKUP(A28,04_PROYECTOS!$A:$N,2,FALSE)</f>
        <v/>
      </c>
      <c r="C28" s="36">
        <f>VLOOKUP(A28,04_PROYECTOS!$A:$N,4,FALSE)</f>
        <v/>
      </c>
      <c r="D28" s="55">
        <f>SUMIFS(04B_HITOS!$D$4:$D$500,04B_HITOS!$A$4:$A$500,A28)</f>
        <v/>
      </c>
      <c r="E28" s="26">
        <f>IF(ABS(D28-1)&lt;0.0001,"OK","REVISAR")</f>
        <v/>
      </c>
      <c r="F28" s="36">
        <f>IF(E28="REVISAR","Ajusta hitos en 04B_HITOS","")</f>
        <v/>
      </c>
    </row>
    <row r="31">
      <c r="A31" s="38" t="inlineStr">
        <is>
          <t>Caja mínima año</t>
        </is>
      </c>
      <c r="B31" s="57">
        <f>MIN(14_FLUJO_CAJA!B13:M13)</f>
        <v/>
      </c>
    </row>
    <row r="32">
      <c r="A32" s="38" t="inlineStr">
        <is>
          <t>Meses con caja negativa</t>
        </is>
      </c>
      <c r="B32" s="41">
        <f>COUNTIF(14_FLUJO_CAJA!B13:M13,"&lt;0")</f>
        <v/>
      </c>
    </row>
    <row r="33">
      <c r="A33" s="38" t="inlineStr">
        <is>
          <t>IVA: Remanente final (dic)</t>
        </is>
      </c>
      <c r="B33" s="57">
        <f>11_IVA_LEDGER!M9</f>
        <v/>
      </c>
    </row>
  </sheetData>
  <mergeCells count="1">
    <mergeCell ref="A1:G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</cols>
  <sheetData>
    <row r="1">
      <c r="A1" s="7" t="inlineStr">
        <is>
          <t>Datos importados (solo referencia) desde PROYECCIÓN 2026.xlsx</t>
        </is>
      </c>
    </row>
    <row r="3">
      <c r="A3" s="8" t="inlineStr">
        <is>
          <t>Concepto (original)</t>
        </is>
      </c>
      <c r="B3" s="31" t="n">
        <v>46053</v>
      </c>
      <c r="C3" s="31" t="n">
        <v>46081</v>
      </c>
      <c r="D3" s="31" t="n">
        <v>46112</v>
      </c>
      <c r="E3" s="31" t="n">
        <v>46142</v>
      </c>
      <c r="F3" s="31" t="n">
        <v>46173</v>
      </c>
      <c r="G3" s="31" t="n">
        <v>46203</v>
      </c>
      <c r="H3" s="31" t="n">
        <v>46234</v>
      </c>
      <c r="I3" s="31" t="n">
        <v>46265</v>
      </c>
      <c r="J3" s="31" t="n">
        <v>46295</v>
      </c>
      <c r="K3" s="31" t="n">
        <v>46326</v>
      </c>
      <c r="L3" s="31" t="n">
        <v>46356</v>
      </c>
      <c r="M3" s="31" t="n">
        <v>46387</v>
      </c>
      <c r="N3" s="8" t="inlineStr">
        <is>
          <t>Total_Año</t>
        </is>
      </c>
    </row>
    <row r="4">
      <c r="A4" s="36" t="inlineStr">
        <is>
          <t>Ingresos por proyectos (bruto, original)</t>
        </is>
      </c>
      <c r="B4" s="52" t="n">
        <v>19055012</v>
      </c>
      <c r="C4" s="52" t="n">
        <v>23173119</v>
      </c>
      <c r="D4" s="52" t="n">
        <v>47738397</v>
      </c>
      <c r="E4" s="52" t="n">
        <v>6933905</v>
      </c>
      <c r="F4" s="52" t="n">
        <v>22915002</v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>
        <f>SUM(B4:M4)</f>
        <v/>
      </c>
    </row>
    <row r="5">
      <c r="A5" s="36" t="inlineStr">
        <is>
          <t>Costos operacionales (original)</t>
        </is>
      </c>
      <c r="B5" s="52" t="n">
        <v>-5057017</v>
      </c>
      <c r="C5" s="52" t="n">
        <v>-3026928</v>
      </c>
      <c r="D5" s="52" t="n">
        <v>-1975000</v>
      </c>
      <c r="E5" s="52" t="n">
        <v>-400000</v>
      </c>
      <c r="F5" s="52" t="n">
        <v>-4800000</v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>
        <f>SUM(B5:M5)</f>
        <v/>
      </c>
    </row>
    <row r="6">
      <c r="A6" s="36" t="inlineStr">
        <is>
          <t>Gastos operacionales (original)</t>
        </is>
      </c>
      <c r="B6" s="52" t="n">
        <v>-14398057</v>
      </c>
      <c r="C6" s="52" t="n">
        <v>-11768058</v>
      </c>
      <c r="D6" s="52" t="n">
        <v>-14409585</v>
      </c>
      <c r="E6" s="52" t="n">
        <v>-13068058</v>
      </c>
      <c r="F6" s="52" t="n">
        <v>-12768058</v>
      </c>
      <c r="G6" s="52" t="n">
        <v>-12768058</v>
      </c>
      <c r="H6" s="52" t="n">
        <v>-12768058</v>
      </c>
      <c r="I6" s="52" t="n">
        <v>-12707058</v>
      </c>
      <c r="J6" s="52" t="n">
        <v>-13007058</v>
      </c>
      <c r="K6" s="52" t="n">
        <v>-12707058</v>
      </c>
      <c r="L6" s="52" t="n">
        <v>-12707058</v>
      </c>
      <c r="M6" s="52" t="n">
        <v>-13007058</v>
      </c>
      <c r="N6" s="52">
        <f>SUM(B6:M6)</f>
        <v/>
      </c>
    </row>
    <row r="7">
      <c r="A7" s="36" t="inlineStr">
        <is>
          <t>Ingresos no operacionales (original)</t>
        </is>
      </c>
      <c r="B7" s="52" t="n">
        <v>952532</v>
      </c>
      <c r="C7" s="52" t="n">
        <v>4256774</v>
      </c>
      <c r="D7" s="52" t="n">
        <v>1177530</v>
      </c>
      <c r="E7" s="52" t="n">
        <v>952532</v>
      </c>
      <c r="F7" s="52" t="n">
        <v>952532</v>
      </c>
      <c r="G7" s="52" t="n">
        <v>952532</v>
      </c>
      <c r="H7" s="52" t="n">
        <v>952532</v>
      </c>
      <c r="I7" s="52" t="n">
        <v>952532</v>
      </c>
      <c r="J7" s="52" t="n">
        <v>952532</v>
      </c>
      <c r="K7" s="52" t="n">
        <v>952532</v>
      </c>
      <c r="L7" s="52" t="n">
        <v>952532</v>
      </c>
      <c r="M7" s="52" t="n">
        <v>952532</v>
      </c>
      <c r="N7" s="52">
        <f>SUM(B7:M7)</f>
        <v/>
      </c>
    </row>
    <row r="8">
      <c r="A8" s="36" t="inlineStr">
        <is>
          <t>Gastos no operacionales (original)</t>
        </is>
      </c>
      <c r="B8" s="52" t="n">
        <v>-12360781.387</v>
      </c>
      <c r="C8" s="52" t="n">
        <v>-2841420.681</v>
      </c>
      <c r="D8" s="52" t="n">
        <v>-7776498.832</v>
      </c>
      <c r="E8" s="52" t="n">
        <v>-2492794.3109</v>
      </c>
      <c r="F8" s="52" t="n">
        <v>-2364685.3697</v>
      </c>
      <c r="G8" s="52" t="n">
        <v>-4252038.311000001</v>
      </c>
      <c r="H8" s="52" t="n">
        <v>-1058761</v>
      </c>
      <c r="I8" s="52" t="n">
        <v>-1058761</v>
      </c>
      <c r="J8" s="52" t="n">
        <v>-1058761</v>
      </c>
      <c r="K8" s="52" t="n">
        <v>-1058761</v>
      </c>
      <c r="L8" s="52" t="n">
        <v>-1058761</v>
      </c>
      <c r="M8" s="52" t="n">
        <v>-1058761</v>
      </c>
      <c r="N8" s="52">
        <f>SUM(B8:M8)</f>
        <v/>
      </c>
    </row>
    <row r="9">
      <c r="A9" s="36" t="inlineStr">
        <is>
          <t>IVA (original, referencia)</t>
        </is>
      </c>
      <c r="B9" s="52" t="n">
        <v>-2313161.387</v>
      </c>
      <c r="C9" s="52" t="n">
        <v>-1462600.681</v>
      </c>
      <c r="D9" s="52" t="n">
        <v>-3397678.832</v>
      </c>
      <c r="E9" s="52" t="n">
        <v>-343277.3109</v>
      </c>
      <c r="F9" s="52" t="n">
        <v>-605924.3697</v>
      </c>
      <c r="G9" s="52" t="n">
        <v>-3193277.311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>
        <f>SUM(B9:M9)</f>
        <v/>
      </c>
    </row>
  </sheetData>
  <mergeCells count="1">
    <mergeCell ref="A1:N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00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4" customWidth="1" min="4" max="4"/>
    <col width="16" customWidth="1" min="5" max="5"/>
    <col width="14" customWidth="1" min="6" max="6"/>
    <col width="16" customWidth="1" min="7" max="7"/>
    <col width="10" customWidth="1" min="8" max="8"/>
    <col width="10" customWidth="1" min="9" max="9"/>
    <col width="12" customWidth="1" min="10" max="10"/>
    <col width="16" customWidth="1" min="11" max="11"/>
    <col width="28" customWidth="1" min="12" max="12"/>
    <col width="24" customWidth="1" min="13" max="13"/>
  </cols>
  <sheetData>
    <row r="1">
      <c r="A1" s="7" t="inlineStr">
        <is>
          <t>HITOS DE FACTURACIÓN (Inputs) — editable en A:D, L:M</t>
        </is>
      </c>
    </row>
    <row r="3">
      <c r="A3" s="8" t="inlineStr">
        <is>
          <t>Proyecto_ID</t>
        </is>
      </c>
      <c r="B3" s="8" t="inlineStr">
        <is>
          <t>Hito_n</t>
        </is>
      </c>
      <c r="C3" s="8" t="inlineStr">
        <is>
          <t>Mes_facturacion</t>
        </is>
      </c>
      <c r="D3" s="8" t="inlineStr">
        <is>
          <t>Pct_facturacion</t>
        </is>
      </c>
      <c r="E3" s="8" t="inlineStr">
        <is>
          <t>Monto_neto_hito</t>
        </is>
      </c>
      <c r="F3" s="8" t="inlineStr">
        <is>
          <t>IVA_hito</t>
        </is>
      </c>
      <c r="G3" s="8" t="inlineStr">
        <is>
          <t>Monto_bruto_hito</t>
        </is>
      </c>
      <c r="H3" s="8" t="inlineStr">
        <is>
          <t>DSO_dias</t>
        </is>
      </c>
      <c r="I3" s="8" t="inlineStr">
        <is>
          <t>Shift_meses</t>
        </is>
      </c>
      <c r="J3" s="8" t="inlineStr">
        <is>
          <t>Mes_cobro</t>
        </is>
      </c>
      <c r="K3" s="8" t="inlineStr">
        <is>
          <t>Cobro_bruto_hito</t>
        </is>
      </c>
      <c r="L3" s="8" t="inlineStr">
        <is>
          <t>Glosa</t>
        </is>
      </c>
      <c r="M3" s="8" t="inlineStr">
        <is>
          <t>Notas</t>
        </is>
      </c>
    </row>
    <row r="4">
      <c r="A4" s="16" t="inlineStr">
        <is>
          <t>PRJ-001</t>
        </is>
      </c>
      <c r="B4" s="18" t="n">
        <v>1</v>
      </c>
      <c r="C4" s="51" t="n">
        <v>46142</v>
      </c>
      <c r="D4" s="43" t="n">
        <v>0.5</v>
      </c>
      <c r="E4" s="52">
        <f>D4*VLOOKUP(A4,04_PROYECTOS!$A:$N,5,FALSE)*(INDEX(02B_ESCENARIOS!$B$4:$D$11, MATCH("MULT_PRECIO", 02B_ESCENARIOS!$A$4:$A$11, 0), MATCH("Base", 02B_ESCENARIOS!$B$3:$D$3, 0)))*INDEX(02B_ESCENARIOS!$B$15:$D$19, MATCH(VLOOKUP(A4,04_PROYECTOS!$A:$N,9,FALSE), 02B_ESCENARIOS!$A$15:$A$19, 0), MATCH("Base", 02B_ESCENARIOS!$B$14:$D$14, 0))</f>
        <v/>
      </c>
      <c r="F4" s="52">
        <f>E4*VLOOKUP(A4,04_PROYECTOS!$A:$N,6,FALSE)</f>
        <v/>
      </c>
      <c r="G4" s="52">
        <f>E4+F4</f>
        <v/>
      </c>
      <c r="H4" s="19">
        <f>IF(VLOOKUP(A4,04_PROYECTOS!$A:$N,10,FALSE)="", IF(VLOOKUP(A4,04_PROYECTOS!$A:$N,4,FALSE)="Privado", INDEX(02B_ESCENARIOS!$B$4:$D$11, MATCH("DSO_PRIVADO_DEFAULT", 02B_ESCENARIOS!$A$4:$A$11, 0), MATCH("Base", 02B_ESCENARIOS!$B$3:$D$3, 0)), IF(VLOOKUP(A4,04_PROYECTOS!$A:$N,4,FALSE)="Publico_&lt;10M",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VLOOKUP(A4,04_PROYECTOS!$A:$N,10,FALSE))</f>
        <v/>
      </c>
      <c r="I4" s="19">
        <f>ROUNDUP(H4/30,0)</f>
        <v/>
      </c>
      <c r="J4" s="53">
        <f>EDATE(C4,I4)</f>
        <v/>
      </c>
      <c r="K4" s="52">
        <f>G4</f>
        <v/>
      </c>
      <c r="L4" s="16" t="inlineStr">
        <is>
          <t>Inicio 50%</t>
        </is>
      </c>
      <c r="M4" s="16" t="inlineStr"/>
    </row>
    <row r="5">
      <c r="A5" s="16" t="inlineStr">
        <is>
          <t>PRJ-001</t>
        </is>
      </c>
      <c r="B5" s="18" t="n">
        <v>2</v>
      </c>
      <c r="C5" s="51" t="n">
        <v>46142</v>
      </c>
      <c r="D5" s="43" t="n">
        <v>0.5</v>
      </c>
      <c r="E5" s="52">
        <f>D5*VLOOKUP(A5,04_PROYECTOS!$A:$N,5,FALSE)*(INDEX(02B_ESCENARIOS!$B$4:$D$11, MATCH("MULT_PRECIO", 02B_ESCENARIOS!$A$4:$A$11, 0), MATCH("Base", 02B_ESCENARIOS!$B$3:$D$3, 0)))*INDEX(02B_ESCENARIOS!$B$15:$D$19, MATCH(VLOOKUP(A5,04_PROYECTOS!$A:$N,9,FALSE), 02B_ESCENARIOS!$A$15:$A$19, 0), MATCH("Base", 02B_ESCENARIOS!$B$14:$D$14, 0))</f>
        <v/>
      </c>
      <c r="F5" s="52">
        <f>E5*VLOOKUP(A5,04_PROYECTOS!$A:$N,6,FALSE)</f>
        <v/>
      </c>
      <c r="G5" s="52">
        <f>E5+F5</f>
        <v/>
      </c>
      <c r="H5" s="19">
        <f>IF(VLOOKUP(A5,04_PROYECTOS!$A:$N,10,FALSE)="", IF(VLOOKUP(A5,04_PROYECTOS!$A:$N,4,FALSE)="Privado", INDEX(02B_ESCENARIOS!$B$4:$D$11, MATCH("DSO_PRIVADO_DEFAULT", 02B_ESCENARIOS!$A$4:$A$11, 0), MATCH("Base", 02B_ESCENARIOS!$B$3:$D$3, 0)), IF(VLOOKUP(A5,04_PROYECTOS!$A:$N,4,FALSE)="Publico_&lt;10M",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VLOOKUP(A5,04_PROYECTOS!$A:$N,10,FALSE))</f>
        <v/>
      </c>
      <c r="I5" s="19">
        <f>ROUNDUP(H5/30,0)</f>
        <v/>
      </c>
      <c r="J5" s="53">
        <f>EDATE(C5,I5)</f>
        <v/>
      </c>
      <c r="K5" s="52">
        <f>G5</f>
        <v/>
      </c>
      <c r="L5" s="16" t="inlineStr">
        <is>
          <t>Final 50%</t>
        </is>
      </c>
      <c r="M5" s="16" t="inlineStr"/>
    </row>
    <row r="6">
      <c r="A6" s="16" t="inlineStr">
        <is>
          <t>PRJ-002</t>
        </is>
      </c>
      <c r="B6" s="18" t="n">
        <v>1</v>
      </c>
      <c r="C6" s="51" t="n">
        <v>46081</v>
      </c>
      <c r="D6" s="43" t="n">
        <v>0.5</v>
      </c>
      <c r="E6" s="52">
        <f>D6*VLOOKUP(A6,04_PROYECTOS!$A:$N,5,FALSE)*(INDEX(02B_ESCENARIOS!$B$4:$D$11, MATCH("MULT_PRECIO", 02B_ESCENARIOS!$A$4:$A$11, 0), MATCH("Base", 02B_ESCENARIOS!$B$3:$D$3, 0)))*INDEX(02B_ESCENARIOS!$B$15:$D$19, MATCH(VLOOKUP(A6,04_PROYECTOS!$A:$N,9,FALSE), 02B_ESCENARIOS!$A$15:$A$19, 0), MATCH("Base", 02B_ESCENARIOS!$B$14:$D$14, 0))</f>
        <v/>
      </c>
      <c r="F6" s="52">
        <f>E6*VLOOKUP(A6,04_PROYECTOS!$A:$N,6,FALSE)</f>
        <v/>
      </c>
      <c r="G6" s="52">
        <f>E6+F6</f>
        <v/>
      </c>
      <c r="H6" s="19">
        <f>IF(VLOOKUP(A6,04_PROYECTOS!$A:$N,10,FALSE)="", IF(VLOOKUP(A6,04_PROYECTOS!$A:$N,4,FALSE)="Privado", INDEX(02B_ESCENARIOS!$B$4:$D$11, MATCH("DSO_PRIVADO_DEFAULT", 02B_ESCENARIOS!$A$4:$A$11, 0), MATCH("Base", 02B_ESCENARIOS!$B$3:$D$3, 0)), IF(VLOOKUP(A6,04_PROYECTOS!$A:$N,4,FALSE)="Publico_&lt;10M",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VLOOKUP(A6,04_PROYECTOS!$A:$N,10,FALSE))</f>
        <v/>
      </c>
      <c r="I6" s="19">
        <f>ROUNDUP(H6/30,0)</f>
        <v/>
      </c>
      <c r="J6" s="53">
        <f>EDATE(C6,I6)</f>
        <v/>
      </c>
      <c r="K6" s="52">
        <f>G6</f>
        <v/>
      </c>
      <c r="L6" s="16" t="inlineStr">
        <is>
          <t>Inicio 50%</t>
        </is>
      </c>
      <c r="M6" s="16" t="inlineStr"/>
    </row>
    <row r="7">
      <c r="A7" s="16" t="inlineStr">
        <is>
          <t>PRJ-002</t>
        </is>
      </c>
      <c r="B7" s="18" t="n">
        <v>2</v>
      </c>
      <c r="C7" s="51" t="n">
        <v>46081</v>
      </c>
      <c r="D7" s="43" t="n">
        <v>0.5</v>
      </c>
      <c r="E7" s="52">
        <f>D7*VLOOKUP(A7,04_PROYECTOS!$A:$N,5,FALSE)*(INDEX(02B_ESCENARIOS!$B$4:$D$11, MATCH("MULT_PRECIO", 02B_ESCENARIOS!$A$4:$A$11, 0), MATCH("Base", 02B_ESCENARIOS!$B$3:$D$3, 0)))*INDEX(02B_ESCENARIOS!$B$15:$D$19, MATCH(VLOOKUP(A7,04_PROYECTOS!$A:$N,9,FALSE), 02B_ESCENARIOS!$A$15:$A$19, 0), MATCH("Base", 02B_ESCENARIOS!$B$14:$D$14, 0))</f>
        <v/>
      </c>
      <c r="F7" s="52">
        <f>E7*VLOOKUP(A7,04_PROYECTOS!$A:$N,6,FALSE)</f>
        <v/>
      </c>
      <c r="G7" s="52">
        <f>E7+F7</f>
        <v/>
      </c>
      <c r="H7" s="19">
        <f>IF(VLOOKUP(A7,04_PROYECTOS!$A:$N,10,FALSE)="", IF(VLOOKUP(A7,04_PROYECTOS!$A:$N,4,FALSE)="Privado", INDEX(02B_ESCENARIOS!$B$4:$D$11, MATCH("DSO_PRIVADO_DEFAULT", 02B_ESCENARIOS!$A$4:$A$11, 0), MATCH("Base", 02B_ESCENARIOS!$B$3:$D$3, 0)), IF(VLOOKUP(A7,04_PROYECTOS!$A:$N,4,FALSE)="Publico_&lt;10M",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VLOOKUP(A7,04_PROYECTOS!$A:$N,10,FALSE))</f>
        <v/>
      </c>
      <c r="I7" s="19">
        <f>ROUNDUP(H7/30,0)</f>
        <v/>
      </c>
      <c r="J7" s="53">
        <f>EDATE(C7,I7)</f>
        <v/>
      </c>
      <c r="K7" s="52">
        <f>G7</f>
        <v/>
      </c>
      <c r="L7" s="16" t="inlineStr">
        <is>
          <t>Final 50%</t>
        </is>
      </c>
      <c r="M7" s="16" t="inlineStr"/>
    </row>
    <row r="8">
      <c r="A8" s="16" t="inlineStr">
        <is>
          <t>PRJ-003</t>
        </is>
      </c>
      <c r="B8" s="18" t="n">
        <v>1</v>
      </c>
      <c r="C8" s="51" t="n">
        <v>46081</v>
      </c>
      <c r="D8" s="43" t="n">
        <v>0.5</v>
      </c>
      <c r="E8" s="52">
        <f>D8*VLOOKUP(A8,04_PROYECTOS!$A:$N,5,FALSE)*(INDEX(02B_ESCENARIOS!$B$4:$D$11, MATCH("MULT_PRECIO", 02B_ESCENARIOS!$A$4:$A$11, 0), MATCH("Base", 02B_ESCENARIOS!$B$3:$D$3, 0)))*INDEX(02B_ESCENARIOS!$B$15:$D$19, MATCH(VLOOKUP(A8,04_PROYECTOS!$A:$N,9,FALSE), 02B_ESCENARIOS!$A$15:$A$19, 0), MATCH("Base", 02B_ESCENARIOS!$B$14:$D$14, 0))</f>
        <v/>
      </c>
      <c r="F8" s="52">
        <f>E8*VLOOKUP(A8,04_PROYECTOS!$A:$N,6,FALSE)</f>
        <v/>
      </c>
      <c r="G8" s="52">
        <f>E8+F8</f>
        <v/>
      </c>
      <c r="H8" s="19">
        <f>IF(VLOOKUP(A8,04_PROYECTOS!$A:$N,10,FALSE)="", IF(VLOOKUP(A8,04_PROYECTOS!$A:$N,4,FALSE)="Privado", INDEX(02B_ESCENARIOS!$B$4:$D$11, MATCH("DSO_PRIVADO_DEFAULT", 02B_ESCENARIOS!$A$4:$A$11, 0), MATCH("Base", 02B_ESCENARIOS!$B$3:$D$3, 0)), IF(VLOOKUP(A8,04_PROYECTOS!$A:$N,4,FALSE)="Publico_&lt;10M",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VLOOKUP(A8,04_PROYECTOS!$A:$N,10,FALSE))</f>
        <v/>
      </c>
      <c r="I8" s="19">
        <f>ROUNDUP(H8/30,0)</f>
        <v/>
      </c>
      <c r="J8" s="53">
        <f>EDATE(C8,I8)</f>
        <v/>
      </c>
      <c r="K8" s="52">
        <f>G8</f>
        <v/>
      </c>
      <c r="L8" s="16" t="inlineStr">
        <is>
          <t>Inicio 50%</t>
        </is>
      </c>
      <c r="M8" s="16" t="inlineStr"/>
    </row>
    <row r="9">
      <c r="A9" s="16" t="inlineStr">
        <is>
          <t>PRJ-003</t>
        </is>
      </c>
      <c r="B9" s="18" t="n">
        <v>2</v>
      </c>
      <c r="C9" s="51" t="n">
        <v>46081</v>
      </c>
      <c r="D9" s="43" t="n">
        <v>0.5</v>
      </c>
      <c r="E9" s="52">
        <f>D9*VLOOKUP(A9,04_PROYECTOS!$A:$N,5,FALSE)*(INDEX(02B_ESCENARIOS!$B$4:$D$11, MATCH("MULT_PRECIO", 02B_ESCENARIOS!$A$4:$A$11, 0), MATCH("Base", 02B_ESCENARIOS!$B$3:$D$3, 0)))*INDEX(02B_ESCENARIOS!$B$15:$D$19, MATCH(VLOOKUP(A9,04_PROYECTOS!$A:$N,9,FALSE), 02B_ESCENARIOS!$A$15:$A$19, 0), MATCH("Base", 02B_ESCENARIOS!$B$14:$D$14, 0))</f>
        <v/>
      </c>
      <c r="F9" s="52">
        <f>E9*VLOOKUP(A9,04_PROYECTOS!$A:$N,6,FALSE)</f>
        <v/>
      </c>
      <c r="G9" s="52">
        <f>E9+F9</f>
        <v/>
      </c>
      <c r="H9" s="19">
        <f>IF(VLOOKUP(A9,04_PROYECTOS!$A:$N,10,FALSE)="", IF(VLOOKUP(A9,04_PROYECTOS!$A:$N,4,FALSE)="Privado", INDEX(02B_ESCENARIOS!$B$4:$D$11, MATCH("DSO_PRIVADO_DEFAULT", 02B_ESCENARIOS!$A$4:$A$11, 0), MATCH("Base", 02B_ESCENARIOS!$B$3:$D$3, 0)), IF(VLOOKUP(A9,04_PROYECTOS!$A:$N,4,FALSE)="Publico_&lt;10M",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VLOOKUP(A9,04_PROYECTOS!$A:$N,10,FALSE))</f>
        <v/>
      </c>
      <c r="I9" s="19">
        <f>ROUNDUP(H9/30,0)</f>
        <v/>
      </c>
      <c r="J9" s="53">
        <f>EDATE(C9,I9)</f>
        <v/>
      </c>
      <c r="K9" s="52">
        <f>G9</f>
        <v/>
      </c>
      <c r="L9" s="16" t="inlineStr">
        <is>
          <t>Final 50%</t>
        </is>
      </c>
      <c r="M9" s="16" t="inlineStr"/>
    </row>
    <row r="10">
      <c r="A10" s="16" t="inlineStr">
        <is>
          <t>PRJ-004</t>
        </is>
      </c>
      <c r="B10" s="18" t="n">
        <v>1</v>
      </c>
      <c r="C10" s="51" t="n">
        <v>46081</v>
      </c>
      <c r="D10" s="43" t="n">
        <v>0.5</v>
      </c>
      <c r="E10" s="52">
        <f>D10*VLOOKUP(A10,04_PROYECTOS!$A:$N,5,FALSE)*(INDEX(02B_ESCENARIOS!$B$4:$D$11, MATCH("MULT_PRECIO", 02B_ESCENARIOS!$A$4:$A$11, 0), MATCH("Base", 02B_ESCENARIOS!$B$3:$D$3, 0)))*INDEX(02B_ESCENARIOS!$B$15:$D$19, MATCH(VLOOKUP(A10,04_PROYECTOS!$A:$N,9,FALSE), 02B_ESCENARIOS!$A$15:$A$19, 0), MATCH("Base", 02B_ESCENARIOS!$B$14:$D$14, 0))</f>
        <v/>
      </c>
      <c r="F10" s="52">
        <f>E10*VLOOKUP(A10,04_PROYECTOS!$A:$N,6,FALSE)</f>
        <v/>
      </c>
      <c r="G10" s="52">
        <f>E10+F10</f>
        <v/>
      </c>
      <c r="H10" s="19">
        <f>IF(VLOOKUP(A10,04_PROYECTOS!$A:$N,10,FALSE)="", IF(VLOOKUP(A10,04_PROYECTOS!$A:$N,4,FALSE)="Privado", INDEX(02B_ESCENARIOS!$B$4:$D$11, MATCH("DSO_PRIVADO_DEFAULT", 02B_ESCENARIOS!$A$4:$A$11, 0), MATCH("Base", 02B_ESCENARIOS!$B$3:$D$3, 0)), IF(VLOOKUP(A10,04_PROYECTOS!$A:$N,4,FALSE)="Publico_&lt;10M",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VLOOKUP(A10,04_PROYECTOS!$A:$N,10,FALSE))</f>
        <v/>
      </c>
      <c r="I10" s="19">
        <f>ROUNDUP(H10/30,0)</f>
        <v/>
      </c>
      <c r="J10" s="53">
        <f>EDATE(C10,I10)</f>
        <v/>
      </c>
      <c r="K10" s="52">
        <f>G10</f>
        <v/>
      </c>
      <c r="L10" s="16" t="inlineStr">
        <is>
          <t>Inicio 50%</t>
        </is>
      </c>
      <c r="M10" s="16" t="inlineStr"/>
    </row>
    <row r="11">
      <c r="A11" s="16" t="inlineStr">
        <is>
          <t>PRJ-004</t>
        </is>
      </c>
      <c r="B11" s="18" t="n">
        <v>2</v>
      </c>
      <c r="C11" s="51" t="n">
        <v>46142</v>
      </c>
      <c r="D11" s="43" t="n">
        <v>0.5</v>
      </c>
      <c r="E11" s="52">
        <f>D11*VLOOKUP(A11,04_PROYECTOS!$A:$N,5,FALSE)*(INDEX(02B_ESCENARIOS!$B$4:$D$11, MATCH("MULT_PRECIO", 02B_ESCENARIOS!$A$4:$A$11, 0), MATCH("Base", 02B_ESCENARIOS!$B$3:$D$3, 0)))*INDEX(02B_ESCENARIOS!$B$15:$D$19, MATCH(VLOOKUP(A11,04_PROYECTOS!$A:$N,9,FALSE), 02B_ESCENARIOS!$A$15:$A$19, 0), MATCH("Base", 02B_ESCENARIOS!$B$14:$D$14, 0))</f>
        <v/>
      </c>
      <c r="F11" s="52">
        <f>E11*VLOOKUP(A11,04_PROYECTOS!$A:$N,6,FALSE)</f>
        <v/>
      </c>
      <c r="G11" s="52">
        <f>E11+F11</f>
        <v/>
      </c>
      <c r="H11" s="19">
        <f>IF(VLOOKUP(A11,04_PROYECTOS!$A:$N,10,FALSE)="", IF(VLOOKUP(A11,04_PROYECTOS!$A:$N,4,FALSE)="Privado", INDEX(02B_ESCENARIOS!$B$4:$D$11, MATCH("DSO_PRIVADO_DEFAULT", 02B_ESCENARIOS!$A$4:$A$11, 0), MATCH("Base", 02B_ESCENARIOS!$B$3:$D$3, 0)), IF(VLOOKUP(A11,04_PROYECTOS!$A:$N,4,FALSE)="Publico_&lt;10M",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VLOOKUP(A11,04_PROYECTOS!$A:$N,10,FALSE))</f>
        <v/>
      </c>
      <c r="I11" s="19">
        <f>ROUNDUP(H11/30,0)</f>
        <v/>
      </c>
      <c r="J11" s="53">
        <f>EDATE(C11,I11)</f>
        <v/>
      </c>
      <c r="K11" s="52">
        <f>G11</f>
        <v/>
      </c>
      <c r="L11" s="16" t="inlineStr">
        <is>
          <t>Final 50%</t>
        </is>
      </c>
      <c r="M11" s="16" t="inlineStr"/>
    </row>
    <row r="12">
      <c r="A12" s="16" t="inlineStr">
        <is>
          <t>PRJ-005</t>
        </is>
      </c>
      <c r="B12" s="18" t="n">
        <v>1</v>
      </c>
      <c r="C12" s="51" t="n">
        <v>46081</v>
      </c>
      <c r="D12" s="43" t="n">
        <v>0.5</v>
      </c>
      <c r="E12" s="52">
        <f>D12*VLOOKUP(A12,04_PROYECTOS!$A:$N,5,FALSE)*(INDEX(02B_ESCENARIOS!$B$4:$D$11, MATCH("MULT_PRECIO", 02B_ESCENARIOS!$A$4:$A$11, 0), MATCH("Base", 02B_ESCENARIOS!$B$3:$D$3, 0)))*INDEX(02B_ESCENARIOS!$B$15:$D$19, MATCH(VLOOKUP(A12,04_PROYECTOS!$A:$N,9,FALSE), 02B_ESCENARIOS!$A$15:$A$19, 0), MATCH("Base", 02B_ESCENARIOS!$B$14:$D$14, 0))</f>
        <v/>
      </c>
      <c r="F12" s="52">
        <f>E12*VLOOKUP(A12,04_PROYECTOS!$A:$N,6,FALSE)</f>
        <v/>
      </c>
      <c r="G12" s="52">
        <f>E12+F12</f>
        <v/>
      </c>
      <c r="H12" s="19">
        <f>IF(VLOOKUP(A12,04_PROYECTOS!$A:$N,10,FALSE)="", IF(VLOOKUP(A12,04_PROYECTOS!$A:$N,4,FALSE)="Privado", INDEX(02B_ESCENARIOS!$B$4:$D$11, MATCH("DSO_PRIVADO_DEFAULT", 02B_ESCENARIOS!$A$4:$A$11, 0), MATCH("Base", 02B_ESCENARIOS!$B$3:$D$3, 0)), IF(VLOOKUP(A12,04_PROYECTOS!$A:$N,4,FALSE)="Publico_&lt;10M",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VLOOKUP(A12,04_PROYECTOS!$A:$N,10,FALSE))</f>
        <v/>
      </c>
      <c r="I12" s="19">
        <f>ROUNDUP(H12/30,0)</f>
        <v/>
      </c>
      <c r="J12" s="53">
        <f>EDATE(C12,I12)</f>
        <v/>
      </c>
      <c r="K12" s="52">
        <f>G12</f>
        <v/>
      </c>
      <c r="L12" s="16" t="inlineStr">
        <is>
          <t>Inicio 50%</t>
        </is>
      </c>
      <c r="M12" s="16" t="inlineStr"/>
    </row>
    <row r="13">
      <c r="A13" s="16" t="inlineStr">
        <is>
          <t>PRJ-005</t>
        </is>
      </c>
      <c r="B13" s="18" t="n">
        <v>2</v>
      </c>
      <c r="C13" s="51" t="n">
        <v>46081</v>
      </c>
      <c r="D13" s="43" t="n">
        <v>0.5</v>
      </c>
      <c r="E13" s="52">
        <f>D13*VLOOKUP(A13,04_PROYECTOS!$A:$N,5,FALSE)*(INDEX(02B_ESCENARIOS!$B$4:$D$11, MATCH("MULT_PRECIO", 02B_ESCENARIOS!$A$4:$A$11, 0), MATCH("Base", 02B_ESCENARIOS!$B$3:$D$3, 0)))*INDEX(02B_ESCENARIOS!$B$15:$D$19, MATCH(VLOOKUP(A13,04_PROYECTOS!$A:$N,9,FALSE), 02B_ESCENARIOS!$A$15:$A$19, 0), MATCH("Base", 02B_ESCENARIOS!$B$14:$D$14, 0))</f>
        <v/>
      </c>
      <c r="F13" s="52">
        <f>E13*VLOOKUP(A13,04_PROYECTOS!$A:$N,6,FALSE)</f>
        <v/>
      </c>
      <c r="G13" s="52">
        <f>E13+F13</f>
        <v/>
      </c>
      <c r="H13" s="19">
        <f>IF(VLOOKUP(A13,04_PROYECTOS!$A:$N,10,FALSE)="", IF(VLOOKUP(A13,04_PROYECTOS!$A:$N,4,FALSE)="Privado", INDEX(02B_ESCENARIOS!$B$4:$D$11, MATCH("DSO_PRIVADO_DEFAULT", 02B_ESCENARIOS!$A$4:$A$11, 0), MATCH("Base", 02B_ESCENARIOS!$B$3:$D$3, 0)), IF(VLOOKUP(A13,04_PROYECTOS!$A:$N,4,FALSE)="Publico_&lt;10M",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VLOOKUP(A13,04_PROYECTOS!$A:$N,10,FALSE))</f>
        <v/>
      </c>
      <c r="I13" s="19">
        <f>ROUNDUP(H13/30,0)</f>
        <v/>
      </c>
      <c r="J13" s="53">
        <f>EDATE(C13,I13)</f>
        <v/>
      </c>
      <c r="K13" s="52">
        <f>G13</f>
        <v/>
      </c>
      <c r="L13" s="16" t="inlineStr">
        <is>
          <t>Final 50%</t>
        </is>
      </c>
      <c r="M13" s="16" t="inlineStr"/>
    </row>
    <row r="14">
      <c r="A14" s="16" t="inlineStr">
        <is>
          <t>PRJ-006</t>
        </is>
      </c>
      <c r="B14" s="18" t="n">
        <v>1</v>
      </c>
      <c r="C14" s="51" t="n">
        <v>46081</v>
      </c>
      <c r="D14" s="43" t="n">
        <v>1</v>
      </c>
      <c r="E14" s="52">
        <f>D14*VLOOKUP(A14,04_PROYECTOS!$A:$N,5,FALSE)*(INDEX(02B_ESCENARIOS!$B$4:$D$11, MATCH("MULT_PRECIO", 02B_ESCENARIOS!$A$4:$A$11, 0), MATCH("Base", 02B_ESCENARIOS!$B$3:$D$3, 0)))*INDEX(02B_ESCENARIOS!$B$15:$D$19, MATCH(VLOOKUP(A14,04_PROYECTOS!$A:$N,9,FALSE), 02B_ESCENARIOS!$A$15:$A$19, 0), MATCH("Base", 02B_ESCENARIOS!$B$14:$D$14, 0))</f>
        <v/>
      </c>
      <c r="F14" s="52">
        <f>E14*VLOOKUP(A14,04_PROYECTOS!$A:$N,6,FALSE)</f>
        <v/>
      </c>
      <c r="G14" s="52">
        <f>E14+F14</f>
        <v/>
      </c>
      <c r="H14" s="19">
        <f>IF(VLOOKUP(A14,04_PROYECTOS!$A:$N,10,FALSE)="", IF(VLOOKUP(A14,04_PROYECTOS!$A:$N,4,FALSE)="Privado", INDEX(02B_ESCENARIOS!$B$4:$D$11, MATCH("DSO_PRIVADO_DEFAULT", 02B_ESCENARIOS!$A$4:$A$11, 0), MATCH("Base", 02B_ESCENARIOS!$B$3:$D$3, 0)), IF(VLOOKUP(A14,04_PROYECTOS!$A:$N,4,FALSE)="Publico_&lt;10M",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VLOOKUP(A14,04_PROYECTOS!$A:$N,10,FALSE))</f>
        <v/>
      </c>
      <c r="I14" s="19">
        <f>ROUNDUP(H14/30,0)</f>
        <v/>
      </c>
      <c r="J14" s="53">
        <f>EDATE(C14,I14)</f>
        <v/>
      </c>
      <c r="K14" s="52">
        <f>G14</f>
        <v/>
      </c>
      <c r="L14" s="16" t="inlineStr">
        <is>
          <t>Pago final público &lt;10M</t>
        </is>
      </c>
      <c r="M14" s="16" t="inlineStr"/>
    </row>
    <row r="15">
      <c r="A15" s="16" t="inlineStr">
        <is>
          <t>PRJ-007</t>
        </is>
      </c>
      <c r="B15" s="18" t="n">
        <v>1</v>
      </c>
      <c r="C15" s="51" t="n">
        <v>46112</v>
      </c>
      <c r="D15" s="43" t="n">
        <v>0.5</v>
      </c>
      <c r="E15" s="52">
        <f>D15*VLOOKUP(A15,04_PROYECTOS!$A:$N,5,FALSE)*(INDEX(02B_ESCENARIOS!$B$4:$D$11, MATCH("MULT_PRECIO", 02B_ESCENARIOS!$A$4:$A$11, 0), MATCH("Base", 02B_ESCENARIOS!$B$3:$D$3, 0)))*INDEX(02B_ESCENARIOS!$B$15:$D$19, MATCH(VLOOKUP(A15,04_PROYECTOS!$A:$N,9,FALSE), 02B_ESCENARIOS!$A$15:$A$19, 0), MATCH("Base", 02B_ESCENARIOS!$B$14:$D$14, 0))</f>
        <v/>
      </c>
      <c r="F15" s="52">
        <f>E15*VLOOKUP(A15,04_PROYECTOS!$A:$N,6,FALSE)</f>
        <v/>
      </c>
      <c r="G15" s="52">
        <f>E15+F15</f>
        <v/>
      </c>
      <c r="H15" s="19">
        <f>IF(VLOOKUP(A15,04_PROYECTOS!$A:$N,10,FALSE)="", IF(VLOOKUP(A15,04_PROYECTOS!$A:$N,4,FALSE)="Privado", INDEX(02B_ESCENARIOS!$B$4:$D$11, MATCH("DSO_PRIVADO_DEFAULT", 02B_ESCENARIOS!$A$4:$A$11, 0), MATCH("Base", 02B_ESCENARIOS!$B$3:$D$3, 0)), IF(VLOOKUP(A15,04_PROYECTOS!$A:$N,4,FALSE)="Publico_&lt;10M",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VLOOKUP(A15,04_PROYECTOS!$A:$N,10,FALSE))</f>
        <v/>
      </c>
      <c r="I15" s="19">
        <f>ROUNDUP(H15/30,0)</f>
        <v/>
      </c>
      <c r="J15" s="53">
        <f>EDATE(C15,I15)</f>
        <v/>
      </c>
      <c r="K15" s="52">
        <f>G15</f>
        <v/>
      </c>
      <c r="L15" s="16" t="inlineStr">
        <is>
          <t>Inicio 50%</t>
        </is>
      </c>
      <c r="M15" s="16" t="inlineStr"/>
    </row>
    <row r="16">
      <c r="A16" s="16" t="inlineStr">
        <is>
          <t>PRJ-007</t>
        </is>
      </c>
      <c r="B16" s="18" t="n">
        <v>2</v>
      </c>
      <c r="C16" s="51" t="n">
        <v>46112</v>
      </c>
      <c r="D16" s="43" t="n">
        <v>0.5</v>
      </c>
      <c r="E16" s="52">
        <f>D16*VLOOKUP(A16,04_PROYECTOS!$A:$N,5,FALSE)*(INDEX(02B_ESCENARIOS!$B$4:$D$11, MATCH("MULT_PRECIO", 02B_ESCENARIOS!$A$4:$A$11, 0), MATCH("Base", 02B_ESCENARIOS!$B$3:$D$3, 0)))*INDEX(02B_ESCENARIOS!$B$15:$D$19, MATCH(VLOOKUP(A16,04_PROYECTOS!$A:$N,9,FALSE), 02B_ESCENARIOS!$A$15:$A$19, 0), MATCH("Base", 02B_ESCENARIOS!$B$14:$D$14, 0))</f>
        <v/>
      </c>
      <c r="F16" s="52">
        <f>E16*VLOOKUP(A16,04_PROYECTOS!$A:$N,6,FALSE)</f>
        <v/>
      </c>
      <c r="G16" s="52">
        <f>E16+F16</f>
        <v/>
      </c>
      <c r="H16" s="19">
        <f>IF(VLOOKUP(A16,04_PROYECTOS!$A:$N,10,FALSE)="", IF(VLOOKUP(A16,04_PROYECTOS!$A:$N,4,FALSE)="Privado", INDEX(02B_ESCENARIOS!$B$4:$D$11, MATCH("DSO_PRIVADO_DEFAULT", 02B_ESCENARIOS!$A$4:$A$11, 0), MATCH("Base", 02B_ESCENARIOS!$B$3:$D$3, 0)), IF(VLOOKUP(A16,04_PROYECTOS!$A:$N,4,FALSE)="Publico_&lt;10M",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VLOOKUP(A16,04_PROYECTOS!$A:$N,10,FALSE))</f>
        <v/>
      </c>
      <c r="I16" s="19">
        <f>ROUNDUP(H16/30,0)</f>
        <v/>
      </c>
      <c r="J16" s="53">
        <f>EDATE(C16,I16)</f>
        <v/>
      </c>
      <c r="K16" s="52">
        <f>G16</f>
        <v/>
      </c>
      <c r="L16" s="16" t="inlineStr">
        <is>
          <t>Final 50%</t>
        </is>
      </c>
      <c r="M16" s="16" t="inlineStr"/>
    </row>
    <row r="17">
      <c r="A17" s="16" t="inlineStr">
        <is>
          <t>PRJ-008</t>
        </is>
      </c>
      <c r="B17" s="18" t="n">
        <v>1</v>
      </c>
      <c r="C17" s="51" t="n">
        <v>46081</v>
      </c>
      <c r="D17" s="43" t="n">
        <v>1</v>
      </c>
      <c r="E17" s="52">
        <f>D17*VLOOKUP(A17,04_PROYECTOS!$A:$N,5,FALSE)*(INDEX(02B_ESCENARIOS!$B$4:$D$11, MATCH("MULT_PRECIO", 02B_ESCENARIOS!$A$4:$A$11, 0), MATCH("Base", 02B_ESCENARIOS!$B$3:$D$3, 0)))*INDEX(02B_ESCENARIOS!$B$15:$D$19, MATCH(VLOOKUP(A17,04_PROYECTOS!$A:$N,9,FALSE), 02B_ESCENARIOS!$A$15:$A$19, 0), MATCH("Base", 02B_ESCENARIOS!$B$14:$D$14, 0))</f>
        <v/>
      </c>
      <c r="F17" s="52">
        <f>E17*VLOOKUP(A17,04_PROYECTOS!$A:$N,6,FALSE)</f>
        <v/>
      </c>
      <c r="G17" s="52">
        <f>E17+F17</f>
        <v/>
      </c>
      <c r="H17" s="19">
        <f>IF(VLOOKUP(A17,04_PROYECTOS!$A:$N,10,FALSE)="", IF(VLOOKUP(A17,04_PROYECTOS!$A:$N,4,FALSE)="Privado", INDEX(02B_ESCENARIOS!$B$4:$D$11, MATCH("DSO_PRIVADO_DEFAULT", 02B_ESCENARIOS!$A$4:$A$11, 0), MATCH("Base", 02B_ESCENARIOS!$B$3:$D$3, 0)), IF(VLOOKUP(A17,04_PROYECTOS!$A:$N,4,FALSE)="Publico_&lt;10M",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VLOOKUP(A17,04_PROYECTOS!$A:$N,10,FALSE))</f>
        <v/>
      </c>
      <c r="I17" s="19">
        <f>ROUNDUP(H17/30,0)</f>
        <v/>
      </c>
      <c r="J17" s="53">
        <f>EDATE(C17,I17)</f>
        <v/>
      </c>
      <c r="K17" s="52">
        <f>G17</f>
        <v/>
      </c>
      <c r="L17" s="16" t="inlineStr">
        <is>
          <t>Pago final público &lt;10M</t>
        </is>
      </c>
      <c r="M17" s="16" t="inlineStr"/>
    </row>
    <row r="18">
      <c r="A18" s="16" t="inlineStr">
        <is>
          <t>PRJ-009</t>
        </is>
      </c>
      <c r="B18" s="18" t="n">
        <v>1</v>
      </c>
      <c r="C18" s="51" t="n">
        <v>46081</v>
      </c>
      <c r="D18" s="43" t="n">
        <v>1</v>
      </c>
      <c r="E18" s="52">
        <f>D18*VLOOKUP(A18,04_PROYECTOS!$A:$N,5,FALSE)*(INDEX(02B_ESCENARIOS!$B$4:$D$11, MATCH("MULT_PRECIO", 02B_ESCENARIOS!$A$4:$A$11, 0), MATCH("Base", 02B_ESCENARIOS!$B$3:$D$3, 0)))*INDEX(02B_ESCENARIOS!$B$15:$D$19, MATCH(VLOOKUP(A18,04_PROYECTOS!$A:$N,9,FALSE), 02B_ESCENARIOS!$A$15:$A$19, 0), MATCH("Base", 02B_ESCENARIOS!$B$14:$D$14, 0))</f>
        <v/>
      </c>
      <c r="F18" s="52">
        <f>E18*VLOOKUP(A18,04_PROYECTOS!$A:$N,6,FALSE)</f>
        <v/>
      </c>
      <c r="G18" s="52">
        <f>E18+F18</f>
        <v/>
      </c>
      <c r="H18" s="19">
        <f>IF(VLOOKUP(A18,04_PROYECTOS!$A:$N,10,FALSE)="", IF(VLOOKUP(A18,04_PROYECTOS!$A:$N,4,FALSE)="Privado", INDEX(02B_ESCENARIOS!$B$4:$D$11, MATCH("DSO_PRIVADO_DEFAULT", 02B_ESCENARIOS!$A$4:$A$11, 0), MATCH("Base", 02B_ESCENARIOS!$B$3:$D$3, 0)), IF(VLOOKUP(A18,04_PROYECTOS!$A:$N,4,FALSE)="Publico_&lt;10M",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VLOOKUP(A18,04_PROYECTOS!$A:$N,10,FALSE))</f>
        <v/>
      </c>
      <c r="I18" s="19">
        <f>ROUNDUP(H18/30,0)</f>
        <v/>
      </c>
      <c r="J18" s="53">
        <f>EDATE(C18,I18)</f>
        <v/>
      </c>
      <c r="K18" s="52">
        <f>G18</f>
        <v/>
      </c>
      <c r="L18" s="16" t="inlineStr">
        <is>
          <t>Pago final público &lt;10M</t>
        </is>
      </c>
      <c r="M18" s="16" t="inlineStr"/>
    </row>
    <row r="19">
      <c r="A19" s="16" t="inlineStr">
        <is>
          <t>PRJ-010</t>
        </is>
      </c>
      <c r="B19" s="18" t="n">
        <v>1</v>
      </c>
      <c r="C19" s="51" t="n">
        <v>46053</v>
      </c>
      <c r="D19" s="43" t="n">
        <v>0.5</v>
      </c>
      <c r="E19" s="52">
        <f>D19*VLOOKUP(A19,04_PROYECTOS!$A:$N,5,FALSE)*(INDEX(02B_ESCENARIOS!$B$4:$D$11, MATCH("MULT_PRECIO", 02B_ESCENARIOS!$A$4:$A$11, 0), MATCH("Base", 02B_ESCENARIOS!$B$3:$D$3, 0)))*INDEX(02B_ESCENARIOS!$B$15:$D$19, MATCH(VLOOKUP(A19,04_PROYECTOS!$A:$N,9,FALSE), 02B_ESCENARIOS!$A$15:$A$19, 0), MATCH("Base", 02B_ESCENARIOS!$B$14:$D$14, 0))</f>
        <v/>
      </c>
      <c r="F19" s="52">
        <f>E19*VLOOKUP(A19,04_PROYECTOS!$A:$N,6,FALSE)</f>
        <v/>
      </c>
      <c r="G19" s="52">
        <f>E19+F19</f>
        <v/>
      </c>
      <c r="H19" s="19">
        <f>IF(VLOOKUP(A19,04_PROYECTOS!$A:$N,10,FALSE)="", IF(VLOOKUP(A19,04_PROYECTOS!$A:$N,4,FALSE)="Privado", INDEX(02B_ESCENARIOS!$B$4:$D$11, MATCH("DSO_PRIVADO_DEFAULT", 02B_ESCENARIOS!$A$4:$A$11, 0), MATCH("Base", 02B_ESCENARIOS!$B$3:$D$3, 0)), IF(VLOOKUP(A19,04_PROYECTOS!$A:$N,4,FALSE)="Publico_&lt;10M",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VLOOKUP(A19,04_PROYECTOS!$A:$N,10,FALSE))</f>
        <v/>
      </c>
      <c r="I19" s="19">
        <f>ROUNDUP(H19/30,0)</f>
        <v/>
      </c>
      <c r="J19" s="53">
        <f>EDATE(C19,I19)</f>
        <v/>
      </c>
      <c r="K19" s="52">
        <f>G19</f>
        <v/>
      </c>
      <c r="L19" s="16" t="inlineStr">
        <is>
          <t>Inicio 50%</t>
        </is>
      </c>
      <c r="M19" s="16" t="inlineStr"/>
    </row>
    <row r="20">
      <c r="A20" s="16" t="inlineStr">
        <is>
          <t>PRJ-010</t>
        </is>
      </c>
      <c r="B20" s="18" t="n">
        <v>2</v>
      </c>
      <c r="C20" s="51" t="n">
        <v>46053</v>
      </c>
      <c r="D20" s="43" t="n">
        <v>0.5</v>
      </c>
      <c r="E20" s="52">
        <f>D20*VLOOKUP(A20,04_PROYECTOS!$A:$N,5,FALSE)*(INDEX(02B_ESCENARIOS!$B$4:$D$11, MATCH("MULT_PRECIO", 02B_ESCENARIOS!$A$4:$A$11, 0), MATCH("Base", 02B_ESCENARIOS!$B$3:$D$3, 0)))*INDEX(02B_ESCENARIOS!$B$15:$D$19, MATCH(VLOOKUP(A20,04_PROYECTOS!$A:$N,9,FALSE), 02B_ESCENARIOS!$A$15:$A$19, 0), MATCH("Base", 02B_ESCENARIOS!$B$14:$D$14, 0))</f>
        <v/>
      </c>
      <c r="F20" s="52">
        <f>E20*VLOOKUP(A20,04_PROYECTOS!$A:$N,6,FALSE)</f>
        <v/>
      </c>
      <c r="G20" s="52">
        <f>E20+F20</f>
        <v/>
      </c>
      <c r="H20" s="19">
        <f>IF(VLOOKUP(A20,04_PROYECTOS!$A:$N,10,FALSE)="", IF(VLOOKUP(A20,04_PROYECTOS!$A:$N,4,FALSE)="Privado", INDEX(02B_ESCENARIOS!$B$4:$D$11, MATCH("DSO_PRIVADO_DEFAULT", 02B_ESCENARIOS!$A$4:$A$11, 0), MATCH("Base", 02B_ESCENARIOS!$B$3:$D$3, 0)), IF(VLOOKUP(A20,04_PROYECTOS!$A:$N,4,FALSE)="Publico_&lt;10M",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VLOOKUP(A20,04_PROYECTOS!$A:$N,10,FALSE))</f>
        <v/>
      </c>
      <c r="I20" s="19">
        <f>ROUNDUP(H20/30,0)</f>
        <v/>
      </c>
      <c r="J20" s="53">
        <f>EDATE(C20,I20)</f>
        <v/>
      </c>
      <c r="K20" s="52">
        <f>G20</f>
        <v/>
      </c>
      <c r="L20" s="16" t="inlineStr">
        <is>
          <t>Final 50%</t>
        </is>
      </c>
      <c r="M20" s="16" t="inlineStr"/>
    </row>
    <row r="21">
      <c r="A21" s="16" t="inlineStr">
        <is>
          <t>PRJ-011</t>
        </is>
      </c>
      <c r="B21" s="18" t="n">
        <v>1</v>
      </c>
      <c r="C21" s="51" t="n">
        <v>46112</v>
      </c>
      <c r="D21" s="43" t="n">
        <v>1</v>
      </c>
      <c r="E21" s="52">
        <f>D21*VLOOKUP(A21,04_PROYECTOS!$A:$N,5,FALSE)*(INDEX(02B_ESCENARIOS!$B$4:$D$11, MATCH("MULT_PRECIO", 02B_ESCENARIOS!$A$4:$A$11, 0), MATCH("Base", 02B_ESCENARIOS!$B$3:$D$3, 0)))*INDEX(02B_ESCENARIOS!$B$15:$D$19, MATCH(VLOOKUP(A21,04_PROYECTOS!$A:$N,9,FALSE), 02B_ESCENARIOS!$A$15:$A$19, 0), MATCH("Base", 02B_ESCENARIOS!$B$14:$D$14, 0))</f>
        <v/>
      </c>
      <c r="F21" s="52">
        <f>E21*VLOOKUP(A21,04_PROYECTOS!$A:$N,6,FALSE)</f>
        <v/>
      </c>
      <c r="G21" s="52">
        <f>E21+F21</f>
        <v/>
      </c>
      <c r="H21" s="19">
        <f>IF(VLOOKUP(A21,04_PROYECTOS!$A:$N,10,FALSE)="", IF(VLOOKUP(A21,04_PROYECTOS!$A:$N,4,FALSE)="Privado", INDEX(02B_ESCENARIOS!$B$4:$D$11, MATCH("DSO_PRIVADO_DEFAULT", 02B_ESCENARIOS!$A$4:$A$11, 0), MATCH("Base", 02B_ESCENARIOS!$B$3:$D$3, 0)), IF(VLOOKUP(A21,04_PROYECTOS!$A:$N,4,FALSE)="Publico_&lt;10M",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VLOOKUP(A21,04_PROYECTOS!$A:$N,10,FALSE))</f>
        <v/>
      </c>
      <c r="I21" s="19">
        <f>ROUNDUP(H21/30,0)</f>
        <v/>
      </c>
      <c r="J21" s="53">
        <f>EDATE(C21,I21)</f>
        <v/>
      </c>
      <c r="K21" s="52">
        <f>G21</f>
        <v/>
      </c>
      <c r="L21" s="16" t="inlineStr">
        <is>
          <t>Pago final público &lt;10M</t>
        </is>
      </c>
      <c r="M21" s="16" t="inlineStr"/>
    </row>
    <row r="22">
      <c r="A22" s="16" t="inlineStr">
        <is>
          <t>PRJ-012</t>
        </is>
      </c>
      <c r="B22" s="18" t="n">
        <v>1</v>
      </c>
      <c r="C22" s="51" t="n">
        <v>46053</v>
      </c>
      <c r="D22" s="43" t="n">
        <v>1</v>
      </c>
      <c r="E22" s="52">
        <f>D22*VLOOKUP(A22,04_PROYECTOS!$A:$N,5,FALSE)*(INDEX(02B_ESCENARIOS!$B$4:$D$11, MATCH("MULT_PRECIO", 02B_ESCENARIOS!$A$4:$A$11, 0), MATCH("Base", 02B_ESCENARIOS!$B$3:$D$3, 0)))*INDEX(02B_ESCENARIOS!$B$15:$D$19, MATCH(VLOOKUP(A22,04_PROYECTOS!$A:$N,9,FALSE), 02B_ESCENARIOS!$A$15:$A$19, 0), MATCH("Base", 02B_ESCENARIOS!$B$14:$D$14, 0))</f>
        <v/>
      </c>
      <c r="F22" s="52">
        <f>E22*VLOOKUP(A22,04_PROYECTOS!$A:$N,6,FALSE)</f>
        <v/>
      </c>
      <c r="G22" s="52">
        <f>E22+F22</f>
        <v/>
      </c>
      <c r="H22" s="19">
        <f>IF(VLOOKUP(A22,04_PROYECTOS!$A:$N,10,FALSE)="", IF(VLOOKUP(A22,04_PROYECTOS!$A:$N,4,FALSE)="Privado", INDEX(02B_ESCENARIOS!$B$4:$D$11, MATCH("DSO_PRIVADO_DEFAULT", 02B_ESCENARIOS!$A$4:$A$11, 0), MATCH("Base", 02B_ESCENARIOS!$B$3:$D$3, 0)), IF(VLOOKUP(A22,04_PROYECTOS!$A:$N,4,FALSE)="Publico_&lt;10M",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VLOOKUP(A22,04_PROYECTOS!$A:$N,10,FALSE))</f>
        <v/>
      </c>
      <c r="I22" s="19">
        <f>ROUNDUP(H22/30,0)</f>
        <v/>
      </c>
      <c r="J22" s="53">
        <f>EDATE(C22,I22)</f>
        <v/>
      </c>
      <c r="K22" s="52">
        <f>G22</f>
        <v/>
      </c>
      <c r="L22" s="16" t="inlineStr">
        <is>
          <t>Pago final público &lt;10M</t>
        </is>
      </c>
      <c r="M22" s="16" t="inlineStr"/>
    </row>
    <row r="23">
      <c r="A23" s="16" t="inlineStr">
        <is>
          <t>PRJ-013</t>
        </is>
      </c>
      <c r="B23" s="18" t="n">
        <v>1</v>
      </c>
      <c r="C23" s="51" t="n">
        <v>46081</v>
      </c>
      <c r="D23" s="43" t="n">
        <v>0.5</v>
      </c>
      <c r="E23" s="52">
        <f>D23*VLOOKUP(A23,04_PROYECTOS!$A:$N,5,FALSE)*(INDEX(02B_ESCENARIOS!$B$4:$D$11, MATCH("MULT_PRECIO", 02B_ESCENARIOS!$A$4:$A$11, 0), MATCH("Base", 02B_ESCENARIOS!$B$3:$D$3, 0)))*INDEX(02B_ESCENARIOS!$B$15:$D$19, MATCH(VLOOKUP(A23,04_PROYECTOS!$A:$N,9,FALSE), 02B_ESCENARIOS!$A$15:$A$19, 0), MATCH("Base", 02B_ESCENARIOS!$B$14:$D$14, 0))</f>
        <v/>
      </c>
      <c r="F23" s="52">
        <f>E23*VLOOKUP(A23,04_PROYECTOS!$A:$N,6,FALSE)</f>
        <v/>
      </c>
      <c r="G23" s="52">
        <f>E23+F23</f>
        <v/>
      </c>
      <c r="H23" s="19">
        <f>IF(VLOOKUP(A23,04_PROYECTOS!$A:$N,10,FALSE)="", IF(VLOOKUP(A23,04_PROYECTOS!$A:$N,4,FALSE)="Privado", INDEX(02B_ESCENARIOS!$B$4:$D$11, MATCH("DSO_PRIVADO_DEFAULT", 02B_ESCENARIOS!$A$4:$A$11, 0), MATCH("Base", 02B_ESCENARIOS!$B$3:$D$3, 0)), IF(VLOOKUP(A23,04_PROYECTOS!$A:$N,4,FALSE)="Publico_&lt;10M",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VLOOKUP(A23,04_PROYECTOS!$A:$N,10,FALSE))</f>
        <v/>
      </c>
      <c r="I23" s="19">
        <f>ROUNDUP(H23/30,0)</f>
        <v/>
      </c>
      <c r="J23" s="53">
        <f>EDATE(C23,I23)</f>
        <v/>
      </c>
      <c r="K23" s="52">
        <f>G23</f>
        <v/>
      </c>
      <c r="L23" s="16" t="inlineStr">
        <is>
          <t>Inicio 50%</t>
        </is>
      </c>
      <c r="M23" s="16" t="inlineStr"/>
    </row>
    <row r="24">
      <c r="A24" s="16" t="inlineStr">
        <is>
          <t>PRJ-013</t>
        </is>
      </c>
      <c r="B24" s="18" t="n">
        <v>2</v>
      </c>
      <c r="C24" s="51" t="n">
        <v>46173</v>
      </c>
      <c r="D24" s="43" t="n">
        <v>0.5</v>
      </c>
      <c r="E24" s="52">
        <f>D24*VLOOKUP(A24,04_PROYECTOS!$A:$N,5,FALSE)*(INDEX(02B_ESCENARIOS!$B$4:$D$11, MATCH("MULT_PRECIO", 02B_ESCENARIOS!$A$4:$A$11, 0), MATCH("Base", 02B_ESCENARIOS!$B$3:$D$3, 0)))*INDEX(02B_ESCENARIOS!$B$15:$D$19, MATCH(VLOOKUP(A24,04_PROYECTOS!$A:$N,9,FALSE), 02B_ESCENARIOS!$A$15:$A$19, 0), MATCH("Base", 02B_ESCENARIOS!$B$14:$D$14, 0))</f>
        <v/>
      </c>
      <c r="F24" s="52">
        <f>E24*VLOOKUP(A24,04_PROYECTOS!$A:$N,6,FALSE)</f>
        <v/>
      </c>
      <c r="G24" s="52">
        <f>E24+F24</f>
        <v/>
      </c>
      <c r="H24" s="19">
        <f>IF(VLOOKUP(A24,04_PROYECTOS!$A:$N,10,FALSE)="", IF(VLOOKUP(A24,04_PROYECTOS!$A:$N,4,FALSE)="Privado", INDEX(02B_ESCENARIOS!$B$4:$D$11, MATCH("DSO_PRIVADO_DEFAULT", 02B_ESCENARIOS!$A$4:$A$11, 0), MATCH("Base", 02B_ESCENARIOS!$B$3:$D$3, 0)), IF(VLOOKUP(A24,04_PROYECTOS!$A:$N,4,FALSE)="Publico_&lt;10M",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VLOOKUP(A24,04_PROYECTOS!$A:$N,10,FALSE))</f>
        <v/>
      </c>
      <c r="I24" s="19">
        <f>ROUNDUP(H24/30,0)</f>
        <v/>
      </c>
      <c r="J24" s="53">
        <f>EDATE(C24,I24)</f>
        <v/>
      </c>
      <c r="K24" s="52">
        <f>G24</f>
        <v/>
      </c>
      <c r="L24" s="16" t="inlineStr">
        <is>
          <t>Final 50%</t>
        </is>
      </c>
      <c r="M24" s="16" t="inlineStr"/>
    </row>
    <row r="25">
      <c r="A25" s="16" t="inlineStr">
        <is>
          <t>PRJ-014</t>
        </is>
      </c>
      <c r="B25" s="18" t="n">
        <v>1</v>
      </c>
      <c r="C25" s="51" t="n">
        <v>46081</v>
      </c>
      <c r="D25" s="43" t="n">
        <v>0.5</v>
      </c>
      <c r="E25" s="52">
        <f>D25*VLOOKUP(A25,04_PROYECTOS!$A:$N,5,FALSE)*(INDEX(02B_ESCENARIOS!$B$4:$D$11, MATCH("MULT_PRECIO", 02B_ESCENARIOS!$A$4:$A$11, 0), MATCH("Base", 02B_ESCENARIOS!$B$3:$D$3, 0)))*INDEX(02B_ESCENARIOS!$B$15:$D$19, MATCH(VLOOKUP(A25,04_PROYECTOS!$A:$N,9,FALSE), 02B_ESCENARIOS!$A$15:$A$19, 0), MATCH("Base", 02B_ESCENARIOS!$B$14:$D$14, 0))</f>
        <v/>
      </c>
      <c r="F25" s="52">
        <f>E25*VLOOKUP(A25,04_PROYECTOS!$A:$N,6,FALSE)</f>
        <v/>
      </c>
      <c r="G25" s="52">
        <f>E25+F25</f>
        <v/>
      </c>
      <c r="H25" s="19">
        <f>IF(VLOOKUP(A25,04_PROYECTOS!$A:$N,10,FALSE)="", IF(VLOOKUP(A25,04_PROYECTOS!$A:$N,4,FALSE)="Privado", INDEX(02B_ESCENARIOS!$B$4:$D$11, MATCH("DSO_PRIVADO_DEFAULT", 02B_ESCENARIOS!$A$4:$A$11, 0), MATCH("Base", 02B_ESCENARIOS!$B$3:$D$3, 0)), IF(VLOOKUP(A25,04_PROYECTOS!$A:$N,4,FALSE)="Publico_&lt;10M",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VLOOKUP(A25,04_PROYECTOS!$A:$N,10,FALSE))</f>
        <v/>
      </c>
      <c r="I25" s="19">
        <f>ROUNDUP(H25/30,0)</f>
        <v/>
      </c>
      <c r="J25" s="53">
        <f>EDATE(C25,I25)</f>
        <v/>
      </c>
      <c r="K25" s="52">
        <f>G25</f>
        <v/>
      </c>
      <c r="L25" s="16" t="inlineStr">
        <is>
          <t>Inicio 50%</t>
        </is>
      </c>
      <c r="M25" s="16" t="inlineStr"/>
    </row>
    <row r="26">
      <c r="A26" s="16" t="inlineStr">
        <is>
          <t>PRJ-014</t>
        </is>
      </c>
      <c r="B26" s="18" t="n">
        <v>2</v>
      </c>
      <c r="C26" s="51" t="n">
        <v>46142</v>
      </c>
      <c r="D26" s="43" t="n">
        <v>0.5</v>
      </c>
      <c r="E26" s="52">
        <f>D26*VLOOKUP(A26,04_PROYECTOS!$A:$N,5,FALSE)*(INDEX(02B_ESCENARIOS!$B$4:$D$11, MATCH("MULT_PRECIO", 02B_ESCENARIOS!$A$4:$A$11, 0), MATCH("Base", 02B_ESCENARIOS!$B$3:$D$3, 0)))*INDEX(02B_ESCENARIOS!$B$15:$D$19, MATCH(VLOOKUP(A26,04_PROYECTOS!$A:$N,9,FALSE), 02B_ESCENARIOS!$A$15:$A$19, 0), MATCH("Base", 02B_ESCENARIOS!$B$14:$D$14, 0))</f>
        <v/>
      </c>
      <c r="F26" s="52">
        <f>E26*VLOOKUP(A26,04_PROYECTOS!$A:$N,6,FALSE)</f>
        <v/>
      </c>
      <c r="G26" s="52">
        <f>E26+F26</f>
        <v/>
      </c>
      <c r="H26" s="19">
        <f>IF(VLOOKUP(A26,04_PROYECTOS!$A:$N,10,FALSE)="", IF(VLOOKUP(A26,04_PROYECTOS!$A:$N,4,FALSE)="Privado", INDEX(02B_ESCENARIOS!$B$4:$D$11, MATCH("DSO_PRIVADO_DEFAULT", 02B_ESCENARIOS!$A$4:$A$11, 0), MATCH("Base", 02B_ESCENARIOS!$B$3:$D$3, 0)), IF(VLOOKUP(A26,04_PROYECTOS!$A:$N,4,FALSE)="Publico_&lt;10M",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VLOOKUP(A26,04_PROYECTOS!$A:$N,10,FALSE))</f>
        <v/>
      </c>
      <c r="I26" s="19">
        <f>ROUNDUP(H26/30,0)</f>
        <v/>
      </c>
      <c r="J26" s="53">
        <f>EDATE(C26,I26)</f>
        <v/>
      </c>
      <c r="K26" s="52">
        <f>G26</f>
        <v/>
      </c>
      <c r="L26" s="16" t="inlineStr">
        <is>
          <t>Final 50%</t>
        </is>
      </c>
      <c r="M26" s="16" t="inlineStr"/>
    </row>
    <row r="27">
      <c r="A27" s="16" t="inlineStr">
        <is>
          <t>PRJ-015</t>
        </is>
      </c>
      <c r="B27" s="18" t="n">
        <v>1</v>
      </c>
      <c r="C27" s="51" t="n">
        <v>46112</v>
      </c>
      <c r="D27" s="43" t="n">
        <v>0.5</v>
      </c>
      <c r="E27" s="52">
        <f>D27*VLOOKUP(A27,04_PROYECTOS!$A:$N,5,FALSE)*(INDEX(02B_ESCENARIOS!$B$4:$D$11, MATCH("MULT_PRECIO", 02B_ESCENARIOS!$A$4:$A$11, 0), MATCH("Base", 02B_ESCENARIOS!$B$3:$D$3, 0)))*INDEX(02B_ESCENARIOS!$B$15:$D$19, MATCH(VLOOKUP(A27,04_PROYECTOS!$A:$N,9,FALSE), 02B_ESCENARIOS!$A$15:$A$19, 0), MATCH("Base", 02B_ESCENARIOS!$B$14:$D$14, 0))</f>
        <v/>
      </c>
      <c r="F27" s="52">
        <f>E27*VLOOKUP(A27,04_PROYECTOS!$A:$N,6,FALSE)</f>
        <v/>
      </c>
      <c r="G27" s="52">
        <f>E27+F27</f>
        <v/>
      </c>
      <c r="H27" s="19">
        <f>IF(VLOOKUP(A27,04_PROYECTOS!$A:$N,10,FALSE)="", IF(VLOOKUP(A27,04_PROYECTOS!$A:$N,4,FALSE)="Privado", INDEX(02B_ESCENARIOS!$B$4:$D$11, MATCH("DSO_PRIVADO_DEFAULT", 02B_ESCENARIOS!$A$4:$A$11, 0), MATCH("Base", 02B_ESCENARIOS!$B$3:$D$3, 0)), IF(VLOOKUP(A27,04_PROYECTOS!$A:$N,4,FALSE)="Publico_&lt;10M",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VLOOKUP(A27,04_PROYECTOS!$A:$N,10,FALSE))</f>
        <v/>
      </c>
      <c r="I27" s="19">
        <f>ROUNDUP(H27/30,0)</f>
        <v/>
      </c>
      <c r="J27" s="53">
        <f>EDATE(C27,I27)</f>
        <v/>
      </c>
      <c r="K27" s="52">
        <f>G27</f>
        <v/>
      </c>
      <c r="L27" s="16" t="inlineStr">
        <is>
          <t>Inicio 50%</t>
        </is>
      </c>
      <c r="M27" s="16" t="inlineStr"/>
    </row>
    <row r="28">
      <c r="A28" s="16" t="inlineStr">
        <is>
          <t>PRJ-015</t>
        </is>
      </c>
      <c r="B28" s="18" t="n">
        <v>2</v>
      </c>
      <c r="C28" s="51" t="n">
        <v>46142</v>
      </c>
      <c r="D28" s="43" t="n">
        <v>0.5</v>
      </c>
      <c r="E28" s="52">
        <f>D28*VLOOKUP(A28,04_PROYECTOS!$A:$N,5,FALSE)*(INDEX(02B_ESCENARIOS!$B$4:$D$11, MATCH("MULT_PRECIO", 02B_ESCENARIOS!$A$4:$A$11, 0), MATCH("Base", 02B_ESCENARIOS!$B$3:$D$3, 0)))*INDEX(02B_ESCENARIOS!$B$15:$D$19, MATCH(VLOOKUP(A28,04_PROYECTOS!$A:$N,9,FALSE), 02B_ESCENARIOS!$A$15:$A$19, 0), MATCH("Base", 02B_ESCENARIOS!$B$14:$D$14, 0))</f>
        <v/>
      </c>
      <c r="F28" s="52">
        <f>E28*VLOOKUP(A28,04_PROYECTOS!$A:$N,6,FALSE)</f>
        <v/>
      </c>
      <c r="G28" s="52">
        <f>E28+F28</f>
        <v/>
      </c>
      <c r="H28" s="19">
        <f>IF(VLOOKUP(A28,04_PROYECTOS!$A:$N,10,FALSE)="", IF(VLOOKUP(A28,04_PROYECTOS!$A:$N,4,FALSE)="Privado", INDEX(02B_ESCENARIOS!$B$4:$D$11, MATCH("DSO_PRIVADO_DEFAULT", 02B_ESCENARIOS!$A$4:$A$11, 0), MATCH("Base", 02B_ESCENARIOS!$B$3:$D$3, 0)), IF(VLOOKUP(A28,04_PROYECTOS!$A:$N,4,FALSE)="Publico_&lt;10M",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VLOOKUP(A28,04_PROYECTOS!$A:$N,10,FALSE))</f>
        <v/>
      </c>
      <c r="I28" s="19">
        <f>ROUNDUP(H28/30,0)</f>
        <v/>
      </c>
      <c r="J28" s="53">
        <f>EDATE(C28,I28)</f>
        <v/>
      </c>
      <c r="K28" s="52">
        <f>G28</f>
        <v/>
      </c>
      <c r="L28" s="16" t="inlineStr">
        <is>
          <t>Final 50%</t>
        </is>
      </c>
      <c r="M28" s="16" t="inlineStr"/>
    </row>
    <row r="29">
      <c r="A29" s="16" t="inlineStr">
        <is>
          <t>PRJ-016</t>
        </is>
      </c>
      <c r="B29" s="18" t="n">
        <v>1</v>
      </c>
      <c r="C29" s="51" t="n">
        <v>46112</v>
      </c>
      <c r="D29" s="43" t="n">
        <v>0.5</v>
      </c>
      <c r="E29" s="52">
        <f>D29*VLOOKUP(A29,04_PROYECTOS!$A:$N,5,FALSE)*(INDEX(02B_ESCENARIOS!$B$4:$D$11, MATCH("MULT_PRECIO", 02B_ESCENARIOS!$A$4:$A$11, 0), MATCH("Base", 02B_ESCENARIOS!$B$3:$D$3, 0)))*INDEX(02B_ESCENARIOS!$B$15:$D$19, MATCH(VLOOKUP(A29,04_PROYECTOS!$A:$N,9,FALSE), 02B_ESCENARIOS!$A$15:$A$19, 0), MATCH("Base", 02B_ESCENARIOS!$B$14:$D$14, 0))</f>
        <v/>
      </c>
      <c r="F29" s="52">
        <f>E29*VLOOKUP(A29,04_PROYECTOS!$A:$N,6,FALSE)</f>
        <v/>
      </c>
      <c r="G29" s="52">
        <f>E29+F29</f>
        <v/>
      </c>
      <c r="H29" s="19">
        <f>IF(VLOOKUP(A29,04_PROYECTOS!$A:$N,10,FALSE)="", IF(VLOOKUP(A29,04_PROYECTOS!$A:$N,4,FALSE)="Privado", INDEX(02B_ESCENARIOS!$B$4:$D$11, MATCH("DSO_PRIVADO_DEFAULT", 02B_ESCENARIOS!$A$4:$A$11, 0), MATCH("Base", 02B_ESCENARIOS!$B$3:$D$3, 0)), IF(VLOOKUP(A29,04_PROYECTOS!$A:$N,4,FALSE)="Publico_&lt;10M",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VLOOKUP(A29,04_PROYECTOS!$A:$N,10,FALSE))</f>
        <v/>
      </c>
      <c r="I29" s="19">
        <f>ROUNDUP(H29/30,0)</f>
        <v/>
      </c>
      <c r="J29" s="53">
        <f>EDATE(C29,I29)</f>
        <v/>
      </c>
      <c r="K29" s="52">
        <f>G29</f>
        <v/>
      </c>
      <c r="L29" s="16" t="inlineStr">
        <is>
          <t>Inicio 50%</t>
        </is>
      </c>
      <c r="M29" s="16" t="inlineStr"/>
    </row>
    <row r="30">
      <c r="A30" s="16" t="inlineStr">
        <is>
          <t>PRJ-016</t>
        </is>
      </c>
      <c r="B30" s="18" t="n">
        <v>2</v>
      </c>
      <c r="C30" s="51" t="n">
        <v>46173</v>
      </c>
      <c r="D30" s="43" t="n">
        <v>0.5</v>
      </c>
      <c r="E30" s="52">
        <f>D30*VLOOKUP(A30,04_PROYECTOS!$A:$N,5,FALSE)*(INDEX(02B_ESCENARIOS!$B$4:$D$11, MATCH("MULT_PRECIO", 02B_ESCENARIOS!$A$4:$A$11, 0), MATCH("Base", 02B_ESCENARIOS!$B$3:$D$3, 0)))*INDEX(02B_ESCENARIOS!$B$15:$D$19, MATCH(VLOOKUP(A30,04_PROYECTOS!$A:$N,9,FALSE), 02B_ESCENARIOS!$A$15:$A$19, 0), MATCH("Base", 02B_ESCENARIOS!$B$14:$D$14, 0))</f>
        <v/>
      </c>
      <c r="F30" s="52">
        <f>E30*VLOOKUP(A30,04_PROYECTOS!$A:$N,6,FALSE)</f>
        <v/>
      </c>
      <c r="G30" s="52">
        <f>E30+F30</f>
        <v/>
      </c>
      <c r="H30" s="19">
        <f>IF(VLOOKUP(A30,04_PROYECTOS!$A:$N,10,FALSE)="", IF(VLOOKUP(A30,04_PROYECTOS!$A:$N,4,FALSE)="Privado", INDEX(02B_ESCENARIOS!$B$4:$D$11, MATCH("DSO_PRIVADO_DEFAULT", 02B_ESCENARIOS!$A$4:$A$11, 0), MATCH("Base", 02B_ESCENARIOS!$B$3:$D$3, 0)), IF(VLOOKUP(A30,04_PROYECTOS!$A:$N,4,FALSE)="Publico_&lt;10M",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VLOOKUP(A30,04_PROYECTOS!$A:$N,10,FALSE))</f>
        <v/>
      </c>
      <c r="I30" s="19">
        <f>ROUNDUP(H30/30,0)</f>
        <v/>
      </c>
      <c r="J30" s="53">
        <f>EDATE(C30,I30)</f>
        <v/>
      </c>
      <c r="K30" s="52">
        <f>G30</f>
        <v/>
      </c>
      <c r="L30" s="16" t="inlineStr">
        <is>
          <t>Final 50%</t>
        </is>
      </c>
      <c r="M30" s="16" t="inlineStr"/>
    </row>
    <row r="31">
      <c r="A31" s="16" t="inlineStr">
        <is>
          <t>PRJ-017</t>
        </is>
      </c>
      <c r="B31" s="18" t="n">
        <v>1</v>
      </c>
      <c r="C31" s="51" t="n">
        <v>46081</v>
      </c>
      <c r="D31" s="43" t="n">
        <v>0.5</v>
      </c>
      <c r="E31" s="52">
        <f>D31*VLOOKUP(A31,04_PROYECTOS!$A:$N,5,FALSE)*(INDEX(02B_ESCENARIOS!$B$4:$D$11, MATCH("MULT_PRECIO", 02B_ESCENARIOS!$A$4:$A$11, 0), MATCH("Base", 02B_ESCENARIOS!$B$3:$D$3, 0)))*INDEX(02B_ESCENARIOS!$B$15:$D$19, MATCH(VLOOKUP(A31,04_PROYECTOS!$A:$N,9,FALSE), 02B_ESCENARIOS!$A$15:$A$19, 0), MATCH("Base", 02B_ESCENARIOS!$B$14:$D$14, 0))</f>
        <v/>
      </c>
      <c r="F31" s="52">
        <f>E31*VLOOKUP(A31,04_PROYECTOS!$A:$N,6,FALSE)</f>
        <v/>
      </c>
      <c r="G31" s="52">
        <f>E31+F31</f>
        <v/>
      </c>
      <c r="H31" s="19">
        <f>IF(VLOOKUP(A31,04_PROYECTOS!$A:$N,10,FALSE)="", IF(VLOOKUP(A31,04_PROYECTOS!$A:$N,4,FALSE)="Privado", INDEX(02B_ESCENARIOS!$B$4:$D$11, MATCH("DSO_PRIVADO_DEFAULT", 02B_ESCENARIOS!$A$4:$A$11, 0), MATCH("Base", 02B_ESCENARIOS!$B$3:$D$3, 0)), IF(VLOOKUP(A31,04_PROYECTOS!$A:$N,4,FALSE)="Publico_&lt;10M",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VLOOKUP(A31,04_PROYECTOS!$A:$N,10,FALSE))</f>
        <v/>
      </c>
      <c r="I31" s="19">
        <f>ROUNDUP(H31/30,0)</f>
        <v/>
      </c>
      <c r="J31" s="53">
        <f>EDATE(C31,I31)</f>
        <v/>
      </c>
      <c r="K31" s="52">
        <f>G31</f>
        <v/>
      </c>
      <c r="L31" s="16" t="inlineStr">
        <is>
          <t>Inicio 50%</t>
        </is>
      </c>
      <c r="M31" s="16" t="inlineStr"/>
    </row>
    <row r="32">
      <c r="A32" s="16" t="inlineStr">
        <is>
          <t>PRJ-017</t>
        </is>
      </c>
      <c r="B32" s="18" t="n">
        <v>2</v>
      </c>
      <c r="C32" s="51" t="n">
        <v>46142</v>
      </c>
      <c r="D32" s="43" t="n">
        <v>0.5</v>
      </c>
      <c r="E32" s="52">
        <f>D32*VLOOKUP(A32,04_PROYECTOS!$A:$N,5,FALSE)*(INDEX(02B_ESCENARIOS!$B$4:$D$11, MATCH("MULT_PRECIO", 02B_ESCENARIOS!$A$4:$A$11, 0), MATCH("Base", 02B_ESCENARIOS!$B$3:$D$3, 0)))*INDEX(02B_ESCENARIOS!$B$15:$D$19, MATCH(VLOOKUP(A32,04_PROYECTOS!$A:$N,9,FALSE), 02B_ESCENARIOS!$A$15:$A$19, 0), MATCH("Base", 02B_ESCENARIOS!$B$14:$D$14, 0))</f>
        <v/>
      </c>
      <c r="F32" s="52">
        <f>E32*VLOOKUP(A32,04_PROYECTOS!$A:$N,6,FALSE)</f>
        <v/>
      </c>
      <c r="G32" s="52">
        <f>E32+F32</f>
        <v/>
      </c>
      <c r="H32" s="19">
        <f>IF(VLOOKUP(A32,04_PROYECTOS!$A:$N,10,FALSE)="", IF(VLOOKUP(A32,04_PROYECTOS!$A:$N,4,FALSE)="Privado", INDEX(02B_ESCENARIOS!$B$4:$D$11, MATCH("DSO_PRIVADO_DEFAULT", 02B_ESCENARIOS!$A$4:$A$11, 0), MATCH("Base", 02B_ESCENARIOS!$B$3:$D$3, 0)), IF(VLOOKUP(A32,04_PROYECTOS!$A:$N,4,FALSE)="Publico_&lt;10M",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VLOOKUP(A32,04_PROYECTOS!$A:$N,10,FALSE))</f>
        <v/>
      </c>
      <c r="I32" s="19">
        <f>ROUNDUP(H32/30,0)</f>
        <v/>
      </c>
      <c r="J32" s="53">
        <f>EDATE(C32,I32)</f>
        <v/>
      </c>
      <c r="K32" s="52">
        <f>G32</f>
        <v/>
      </c>
      <c r="L32" s="16" t="inlineStr">
        <is>
          <t>Final 50%</t>
        </is>
      </c>
      <c r="M32" s="16" t="inlineStr"/>
    </row>
    <row r="33">
      <c r="A33" s="16" t="inlineStr">
        <is>
          <t>PRJ-018</t>
        </is>
      </c>
      <c r="B33" s="18" t="n">
        <v>1</v>
      </c>
      <c r="C33" s="51" t="n">
        <v>46053</v>
      </c>
      <c r="D33" s="43" t="n">
        <v>0.5</v>
      </c>
      <c r="E33" s="52">
        <f>D33*VLOOKUP(A33,04_PROYECTOS!$A:$N,5,FALSE)*(INDEX(02B_ESCENARIOS!$B$4:$D$11, MATCH("MULT_PRECIO", 02B_ESCENARIOS!$A$4:$A$11, 0), MATCH("Base", 02B_ESCENARIOS!$B$3:$D$3, 0)))*INDEX(02B_ESCENARIOS!$B$15:$D$19, MATCH(VLOOKUP(A33,04_PROYECTOS!$A:$N,9,FALSE), 02B_ESCENARIOS!$A$15:$A$19, 0), MATCH("Base", 02B_ESCENARIOS!$B$14:$D$14, 0))</f>
        <v/>
      </c>
      <c r="F33" s="52">
        <f>E33*VLOOKUP(A33,04_PROYECTOS!$A:$N,6,FALSE)</f>
        <v/>
      </c>
      <c r="G33" s="52">
        <f>E33+F33</f>
        <v/>
      </c>
      <c r="H33" s="19">
        <f>IF(VLOOKUP(A33,04_PROYECTOS!$A:$N,10,FALSE)="", IF(VLOOKUP(A33,04_PROYECTOS!$A:$N,4,FALSE)="Privado", INDEX(02B_ESCENARIOS!$B$4:$D$11, MATCH("DSO_PRIVADO_DEFAULT", 02B_ESCENARIOS!$A$4:$A$11, 0), MATCH("Base", 02B_ESCENARIOS!$B$3:$D$3, 0)), IF(VLOOKUP(A33,04_PROYECTOS!$A:$N,4,FALSE)="Publico_&lt;10M",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VLOOKUP(A33,04_PROYECTOS!$A:$N,10,FALSE))</f>
        <v/>
      </c>
      <c r="I33" s="19">
        <f>ROUNDUP(H33/30,0)</f>
        <v/>
      </c>
      <c r="J33" s="53">
        <f>EDATE(C33,I33)</f>
        <v/>
      </c>
      <c r="K33" s="52">
        <f>G33</f>
        <v/>
      </c>
      <c r="L33" s="16" t="inlineStr">
        <is>
          <t>Inicio 50%</t>
        </is>
      </c>
      <c r="M33" s="16" t="inlineStr"/>
    </row>
    <row r="34">
      <c r="A34" s="16" t="inlineStr">
        <is>
          <t>PRJ-018</t>
        </is>
      </c>
      <c r="B34" s="18" t="n">
        <v>2</v>
      </c>
      <c r="C34" s="51" t="n">
        <v>46053</v>
      </c>
      <c r="D34" s="43" t="n">
        <v>0.5</v>
      </c>
      <c r="E34" s="52">
        <f>D34*VLOOKUP(A34,04_PROYECTOS!$A:$N,5,FALSE)*(INDEX(02B_ESCENARIOS!$B$4:$D$11, MATCH("MULT_PRECIO", 02B_ESCENARIOS!$A$4:$A$11, 0), MATCH("Base", 02B_ESCENARIOS!$B$3:$D$3, 0)))*INDEX(02B_ESCENARIOS!$B$15:$D$19, MATCH(VLOOKUP(A34,04_PROYECTOS!$A:$N,9,FALSE), 02B_ESCENARIOS!$A$15:$A$19, 0), MATCH("Base", 02B_ESCENARIOS!$B$14:$D$14, 0))</f>
        <v/>
      </c>
      <c r="F34" s="52">
        <f>E34*VLOOKUP(A34,04_PROYECTOS!$A:$N,6,FALSE)</f>
        <v/>
      </c>
      <c r="G34" s="52">
        <f>E34+F34</f>
        <v/>
      </c>
      <c r="H34" s="19">
        <f>IF(VLOOKUP(A34,04_PROYECTOS!$A:$N,10,FALSE)="", IF(VLOOKUP(A34,04_PROYECTOS!$A:$N,4,FALSE)="Privado", INDEX(02B_ESCENARIOS!$B$4:$D$11, MATCH("DSO_PRIVADO_DEFAULT", 02B_ESCENARIOS!$A$4:$A$11, 0), MATCH("Base", 02B_ESCENARIOS!$B$3:$D$3, 0)), IF(VLOOKUP(A34,04_PROYECTOS!$A:$N,4,FALSE)="Publico_&lt;10M",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VLOOKUP(A34,04_PROYECTOS!$A:$N,10,FALSE))</f>
        <v/>
      </c>
      <c r="I34" s="19">
        <f>ROUNDUP(H34/30,0)</f>
        <v/>
      </c>
      <c r="J34" s="53">
        <f>EDATE(C34,I34)</f>
        <v/>
      </c>
      <c r="K34" s="52">
        <f>G34</f>
        <v/>
      </c>
      <c r="L34" s="16" t="inlineStr">
        <is>
          <t>Final 50%</t>
        </is>
      </c>
      <c r="M34" s="16" t="inlineStr"/>
    </row>
    <row r="35">
      <c r="A35" s="16" t="inlineStr">
        <is>
          <t>PRJ-019</t>
        </is>
      </c>
      <c r="B35" s="18" t="n">
        <v>1</v>
      </c>
      <c r="C35" s="51" t="n">
        <v>46081</v>
      </c>
      <c r="D35" s="43" t="n">
        <v>0.5</v>
      </c>
      <c r="E35" s="52">
        <f>D35*VLOOKUP(A35,04_PROYECTOS!$A:$N,5,FALSE)*(INDEX(02B_ESCENARIOS!$B$4:$D$11, MATCH("MULT_PRECIO", 02B_ESCENARIOS!$A$4:$A$11, 0), MATCH("Base", 02B_ESCENARIOS!$B$3:$D$3, 0)))*INDEX(02B_ESCENARIOS!$B$15:$D$19, MATCH(VLOOKUP(A35,04_PROYECTOS!$A:$N,9,FALSE), 02B_ESCENARIOS!$A$15:$A$19, 0), MATCH("Base", 02B_ESCENARIOS!$B$14:$D$14, 0))</f>
        <v/>
      </c>
      <c r="F35" s="52">
        <f>E35*VLOOKUP(A35,04_PROYECTOS!$A:$N,6,FALSE)</f>
        <v/>
      </c>
      <c r="G35" s="52">
        <f>E35+F35</f>
        <v/>
      </c>
      <c r="H35" s="19">
        <f>IF(VLOOKUP(A35,04_PROYECTOS!$A:$N,10,FALSE)="", IF(VLOOKUP(A35,04_PROYECTOS!$A:$N,4,FALSE)="Privado", INDEX(02B_ESCENARIOS!$B$4:$D$11, MATCH("DSO_PRIVADO_DEFAULT", 02B_ESCENARIOS!$A$4:$A$11, 0), MATCH("Base", 02B_ESCENARIOS!$B$3:$D$3, 0)), IF(VLOOKUP(A35,04_PROYECTOS!$A:$N,4,FALSE)="Publico_&lt;10M",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VLOOKUP(A35,04_PROYECTOS!$A:$N,10,FALSE))</f>
        <v/>
      </c>
      <c r="I35" s="19">
        <f>ROUNDUP(H35/30,0)</f>
        <v/>
      </c>
      <c r="J35" s="53">
        <f>EDATE(C35,I35)</f>
        <v/>
      </c>
      <c r="K35" s="52">
        <f>G35</f>
        <v/>
      </c>
      <c r="L35" s="16" t="inlineStr">
        <is>
          <t>Inicio 50%</t>
        </is>
      </c>
      <c r="M35" s="16" t="inlineStr"/>
    </row>
    <row r="36">
      <c r="A36" s="16" t="inlineStr">
        <is>
          <t>PRJ-019</t>
        </is>
      </c>
      <c r="B36" s="18" t="n">
        <v>2</v>
      </c>
      <c r="C36" s="51" t="n">
        <v>46081</v>
      </c>
      <c r="D36" s="43" t="n">
        <v>0.5</v>
      </c>
      <c r="E36" s="52">
        <f>D36*VLOOKUP(A36,04_PROYECTOS!$A:$N,5,FALSE)*(INDEX(02B_ESCENARIOS!$B$4:$D$11, MATCH("MULT_PRECIO", 02B_ESCENARIOS!$A$4:$A$11, 0), MATCH("Base", 02B_ESCENARIOS!$B$3:$D$3, 0)))*INDEX(02B_ESCENARIOS!$B$15:$D$19, MATCH(VLOOKUP(A36,04_PROYECTOS!$A:$N,9,FALSE), 02B_ESCENARIOS!$A$15:$A$19, 0), MATCH("Base", 02B_ESCENARIOS!$B$14:$D$14, 0))</f>
        <v/>
      </c>
      <c r="F36" s="52">
        <f>E36*VLOOKUP(A36,04_PROYECTOS!$A:$N,6,FALSE)</f>
        <v/>
      </c>
      <c r="G36" s="52">
        <f>E36+F36</f>
        <v/>
      </c>
      <c r="H36" s="19">
        <f>IF(VLOOKUP(A36,04_PROYECTOS!$A:$N,10,FALSE)="", IF(VLOOKUP(A36,04_PROYECTOS!$A:$N,4,FALSE)="Privado", INDEX(02B_ESCENARIOS!$B$4:$D$11, MATCH("DSO_PRIVADO_DEFAULT", 02B_ESCENARIOS!$A$4:$A$11, 0), MATCH("Base", 02B_ESCENARIOS!$B$3:$D$3, 0)), IF(VLOOKUP(A36,04_PROYECTOS!$A:$N,4,FALSE)="Publico_&lt;10M",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VLOOKUP(A36,04_PROYECTOS!$A:$N,10,FALSE))</f>
        <v/>
      </c>
      <c r="I36" s="19">
        <f>ROUNDUP(H36/30,0)</f>
        <v/>
      </c>
      <c r="J36" s="53">
        <f>EDATE(C36,I36)</f>
        <v/>
      </c>
      <c r="K36" s="52">
        <f>G36</f>
        <v/>
      </c>
      <c r="L36" s="16" t="inlineStr">
        <is>
          <t>Final 50%</t>
        </is>
      </c>
      <c r="M36" s="16" t="inlineStr"/>
    </row>
    <row r="37">
      <c r="A37" s="16" t="inlineStr">
        <is>
          <t>PRJ-020</t>
        </is>
      </c>
      <c r="B37" s="18" t="n">
        <v>1</v>
      </c>
      <c r="C37" s="51" t="n">
        <v>46053</v>
      </c>
      <c r="D37" s="43" t="n">
        <v>0.5</v>
      </c>
      <c r="E37" s="52">
        <f>D37*VLOOKUP(A37,04_PROYECTOS!$A:$N,5,FALSE)*(INDEX(02B_ESCENARIOS!$B$4:$D$11, MATCH("MULT_PRECIO", 02B_ESCENARIOS!$A$4:$A$11, 0), MATCH("Base", 02B_ESCENARIOS!$B$3:$D$3, 0)))*INDEX(02B_ESCENARIOS!$B$15:$D$19, MATCH(VLOOKUP(A37,04_PROYECTOS!$A:$N,9,FALSE), 02B_ESCENARIOS!$A$15:$A$19, 0), MATCH("Base", 02B_ESCENARIOS!$B$14:$D$14, 0))</f>
        <v/>
      </c>
      <c r="F37" s="52">
        <f>E37*VLOOKUP(A37,04_PROYECTOS!$A:$N,6,FALSE)</f>
        <v/>
      </c>
      <c r="G37" s="52">
        <f>E37+F37</f>
        <v/>
      </c>
      <c r="H37" s="19">
        <f>IF(VLOOKUP(A37,04_PROYECTOS!$A:$N,10,FALSE)="", IF(VLOOKUP(A37,04_PROYECTOS!$A:$N,4,FALSE)="Privado", INDEX(02B_ESCENARIOS!$B$4:$D$11, MATCH("DSO_PRIVADO_DEFAULT", 02B_ESCENARIOS!$A$4:$A$11, 0), MATCH("Base", 02B_ESCENARIOS!$B$3:$D$3, 0)), IF(VLOOKUP(A37,04_PROYECTOS!$A:$N,4,FALSE)="Publico_&lt;10M",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VLOOKUP(A37,04_PROYECTOS!$A:$N,10,FALSE))</f>
        <v/>
      </c>
      <c r="I37" s="19">
        <f>ROUNDUP(H37/30,0)</f>
        <v/>
      </c>
      <c r="J37" s="53">
        <f>EDATE(C37,I37)</f>
        <v/>
      </c>
      <c r="K37" s="52">
        <f>G37</f>
        <v/>
      </c>
      <c r="L37" s="16" t="inlineStr">
        <is>
          <t>Inicio 50%</t>
        </is>
      </c>
      <c r="M37" s="16" t="inlineStr"/>
    </row>
    <row r="38">
      <c r="A38" s="16" t="inlineStr">
        <is>
          <t>PRJ-020</t>
        </is>
      </c>
      <c r="B38" s="18" t="n">
        <v>2</v>
      </c>
      <c r="C38" s="51" t="n">
        <v>46053</v>
      </c>
      <c r="D38" s="43" t="n">
        <v>0.5</v>
      </c>
      <c r="E38" s="52">
        <f>D38*VLOOKUP(A38,04_PROYECTOS!$A:$N,5,FALSE)*(INDEX(02B_ESCENARIOS!$B$4:$D$11, MATCH("MULT_PRECIO", 02B_ESCENARIOS!$A$4:$A$11, 0), MATCH("Base", 02B_ESCENARIOS!$B$3:$D$3, 0)))*INDEX(02B_ESCENARIOS!$B$15:$D$19, MATCH(VLOOKUP(A38,04_PROYECTOS!$A:$N,9,FALSE), 02B_ESCENARIOS!$A$15:$A$19, 0), MATCH("Base", 02B_ESCENARIOS!$B$14:$D$14, 0))</f>
        <v/>
      </c>
      <c r="F38" s="52">
        <f>E38*VLOOKUP(A38,04_PROYECTOS!$A:$N,6,FALSE)</f>
        <v/>
      </c>
      <c r="G38" s="52">
        <f>E38+F38</f>
        <v/>
      </c>
      <c r="H38" s="19">
        <f>IF(VLOOKUP(A38,04_PROYECTOS!$A:$N,10,FALSE)="", IF(VLOOKUP(A38,04_PROYECTOS!$A:$N,4,FALSE)="Privado", INDEX(02B_ESCENARIOS!$B$4:$D$11, MATCH("DSO_PRIVADO_DEFAULT", 02B_ESCENARIOS!$A$4:$A$11, 0), MATCH("Base", 02B_ESCENARIOS!$B$3:$D$3, 0)), IF(VLOOKUP(A38,04_PROYECTOS!$A:$N,4,FALSE)="Publico_&lt;10M",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VLOOKUP(A38,04_PROYECTOS!$A:$N,10,FALSE))</f>
        <v/>
      </c>
      <c r="I38" s="19">
        <f>ROUNDUP(H38/30,0)</f>
        <v/>
      </c>
      <c r="J38" s="53">
        <f>EDATE(C38,I38)</f>
        <v/>
      </c>
      <c r="K38" s="52">
        <f>G38</f>
        <v/>
      </c>
      <c r="L38" s="16" t="inlineStr">
        <is>
          <t>Final 50%</t>
        </is>
      </c>
      <c r="M38" s="16" t="inlineStr"/>
    </row>
    <row r="39">
      <c r="A39" s="16" t="inlineStr">
        <is>
          <t>PRJ-021</t>
        </is>
      </c>
      <c r="B39" s="18" t="n">
        <v>1</v>
      </c>
      <c r="C39" s="51" t="n">
        <v>46053</v>
      </c>
      <c r="D39" s="43" t="n">
        <v>1</v>
      </c>
      <c r="E39" s="52">
        <f>D39*VLOOKUP(A39,04_PROYECTOS!$A:$N,5,FALSE)*(INDEX(02B_ESCENARIOS!$B$4:$D$11, MATCH("MULT_PRECIO", 02B_ESCENARIOS!$A$4:$A$11, 0), MATCH("Base", 02B_ESCENARIOS!$B$3:$D$3, 0)))*INDEX(02B_ESCENARIOS!$B$15:$D$19, MATCH(VLOOKUP(A39,04_PROYECTOS!$A:$N,9,FALSE), 02B_ESCENARIOS!$A$15:$A$19, 0), MATCH("Base", 02B_ESCENARIOS!$B$14:$D$14, 0))</f>
        <v/>
      </c>
      <c r="F39" s="52">
        <f>E39*VLOOKUP(A39,04_PROYECTOS!$A:$N,6,FALSE)</f>
        <v/>
      </c>
      <c r="G39" s="52">
        <f>E39+F39</f>
        <v/>
      </c>
      <c r="H39" s="19">
        <f>IF(VLOOKUP(A39,04_PROYECTOS!$A:$N,10,FALSE)="", IF(VLOOKUP(A39,04_PROYECTOS!$A:$N,4,FALSE)="Privado", INDEX(02B_ESCENARIOS!$B$4:$D$11, MATCH("DSO_PRIVADO_DEFAULT", 02B_ESCENARIOS!$A$4:$A$11, 0), MATCH("Base", 02B_ESCENARIOS!$B$3:$D$3, 0)), IF(VLOOKUP(A39,04_PROYECTOS!$A:$N,4,FALSE)="Publico_&lt;10M",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VLOOKUP(A39,04_PROYECTOS!$A:$N,10,FALSE))</f>
        <v/>
      </c>
      <c r="I39" s="19">
        <f>ROUNDUP(H39/30,0)</f>
        <v/>
      </c>
      <c r="J39" s="53">
        <f>EDATE(C39,I39)</f>
        <v/>
      </c>
      <c r="K39" s="52">
        <f>G39</f>
        <v/>
      </c>
      <c r="L39" s="16" t="inlineStr">
        <is>
          <t>Pago final público &lt;10M</t>
        </is>
      </c>
      <c r="M39" s="16" t="inlineStr"/>
    </row>
    <row r="40">
      <c r="A40" s="16" t="inlineStr">
        <is>
          <t>PRJ-022</t>
        </is>
      </c>
      <c r="B40" s="18" t="n">
        <v>1</v>
      </c>
      <c r="C40" s="51" t="n">
        <v>46053</v>
      </c>
      <c r="D40" s="43" t="n">
        <v>1</v>
      </c>
      <c r="E40" s="52">
        <f>D40*VLOOKUP(A40,04_PROYECTOS!$A:$N,5,FALSE)*(INDEX(02B_ESCENARIOS!$B$4:$D$11, MATCH("MULT_PRECIO", 02B_ESCENARIOS!$A$4:$A$11, 0), MATCH("Base", 02B_ESCENARIOS!$B$3:$D$3, 0)))*INDEX(02B_ESCENARIOS!$B$15:$D$19, MATCH(VLOOKUP(A40,04_PROYECTOS!$A:$N,9,FALSE), 02B_ESCENARIOS!$A$15:$A$19, 0), MATCH("Base", 02B_ESCENARIOS!$B$14:$D$14, 0))</f>
        <v/>
      </c>
      <c r="F40" s="52">
        <f>E40*VLOOKUP(A40,04_PROYECTOS!$A:$N,6,FALSE)</f>
        <v/>
      </c>
      <c r="G40" s="52">
        <f>E40+F40</f>
        <v/>
      </c>
      <c r="H40" s="19">
        <f>IF(VLOOKUP(A40,04_PROYECTOS!$A:$N,10,FALSE)="", IF(VLOOKUP(A40,04_PROYECTOS!$A:$N,4,FALSE)="Privado", INDEX(02B_ESCENARIOS!$B$4:$D$11, MATCH("DSO_PRIVADO_DEFAULT", 02B_ESCENARIOS!$A$4:$A$11, 0), MATCH("Base", 02B_ESCENARIOS!$B$3:$D$3, 0)), IF(VLOOKUP(A40,04_PROYECTOS!$A:$N,4,FALSE)="Publico_&lt;10M",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VLOOKUP(A40,04_PROYECTOS!$A:$N,10,FALSE))</f>
        <v/>
      </c>
      <c r="I40" s="19">
        <f>ROUNDUP(H40/30,0)</f>
        <v/>
      </c>
      <c r="J40" s="53">
        <f>EDATE(C40,I40)</f>
        <v/>
      </c>
      <c r="K40" s="52">
        <f>G40</f>
        <v/>
      </c>
      <c r="L40" s="16" t="inlineStr">
        <is>
          <t>Pago final público &lt;10M</t>
        </is>
      </c>
      <c r="M40" s="16" t="inlineStr"/>
    </row>
    <row r="41">
      <c r="A41" s="16" t="inlineStr">
        <is>
          <t>PRJ-023</t>
        </is>
      </c>
      <c r="B41" s="18" t="n">
        <v>1</v>
      </c>
      <c r="C41" s="51" t="n">
        <v>46053</v>
      </c>
      <c r="D41" s="43" t="n">
        <v>1</v>
      </c>
      <c r="E41" s="52">
        <f>D41*VLOOKUP(A41,04_PROYECTOS!$A:$N,5,FALSE)*(INDEX(02B_ESCENARIOS!$B$4:$D$11, MATCH("MULT_PRECIO", 02B_ESCENARIOS!$A$4:$A$11, 0), MATCH("Base", 02B_ESCENARIOS!$B$3:$D$3, 0)))*INDEX(02B_ESCENARIOS!$B$15:$D$19, MATCH(VLOOKUP(A41,04_PROYECTOS!$A:$N,9,FALSE), 02B_ESCENARIOS!$A$15:$A$19, 0), MATCH("Base", 02B_ESCENARIOS!$B$14:$D$14, 0))</f>
        <v/>
      </c>
      <c r="F41" s="52">
        <f>E41*VLOOKUP(A41,04_PROYECTOS!$A:$N,6,FALSE)</f>
        <v/>
      </c>
      <c r="G41" s="52">
        <f>E41+F41</f>
        <v/>
      </c>
      <c r="H41" s="19">
        <f>IF(VLOOKUP(A41,04_PROYECTOS!$A:$N,10,FALSE)="", IF(VLOOKUP(A41,04_PROYECTOS!$A:$N,4,FALSE)="Privado", INDEX(02B_ESCENARIOS!$B$4:$D$11, MATCH("DSO_PRIVADO_DEFAULT", 02B_ESCENARIOS!$A$4:$A$11, 0), MATCH("Base", 02B_ESCENARIOS!$B$3:$D$3, 0)), IF(VLOOKUP(A41,04_PROYECTOS!$A:$N,4,FALSE)="Publico_&lt;10M",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VLOOKUP(A41,04_PROYECTOS!$A:$N,10,FALSE))</f>
        <v/>
      </c>
      <c r="I41" s="19">
        <f>ROUNDUP(H41/30,0)</f>
        <v/>
      </c>
      <c r="J41" s="53">
        <f>EDATE(C41,I41)</f>
        <v/>
      </c>
      <c r="K41" s="52">
        <f>G41</f>
        <v/>
      </c>
      <c r="L41" s="16" t="inlineStr">
        <is>
          <t>Pago final público &lt;10M</t>
        </is>
      </c>
      <c r="M41" s="16" t="inlineStr"/>
    </row>
    <row r="42">
      <c r="A42" s="16" t="inlineStr">
        <is>
          <t>PRJ-024</t>
        </is>
      </c>
      <c r="B42" s="18" t="n">
        <v>1</v>
      </c>
      <c r="C42" s="51" t="n">
        <v>46112</v>
      </c>
      <c r="D42" s="43" t="n">
        <v>0.5</v>
      </c>
      <c r="E42" s="52">
        <f>D42*VLOOKUP(A42,04_PROYECTOS!$A:$N,5,FALSE)*(INDEX(02B_ESCENARIOS!$B$4:$D$11, MATCH("MULT_PRECIO", 02B_ESCENARIOS!$A$4:$A$11, 0), MATCH("Base", 02B_ESCENARIOS!$B$3:$D$3, 0)))*INDEX(02B_ESCENARIOS!$B$15:$D$19, MATCH(VLOOKUP(A42,04_PROYECTOS!$A:$N,9,FALSE), 02B_ESCENARIOS!$A$15:$A$19, 0), MATCH("Base", 02B_ESCENARIOS!$B$14:$D$14, 0))</f>
        <v/>
      </c>
      <c r="F42" s="52">
        <f>E42*VLOOKUP(A42,04_PROYECTOS!$A:$N,6,FALSE)</f>
        <v/>
      </c>
      <c r="G42" s="52">
        <f>E42+F42</f>
        <v/>
      </c>
      <c r="H42" s="19">
        <f>IF(VLOOKUP(A42,04_PROYECTOS!$A:$N,10,FALSE)="", IF(VLOOKUP(A42,04_PROYECTOS!$A:$N,4,FALSE)="Privado", INDEX(02B_ESCENARIOS!$B$4:$D$11, MATCH("DSO_PRIVADO_DEFAULT", 02B_ESCENARIOS!$A$4:$A$11, 0), MATCH("Base", 02B_ESCENARIOS!$B$3:$D$3, 0)), IF(VLOOKUP(A42,04_PROYECTOS!$A:$N,4,FALSE)="Publico_&lt;10M",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VLOOKUP(A42,04_PROYECTOS!$A:$N,10,FALSE))</f>
        <v/>
      </c>
      <c r="I42" s="19">
        <f>ROUNDUP(H42/30,0)</f>
        <v/>
      </c>
      <c r="J42" s="53">
        <f>EDATE(C42,I42)</f>
        <v/>
      </c>
      <c r="K42" s="52">
        <f>G42</f>
        <v/>
      </c>
      <c r="L42" s="16" t="inlineStr">
        <is>
          <t>Inicio 50%</t>
        </is>
      </c>
      <c r="M42" s="16" t="inlineStr"/>
    </row>
    <row r="43">
      <c r="A43" s="16" t="inlineStr">
        <is>
          <t>PRJ-024</t>
        </is>
      </c>
      <c r="B43" s="18" t="n">
        <v>2</v>
      </c>
      <c r="C43" s="51" t="n">
        <v>46112</v>
      </c>
      <c r="D43" s="43" t="n">
        <v>0.5</v>
      </c>
      <c r="E43" s="52">
        <f>D43*VLOOKUP(A43,04_PROYECTOS!$A:$N,5,FALSE)*(INDEX(02B_ESCENARIOS!$B$4:$D$11, MATCH("MULT_PRECIO", 02B_ESCENARIOS!$A$4:$A$11, 0), MATCH("Base", 02B_ESCENARIOS!$B$3:$D$3, 0)))*INDEX(02B_ESCENARIOS!$B$15:$D$19, MATCH(VLOOKUP(A43,04_PROYECTOS!$A:$N,9,FALSE), 02B_ESCENARIOS!$A$15:$A$19, 0), MATCH("Base", 02B_ESCENARIOS!$B$14:$D$14, 0))</f>
        <v/>
      </c>
      <c r="F43" s="52">
        <f>E43*VLOOKUP(A43,04_PROYECTOS!$A:$N,6,FALSE)</f>
        <v/>
      </c>
      <c r="G43" s="52">
        <f>E43+F43</f>
        <v/>
      </c>
      <c r="H43" s="19">
        <f>IF(VLOOKUP(A43,04_PROYECTOS!$A:$N,10,FALSE)="", IF(VLOOKUP(A43,04_PROYECTOS!$A:$N,4,FALSE)="Privado", INDEX(02B_ESCENARIOS!$B$4:$D$11, MATCH("DSO_PRIVADO_DEFAULT", 02B_ESCENARIOS!$A$4:$A$11, 0), MATCH("Base", 02B_ESCENARIOS!$B$3:$D$3, 0)), IF(VLOOKUP(A43,04_PROYECTOS!$A:$N,4,FALSE)="Publico_&lt;10M",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VLOOKUP(A43,04_PROYECTOS!$A:$N,10,FALSE))</f>
        <v/>
      </c>
      <c r="I43" s="19">
        <f>ROUNDUP(H43/30,0)</f>
        <v/>
      </c>
      <c r="J43" s="53">
        <f>EDATE(C43,I43)</f>
        <v/>
      </c>
      <c r="K43" s="52">
        <f>G43</f>
        <v/>
      </c>
      <c r="L43" s="16" t="inlineStr">
        <is>
          <t>Final 50%</t>
        </is>
      </c>
      <c r="M43" s="16" t="inlineStr"/>
    </row>
    <row r="44">
      <c r="A44" s="16" t="inlineStr">
        <is>
          <t>PRJ-025</t>
        </is>
      </c>
      <c r="B44" s="18" t="n">
        <v>1</v>
      </c>
      <c r="C44" s="51" t="n">
        <v>46173</v>
      </c>
      <c r="D44" s="43" t="n">
        <v>0.5</v>
      </c>
      <c r="E44" s="52">
        <f>D44*VLOOKUP(A44,04_PROYECTOS!$A:$N,5,FALSE)*(INDEX(02B_ESCENARIOS!$B$4:$D$11, MATCH("MULT_PRECIO", 02B_ESCENARIOS!$A$4:$A$11, 0), MATCH("Base", 02B_ESCENARIOS!$B$3:$D$3, 0)))*INDEX(02B_ESCENARIOS!$B$15:$D$19, MATCH(VLOOKUP(A44,04_PROYECTOS!$A:$N,9,FALSE), 02B_ESCENARIOS!$A$15:$A$19, 0), MATCH("Base", 02B_ESCENARIOS!$B$14:$D$14, 0))</f>
        <v/>
      </c>
      <c r="F44" s="52">
        <f>E44*VLOOKUP(A44,04_PROYECTOS!$A:$N,6,FALSE)</f>
        <v/>
      </c>
      <c r="G44" s="52">
        <f>E44+F44</f>
        <v/>
      </c>
      <c r="H44" s="19">
        <f>IF(VLOOKUP(A44,04_PROYECTOS!$A:$N,10,FALSE)="", IF(VLOOKUP(A44,04_PROYECTOS!$A:$N,4,FALSE)="Privado", INDEX(02B_ESCENARIOS!$B$4:$D$11, MATCH("DSO_PRIVADO_DEFAULT", 02B_ESCENARIOS!$A$4:$A$11, 0), MATCH("Base", 02B_ESCENARIOS!$B$3:$D$3, 0)), IF(VLOOKUP(A44,04_PROYECTOS!$A:$N,4,FALSE)="Publico_&lt;10M",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VLOOKUP(A44,04_PROYECTOS!$A:$N,10,FALSE))</f>
        <v/>
      </c>
      <c r="I44" s="19">
        <f>ROUNDUP(H44/30,0)</f>
        <v/>
      </c>
      <c r="J44" s="53">
        <f>EDATE(C44,I44)</f>
        <v/>
      </c>
      <c r="K44" s="52">
        <f>G44</f>
        <v/>
      </c>
      <c r="L44" s="16" t="inlineStr">
        <is>
          <t>Inicio 50%</t>
        </is>
      </c>
      <c r="M44" s="16" t="inlineStr"/>
    </row>
    <row r="45">
      <c r="A45" s="16" t="inlineStr">
        <is>
          <t>PRJ-025</t>
        </is>
      </c>
      <c r="B45" s="18" t="n">
        <v>2</v>
      </c>
      <c r="C45" s="51" t="n">
        <v>46173</v>
      </c>
      <c r="D45" s="43" t="n">
        <v>0.5</v>
      </c>
      <c r="E45" s="52">
        <f>D45*VLOOKUP(A45,04_PROYECTOS!$A:$N,5,FALSE)*(INDEX(02B_ESCENARIOS!$B$4:$D$11, MATCH("MULT_PRECIO", 02B_ESCENARIOS!$A$4:$A$11, 0), MATCH("Base", 02B_ESCENARIOS!$B$3:$D$3, 0)))*INDEX(02B_ESCENARIOS!$B$15:$D$19, MATCH(VLOOKUP(A45,04_PROYECTOS!$A:$N,9,FALSE), 02B_ESCENARIOS!$A$15:$A$19, 0), MATCH("Base", 02B_ESCENARIOS!$B$14:$D$14, 0))</f>
        <v/>
      </c>
      <c r="F45" s="52">
        <f>E45*VLOOKUP(A45,04_PROYECTOS!$A:$N,6,FALSE)</f>
        <v/>
      </c>
      <c r="G45" s="52">
        <f>E45+F45</f>
        <v/>
      </c>
      <c r="H45" s="19">
        <f>IF(VLOOKUP(A45,04_PROYECTOS!$A:$N,10,FALSE)="", IF(VLOOKUP(A45,04_PROYECTOS!$A:$N,4,FALSE)="Privado", INDEX(02B_ESCENARIOS!$B$4:$D$11, MATCH("DSO_PRIVADO_DEFAULT", 02B_ESCENARIOS!$A$4:$A$11, 0), MATCH("Base", 02B_ESCENARIOS!$B$3:$D$3, 0)), IF(VLOOKUP(A45,04_PROYECTOS!$A:$N,4,FALSE)="Publico_&lt;10M",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VLOOKUP(A45,04_PROYECTOS!$A:$N,10,FALSE))</f>
        <v/>
      </c>
      <c r="I45" s="19">
        <f>ROUNDUP(H45/30,0)</f>
        <v/>
      </c>
      <c r="J45" s="53">
        <f>EDATE(C45,I45)</f>
        <v/>
      </c>
      <c r="K45" s="52">
        <f>G45</f>
        <v/>
      </c>
      <c r="L45" s="16" t="inlineStr">
        <is>
          <t>Final 50%</t>
        </is>
      </c>
      <c r="M45" s="16" t="inlineStr"/>
    </row>
    <row r="46">
      <c r="E46">
        <f>D46*VLOOKUP(A46,04_PROYECTOS!$A:$N,5,FALSE)*(INDEX(02B_ESCENARIOS!$B$4:$D$11, MATCH("MULT_PRECIO", 02B_ESCENARIOS!$A$4:$A$11, 0), MATCH("Base", 02B_ESCENARIOS!$B$3:$D$3, 0)))*INDEX(02B_ESCENARIOS!$B$15:$D$19, MATCH(VLOOKUP(A46,04_PROYECTOS!$A:$N,9,FALSE), 02B_ESCENARIOS!$A$15:$A$19, 0), MATCH("Base", 02B_ESCENARIOS!$B$14:$D$14, 0))</f>
        <v/>
      </c>
      <c r="F46">
        <f>E46*VLOOKUP(A46,04_PROYECTOS!$A:$N,6,FALSE)</f>
        <v/>
      </c>
      <c r="G46">
        <f>E46+F46</f>
        <v/>
      </c>
      <c r="H46">
        <f>IF(VLOOKUP(A46,04_PROYECTOS!$A:$N,10,FALSE)="", IF(VLOOKUP(A46,04_PROYECTOS!$A:$N,4,FALSE)="Privado", INDEX(02B_ESCENARIOS!$B$4:$D$11, MATCH("DSO_PRIVADO_DEFAULT", 02B_ESCENARIOS!$A$4:$A$11, 0), MATCH("Base", 02B_ESCENARIOS!$B$3:$D$3, 0)), IF(VLOOKUP(A46,04_PROYECTOS!$A:$N,4,FALSE)="Publico_&lt;10M",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VLOOKUP(A46,04_PROYECTOS!$A:$N,10,FALSE))</f>
        <v/>
      </c>
      <c r="I46">
        <f>ROUNDUP(H46/30,0)</f>
        <v/>
      </c>
      <c r="J46">
        <f>EDATE(C46,I46)</f>
        <v/>
      </c>
      <c r="K46">
        <f>G46</f>
        <v/>
      </c>
    </row>
    <row r="47">
      <c r="E47">
        <f>D47*VLOOKUP(A47,04_PROYECTOS!$A:$N,5,FALSE)*(INDEX(02B_ESCENARIOS!$B$4:$D$11, MATCH("MULT_PRECIO", 02B_ESCENARIOS!$A$4:$A$11, 0), MATCH("Base", 02B_ESCENARIOS!$B$3:$D$3, 0)))*INDEX(02B_ESCENARIOS!$B$15:$D$19, MATCH(VLOOKUP(A47,04_PROYECTOS!$A:$N,9,FALSE), 02B_ESCENARIOS!$A$15:$A$19, 0), MATCH("Base", 02B_ESCENARIOS!$B$14:$D$14, 0))</f>
        <v/>
      </c>
      <c r="F47">
        <f>E47*VLOOKUP(A47,04_PROYECTOS!$A:$N,6,FALSE)</f>
        <v/>
      </c>
      <c r="G47">
        <f>E47+F47</f>
        <v/>
      </c>
      <c r="H47">
        <f>IF(VLOOKUP(A47,04_PROYECTOS!$A:$N,10,FALSE)="", IF(VLOOKUP(A47,04_PROYECTOS!$A:$N,4,FALSE)="Privado", INDEX(02B_ESCENARIOS!$B$4:$D$11, MATCH("DSO_PRIVADO_DEFAULT", 02B_ESCENARIOS!$A$4:$A$11, 0), MATCH("Base", 02B_ESCENARIOS!$B$3:$D$3, 0)), IF(VLOOKUP(A47,04_PROYECTOS!$A:$N,4,FALSE)="Publico_&lt;10M",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VLOOKUP(A47,04_PROYECTOS!$A:$N,10,FALSE))</f>
        <v/>
      </c>
      <c r="I47">
        <f>ROUNDUP(H47/30,0)</f>
        <v/>
      </c>
      <c r="J47">
        <f>EDATE(C47,I47)</f>
        <v/>
      </c>
      <c r="K47">
        <f>G47</f>
        <v/>
      </c>
    </row>
    <row r="48">
      <c r="E48">
        <f>D48*VLOOKUP(A48,04_PROYECTOS!$A:$N,5,FALSE)*(INDEX(02B_ESCENARIOS!$B$4:$D$11, MATCH("MULT_PRECIO", 02B_ESCENARIOS!$A$4:$A$11, 0), MATCH("Base", 02B_ESCENARIOS!$B$3:$D$3, 0)))*INDEX(02B_ESCENARIOS!$B$15:$D$19, MATCH(VLOOKUP(A48,04_PROYECTOS!$A:$N,9,FALSE), 02B_ESCENARIOS!$A$15:$A$19, 0), MATCH("Base", 02B_ESCENARIOS!$B$14:$D$14, 0))</f>
        <v/>
      </c>
      <c r="F48">
        <f>E48*VLOOKUP(A48,04_PROYECTOS!$A:$N,6,FALSE)</f>
        <v/>
      </c>
      <c r="G48">
        <f>E48+F48</f>
        <v/>
      </c>
      <c r="H48">
        <f>IF(VLOOKUP(A48,04_PROYECTOS!$A:$N,10,FALSE)="", IF(VLOOKUP(A48,04_PROYECTOS!$A:$N,4,FALSE)="Privado", INDEX(02B_ESCENARIOS!$B$4:$D$11, MATCH("DSO_PRIVADO_DEFAULT", 02B_ESCENARIOS!$A$4:$A$11, 0), MATCH("Base", 02B_ESCENARIOS!$B$3:$D$3, 0)), IF(VLOOKUP(A48,04_PROYECTOS!$A:$N,4,FALSE)="Publico_&lt;10M",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VLOOKUP(A48,04_PROYECTOS!$A:$N,10,FALSE))</f>
        <v/>
      </c>
      <c r="I48">
        <f>ROUNDUP(H48/30,0)</f>
        <v/>
      </c>
      <c r="J48">
        <f>EDATE(C48,I48)</f>
        <v/>
      </c>
      <c r="K48">
        <f>G48</f>
        <v/>
      </c>
    </row>
    <row r="49">
      <c r="E49">
        <f>D49*VLOOKUP(A49,04_PROYECTOS!$A:$N,5,FALSE)*(INDEX(02B_ESCENARIOS!$B$4:$D$11, MATCH("MULT_PRECIO", 02B_ESCENARIOS!$A$4:$A$11, 0), MATCH("Base", 02B_ESCENARIOS!$B$3:$D$3, 0)))*INDEX(02B_ESCENARIOS!$B$15:$D$19, MATCH(VLOOKUP(A49,04_PROYECTOS!$A:$N,9,FALSE), 02B_ESCENARIOS!$A$15:$A$19, 0), MATCH("Base", 02B_ESCENARIOS!$B$14:$D$14, 0))</f>
        <v/>
      </c>
      <c r="F49">
        <f>E49*VLOOKUP(A49,04_PROYECTOS!$A:$N,6,FALSE)</f>
        <v/>
      </c>
      <c r="G49">
        <f>E49+F49</f>
        <v/>
      </c>
      <c r="H49">
        <f>IF(VLOOKUP(A49,04_PROYECTOS!$A:$N,10,FALSE)="", IF(VLOOKUP(A49,04_PROYECTOS!$A:$N,4,FALSE)="Privado", INDEX(02B_ESCENARIOS!$B$4:$D$11, MATCH("DSO_PRIVADO_DEFAULT", 02B_ESCENARIOS!$A$4:$A$11, 0), MATCH("Base", 02B_ESCENARIOS!$B$3:$D$3, 0)), IF(VLOOKUP(A49,04_PROYECTOS!$A:$N,4,FALSE)="Publico_&lt;10M",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VLOOKUP(A49,04_PROYECTOS!$A:$N,10,FALSE))</f>
        <v/>
      </c>
      <c r="I49">
        <f>ROUNDUP(H49/30,0)</f>
        <v/>
      </c>
      <c r="J49">
        <f>EDATE(C49,I49)</f>
        <v/>
      </c>
      <c r="K49">
        <f>G49</f>
        <v/>
      </c>
    </row>
    <row r="50">
      <c r="E50">
        <f>D50*VLOOKUP(A50,04_PROYECTOS!$A:$N,5,FALSE)*(INDEX(02B_ESCENARIOS!$B$4:$D$11, MATCH("MULT_PRECIO", 02B_ESCENARIOS!$A$4:$A$11, 0), MATCH("Base", 02B_ESCENARIOS!$B$3:$D$3, 0)))*INDEX(02B_ESCENARIOS!$B$15:$D$19, MATCH(VLOOKUP(A50,04_PROYECTOS!$A:$N,9,FALSE), 02B_ESCENARIOS!$A$15:$A$19, 0), MATCH("Base", 02B_ESCENARIOS!$B$14:$D$14, 0))</f>
        <v/>
      </c>
      <c r="F50">
        <f>E50*VLOOKUP(A50,04_PROYECTOS!$A:$N,6,FALSE)</f>
        <v/>
      </c>
      <c r="G50">
        <f>E50+F50</f>
        <v/>
      </c>
      <c r="H50">
        <f>IF(VLOOKUP(A50,04_PROYECTOS!$A:$N,10,FALSE)="", IF(VLOOKUP(A50,04_PROYECTOS!$A:$N,4,FALSE)="Privado", INDEX(02B_ESCENARIOS!$B$4:$D$11, MATCH("DSO_PRIVADO_DEFAULT", 02B_ESCENARIOS!$A$4:$A$11, 0), MATCH("Base", 02B_ESCENARIOS!$B$3:$D$3, 0)), IF(VLOOKUP(A50,04_PROYECTOS!$A:$N,4,FALSE)="Publico_&lt;10M",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VLOOKUP(A50,04_PROYECTOS!$A:$N,10,FALSE))</f>
        <v/>
      </c>
      <c r="I50">
        <f>ROUNDUP(H50/30,0)</f>
        <v/>
      </c>
      <c r="J50">
        <f>EDATE(C50,I50)</f>
        <v/>
      </c>
      <c r="K50">
        <f>G50</f>
        <v/>
      </c>
    </row>
    <row r="51">
      <c r="E51">
        <f>D51*VLOOKUP(A51,04_PROYECTOS!$A:$N,5,FALSE)*(INDEX(02B_ESCENARIOS!$B$4:$D$11, MATCH("MULT_PRECIO", 02B_ESCENARIOS!$A$4:$A$11, 0), MATCH("Base", 02B_ESCENARIOS!$B$3:$D$3, 0)))*INDEX(02B_ESCENARIOS!$B$15:$D$19, MATCH(VLOOKUP(A51,04_PROYECTOS!$A:$N,9,FALSE), 02B_ESCENARIOS!$A$15:$A$19, 0), MATCH("Base", 02B_ESCENARIOS!$B$14:$D$14, 0))</f>
        <v/>
      </c>
      <c r="F51">
        <f>E51*VLOOKUP(A51,04_PROYECTOS!$A:$N,6,FALSE)</f>
        <v/>
      </c>
      <c r="G51">
        <f>E51+F51</f>
        <v/>
      </c>
      <c r="H51">
        <f>IF(VLOOKUP(A51,04_PROYECTOS!$A:$N,10,FALSE)="", IF(VLOOKUP(A51,04_PROYECTOS!$A:$N,4,FALSE)="Privado", INDEX(02B_ESCENARIOS!$B$4:$D$11, MATCH("DSO_PRIVADO_DEFAULT", 02B_ESCENARIOS!$A$4:$A$11, 0), MATCH("Base", 02B_ESCENARIOS!$B$3:$D$3, 0)), IF(VLOOKUP(A51,04_PROYECTOS!$A:$N,4,FALSE)="Publico_&lt;10M",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VLOOKUP(A51,04_PROYECTOS!$A:$N,10,FALSE))</f>
        <v/>
      </c>
      <c r="I51">
        <f>ROUNDUP(H51/30,0)</f>
        <v/>
      </c>
      <c r="J51">
        <f>EDATE(C51,I51)</f>
        <v/>
      </c>
      <c r="K51">
        <f>G51</f>
        <v/>
      </c>
    </row>
    <row r="52">
      <c r="E52">
        <f>D52*VLOOKUP(A52,04_PROYECTOS!$A:$N,5,FALSE)*(INDEX(02B_ESCENARIOS!$B$4:$D$11, MATCH("MULT_PRECIO", 02B_ESCENARIOS!$A$4:$A$11, 0), MATCH("Base", 02B_ESCENARIOS!$B$3:$D$3, 0)))*INDEX(02B_ESCENARIOS!$B$15:$D$19, MATCH(VLOOKUP(A52,04_PROYECTOS!$A:$N,9,FALSE), 02B_ESCENARIOS!$A$15:$A$19, 0), MATCH("Base", 02B_ESCENARIOS!$B$14:$D$14, 0))</f>
        <v/>
      </c>
      <c r="F52">
        <f>E52*VLOOKUP(A52,04_PROYECTOS!$A:$N,6,FALSE)</f>
        <v/>
      </c>
      <c r="G52">
        <f>E52+F52</f>
        <v/>
      </c>
      <c r="H52">
        <f>IF(VLOOKUP(A52,04_PROYECTOS!$A:$N,10,FALSE)="", IF(VLOOKUP(A52,04_PROYECTOS!$A:$N,4,FALSE)="Privado", INDEX(02B_ESCENARIOS!$B$4:$D$11, MATCH("DSO_PRIVADO_DEFAULT", 02B_ESCENARIOS!$A$4:$A$11, 0), MATCH("Base", 02B_ESCENARIOS!$B$3:$D$3, 0)), IF(VLOOKUP(A52,04_PROYECTOS!$A:$N,4,FALSE)="Publico_&lt;10M",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VLOOKUP(A52,04_PROYECTOS!$A:$N,10,FALSE))</f>
        <v/>
      </c>
      <c r="I52">
        <f>ROUNDUP(H52/30,0)</f>
        <v/>
      </c>
      <c r="J52">
        <f>EDATE(C52,I52)</f>
        <v/>
      </c>
      <c r="K52">
        <f>G52</f>
        <v/>
      </c>
    </row>
    <row r="53">
      <c r="E53">
        <f>D53*VLOOKUP(A53,04_PROYECTOS!$A:$N,5,FALSE)*(INDEX(02B_ESCENARIOS!$B$4:$D$11, MATCH("MULT_PRECIO", 02B_ESCENARIOS!$A$4:$A$11, 0), MATCH("Base", 02B_ESCENARIOS!$B$3:$D$3, 0)))*INDEX(02B_ESCENARIOS!$B$15:$D$19, MATCH(VLOOKUP(A53,04_PROYECTOS!$A:$N,9,FALSE), 02B_ESCENARIOS!$A$15:$A$19, 0), MATCH("Base", 02B_ESCENARIOS!$B$14:$D$14, 0))</f>
        <v/>
      </c>
      <c r="F53">
        <f>E53*VLOOKUP(A53,04_PROYECTOS!$A:$N,6,FALSE)</f>
        <v/>
      </c>
      <c r="G53">
        <f>E53+F53</f>
        <v/>
      </c>
      <c r="H53">
        <f>IF(VLOOKUP(A53,04_PROYECTOS!$A:$N,10,FALSE)="", IF(VLOOKUP(A53,04_PROYECTOS!$A:$N,4,FALSE)="Privado", INDEX(02B_ESCENARIOS!$B$4:$D$11, MATCH("DSO_PRIVADO_DEFAULT", 02B_ESCENARIOS!$A$4:$A$11, 0), MATCH("Base", 02B_ESCENARIOS!$B$3:$D$3, 0)), IF(VLOOKUP(A53,04_PROYECTOS!$A:$N,4,FALSE)="Publico_&lt;10M",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VLOOKUP(A53,04_PROYECTOS!$A:$N,10,FALSE))</f>
        <v/>
      </c>
      <c r="I53">
        <f>ROUNDUP(H53/30,0)</f>
        <v/>
      </c>
      <c r="J53">
        <f>EDATE(C53,I53)</f>
        <v/>
      </c>
      <c r="K53">
        <f>G53</f>
        <v/>
      </c>
    </row>
    <row r="54">
      <c r="E54">
        <f>D54*VLOOKUP(A54,04_PROYECTOS!$A:$N,5,FALSE)*(INDEX(02B_ESCENARIOS!$B$4:$D$11, MATCH("MULT_PRECIO", 02B_ESCENARIOS!$A$4:$A$11, 0), MATCH("Base", 02B_ESCENARIOS!$B$3:$D$3, 0)))*INDEX(02B_ESCENARIOS!$B$15:$D$19, MATCH(VLOOKUP(A54,04_PROYECTOS!$A:$N,9,FALSE), 02B_ESCENARIOS!$A$15:$A$19, 0), MATCH("Base", 02B_ESCENARIOS!$B$14:$D$14, 0))</f>
        <v/>
      </c>
      <c r="F54">
        <f>E54*VLOOKUP(A54,04_PROYECTOS!$A:$N,6,FALSE)</f>
        <v/>
      </c>
      <c r="G54">
        <f>E54+F54</f>
        <v/>
      </c>
      <c r="H54">
        <f>IF(VLOOKUP(A54,04_PROYECTOS!$A:$N,10,FALSE)="", IF(VLOOKUP(A54,04_PROYECTOS!$A:$N,4,FALSE)="Privado", INDEX(02B_ESCENARIOS!$B$4:$D$11, MATCH("DSO_PRIVADO_DEFAULT", 02B_ESCENARIOS!$A$4:$A$11, 0), MATCH("Base", 02B_ESCENARIOS!$B$3:$D$3, 0)), IF(VLOOKUP(A54,04_PROYECTOS!$A:$N,4,FALSE)="Publico_&lt;10M",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VLOOKUP(A54,04_PROYECTOS!$A:$N,10,FALSE))</f>
        <v/>
      </c>
      <c r="I54">
        <f>ROUNDUP(H54/30,0)</f>
        <v/>
      </c>
      <c r="J54">
        <f>EDATE(C54,I54)</f>
        <v/>
      </c>
      <c r="K54">
        <f>G54</f>
        <v/>
      </c>
    </row>
    <row r="55">
      <c r="E55">
        <f>D55*VLOOKUP(A55,04_PROYECTOS!$A:$N,5,FALSE)*(INDEX(02B_ESCENARIOS!$B$4:$D$11, MATCH("MULT_PRECIO", 02B_ESCENARIOS!$A$4:$A$11, 0), MATCH("Base", 02B_ESCENARIOS!$B$3:$D$3, 0)))*INDEX(02B_ESCENARIOS!$B$15:$D$19, MATCH(VLOOKUP(A55,04_PROYECTOS!$A:$N,9,FALSE), 02B_ESCENARIOS!$A$15:$A$19, 0), MATCH("Base", 02B_ESCENARIOS!$B$14:$D$14, 0))</f>
        <v/>
      </c>
      <c r="F55">
        <f>E55*VLOOKUP(A55,04_PROYECTOS!$A:$N,6,FALSE)</f>
        <v/>
      </c>
      <c r="G55">
        <f>E55+F55</f>
        <v/>
      </c>
      <c r="H55">
        <f>IF(VLOOKUP(A55,04_PROYECTOS!$A:$N,10,FALSE)="", IF(VLOOKUP(A55,04_PROYECTOS!$A:$N,4,FALSE)="Privado", INDEX(02B_ESCENARIOS!$B$4:$D$11, MATCH("DSO_PRIVADO_DEFAULT", 02B_ESCENARIOS!$A$4:$A$11, 0), MATCH("Base", 02B_ESCENARIOS!$B$3:$D$3, 0)), IF(VLOOKUP(A55,04_PROYECTOS!$A:$N,4,FALSE)="Publico_&lt;10M",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VLOOKUP(A55,04_PROYECTOS!$A:$N,10,FALSE))</f>
        <v/>
      </c>
      <c r="I55">
        <f>ROUNDUP(H55/30,0)</f>
        <v/>
      </c>
      <c r="J55">
        <f>EDATE(C55,I55)</f>
        <v/>
      </c>
      <c r="K55">
        <f>G55</f>
        <v/>
      </c>
    </row>
    <row r="56">
      <c r="E56">
        <f>D56*VLOOKUP(A56,04_PROYECTOS!$A:$N,5,FALSE)*(INDEX(02B_ESCENARIOS!$B$4:$D$11, MATCH("MULT_PRECIO", 02B_ESCENARIOS!$A$4:$A$11, 0), MATCH("Base", 02B_ESCENARIOS!$B$3:$D$3, 0)))*INDEX(02B_ESCENARIOS!$B$15:$D$19, MATCH(VLOOKUP(A56,04_PROYECTOS!$A:$N,9,FALSE), 02B_ESCENARIOS!$A$15:$A$19, 0), MATCH("Base", 02B_ESCENARIOS!$B$14:$D$14, 0))</f>
        <v/>
      </c>
      <c r="F56">
        <f>E56*VLOOKUP(A56,04_PROYECTOS!$A:$N,6,FALSE)</f>
        <v/>
      </c>
      <c r="G56">
        <f>E56+F56</f>
        <v/>
      </c>
      <c r="H56">
        <f>IF(VLOOKUP(A56,04_PROYECTOS!$A:$N,10,FALSE)="", IF(VLOOKUP(A56,04_PROYECTOS!$A:$N,4,FALSE)="Privado", INDEX(02B_ESCENARIOS!$B$4:$D$11, MATCH("DSO_PRIVADO_DEFAULT", 02B_ESCENARIOS!$A$4:$A$11, 0), MATCH("Base", 02B_ESCENARIOS!$B$3:$D$3, 0)), IF(VLOOKUP(A56,04_PROYECTOS!$A:$N,4,FALSE)="Publico_&lt;10M",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VLOOKUP(A56,04_PROYECTOS!$A:$N,10,FALSE))</f>
        <v/>
      </c>
      <c r="I56">
        <f>ROUNDUP(H56/30,0)</f>
        <v/>
      </c>
      <c r="J56">
        <f>EDATE(C56,I56)</f>
        <v/>
      </c>
      <c r="K56">
        <f>G56</f>
        <v/>
      </c>
    </row>
    <row r="57">
      <c r="E57">
        <f>D57*VLOOKUP(A57,04_PROYECTOS!$A:$N,5,FALSE)*(INDEX(02B_ESCENARIOS!$B$4:$D$11, MATCH("MULT_PRECIO", 02B_ESCENARIOS!$A$4:$A$11, 0), MATCH("Base", 02B_ESCENARIOS!$B$3:$D$3, 0)))*INDEX(02B_ESCENARIOS!$B$15:$D$19, MATCH(VLOOKUP(A57,04_PROYECTOS!$A:$N,9,FALSE), 02B_ESCENARIOS!$A$15:$A$19, 0), MATCH("Base", 02B_ESCENARIOS!$B$14:$D$14, 0))</f>
        <v/>
      </c>
      <c r="F57">
        <f>E57*VLOOKUP(A57,04_PROYECTOS!$A:$N,6,FALSE)</f>
        <v/>
      </c>
      <c r="G57">
        <f>E57+F57</f>
        <v/>
      </c>
      <c r="H57">
        <f>IF(VLOOKUP(A57,04_PROYECTOS!$A:$N,10,FALSE)="", IF(VLOOKUP(A57,04_PROYECTOS!$A:$N,4,FALSE)="Privado", INDEX(02B_ESCENARIOS!$B$4:$D$11, MATCH("DSO_PRIVADO_DEFAULT", 02B_ESCENARIOS!$A$4:$A$11, 0), MATCH("Base", 02B_ESCENARIOS!$B$3:$D$3, 0)), IF(VLOOKUP(A57,04_PROYECTOS!$A:$N,4,FALSE)="Publico_&lt;10M",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VLOOKUP(A57,04_PROYECTOS!$A:$N,10,FALSE))</f>
        <v/>
      </c>
      <c r="I57">
        <f>ROUNDUP(H57/30,0)</f>
        <v/>
      </c>
      <c r="J57">
        <f>EDATE(C57,I57)</f>
        <v/>
      </c>
      <c r="K57">
        <f>G57</f>
        <v/>
      </c>
    </row>
    <row r="58">
      <c r="E58">
        <f>D58*VLOOKUP(A58,04_PROYECTOS!$A:$N,5,FALSE)*(INDEX(02B_ESCENARIOS!$B$4:$D$11, MATCH("MULT_PRECIO", 02B_ESCENARIOS!$A$4:$A$11, 0), MATCH("Base", 02B_ESCENARIOS!$B$3:$D$3, 0)))*INDEX(02B_ESCENARIOS!$B$15:$D$19, MATCH(VLOOKUP(A58,04_PROYECTOS!$A:$N,9,FALSE), 02B_ESCENARIOS!$A$15:$A$19, 0), MATCH("Base", 02B_ESCENARIOS!$B$14:$D$14, 0))</f>
        <v/>
      </c>
      <c r="F58">
        <f>E58*VLOOKUP(A58,04_PROYECTOS!$A:$N,6,FALSE)</f>
        <v/>
      </c>
      <c r="G58">
        <f>E58+F58</f>
        <v/>
      </c>
      <c r="H58">
        <f>IF(VLOOKUP(A58,04_PROYECTOS!$A:$N,10,FALSE)="", IF(VLOOKUP(A58,04_PROYECTOS!$A:$N,4,FALSE)="Privado", INDEX(02B_ESCENARIOS!$B$4:$D$11, MATCH("DSO_PRIVADO_DEFAULT", 02B_ESCENARIOS!$A$4:$A$11, 0), MATCH("Base", 02B_ESCENARIOS!$B$3:$D$3, 0)), IF(VLOOKUP(A58,04_PROYECTOS!$A:$N,4,FALSE)="Publico_&lt;10M",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VLOOKUP(A58,04_PROYECTOS!$A:$N,10,FALSE))</f>
        <v/>
      </c>
      <c r="I58">
        <f>ROUNDUP(H58/30,0)</f>
        <v/>
      </c>
      <c r="J58">
        <f>EDATE(C58,I58)</f>
        <v/>
      </c>
      <c r="K58">
        <f>G58</f>
        <v/>
      </c>
    </row>
    <row r="59">
      <c r="E59">
        <f>D59*VLOOKUP(A59,04_PROYECTOS!$A:$N,5,FALSE)*(INDEX(02B_ESCENARIOS!$B$4:$D$11, MATCH("MULT_PRECIO", 02B_ESCENARIOS!$A$4:$A$11, 0), MATCH("Base", 02B_ESCENARIOS!$B$3:$D$3, 0)))*INDEX(02B_ESCENARIOS!$B$15:$D$19, MATCH(VLOOKUP(A59,04_PROYECTOS!$A:$N,9,FALSE), 02B_ESCENARIOS!$A$15:$A$19, 0), MATCH("Base", 02B_ESCENARIOS!$B$14:$D$14, 0))</f>
        <v/>
      </c>
      <c r="F59">
        <f>E59*VLOOKUP(A59,04_PROYECTOS!$A:$N,6,FALSE)</f>
        <v/>
      </c>
      <c r="G59">
        <f>E59+F59</f>
        <v/>
      </c>
      <c r="H59">
        <f>IF(VLOOKUP(A59,04_PROYECTOS!$A:$N,10,FALSE)="", IF(VLOOKUP(A59,04_PROYECTOS!$A:$N,4,FALSE)="Privado", INDEX(02B_ESCENARIOS!$B$4:$D$11, MATCH("DSO_PRIVADO_DEFAULT", 02B_ESCENARIOS!$A$4:$A$11, 0), MATCH("Base", 02B_ESCENARIOS!$B$3:$D$3, 0)), IF(VLOOKUP(A59,04_PROYECTOS!$A:$N,4,FALSE)="Publico_&lt;10M",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VLOOKUP(A59,04_PROYECTOS!$A:$N,10,FALSE))</f>
        <v/>
      </c>
      <c r="I59">
        <f>ROUNDUP(H59/30,0)</f>
        <v/>
      </c>
      <c r="J59">
        <f>EDATE(C59,I59)</f>
        <v/>
      </c>
      <c r="K59">
        <f>G59</f>
        <v/>
      </c>
    </row>
    <row r="60">
      <c r="E60">
        <f>D60*VLOOKUP(A60,04_PROYECTOS!$A:$N,5,FALSE)*(INDEX(02B_ESCENARIOS!$B$4:$D$11, MATCH("MULT_PRECIO", 02B_ESCENARIOS!$A$4:$A$11, 0), MATCH("Base", 02B_ESCENARIOS!$B$3:$D$3, 0)))*INDEX(02B_ESCENARIOS!$B$15:$D$19, MATCH(VLOOKUP(A60,04_PROYECTOS!$A:$N,9,FALSE), 02B_ESCENARIOS!$A$15:$A$19, 0), MATCH("Base", 02B_ESCENARIOS!$B$14:$D$14, 0))</f>
        <v/>
      </c>
      <c r="F60">
        <f>E60*VLOOKUP(A60,04_PROYECTOS!$A:$N,6,FALSE)</f>
        <v/>
      </c>
      <c r="G60">
        <f>E60+F60</f>
        <v/>
      </c>
      <c r="H60">
        <f>IF(VLOOKUP(A60,04_PROYECTOS!$A:$N,10,FALSE)="", IF(VLOOKUP(A60,04_PROYECTOS!$A:$N,4,FALSE)="Privado", INDEX(02B_ESCENARIOS!$B$4:$D$11, MATCH("DSO_PRIVADO_DEFAULT", 02B_ESCENARIOS!$A$4:$A$11, 0), MATCH("Base", 02B_ESCENARIOS!$B$3:$D$3, 0)), IF(VLOOKUP(A60,04_PROYECTOS!$A:$N,4,FALSE)="Publico_&lt;10M",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VLOOKUP(A60,04_PROYECTOS!$A:$N,10,FALSE))</f>
        <v/>
      </c>
      <c r="I60">
        <f>ROUNDUP(H60/30,0)</f>
        <v/>
      </c>
      <c r="J60">
        <f>EDATE(C60,I60)</f>
        <v/>
      </c>
      <c r="K60">
        <f>G60</f>
        <v/>
      </c>
    </row>
    <row r="61">
      <c r="E61">
        <f>D61*VLOOKUP(A61,04_PROYECTOS!$A:$N,5,FALSE)*(INDEX(02B_ESCENARIOS!$B$4:$D$11, MATCH("MULT_PRECIO", 02B_ESCENARIOS!$A$4:$A$11, 0), MATCH("Base", 02B_ESCENARIOS!$B$3:$D$3, 0)))*INDEX(02B_ESCENARIOS!$B$15:$D$19, MATCH(VLOOKUP(A61,04_PROYECTOS!$A:$N,9,FALSE), 02B_ESCENARIOS!$A$15:$A$19, 0), MATCH("Base", 02B_ESCENARIOS!$B$14:$D$14, 0))</f>
        <v/>
      </c>
      <c r="F61">
        <f>E61*VLOOKUP(A61,04_PROYECTOS!$A:$N,6,FALSE)</f>
        <v/>
      </c>
      <c r="G61">
        <f>E61+F61</f>
        <v/>
      </c>
      <c r="H61">
        <f>IF(VLOOKUP(A61,04_PROYECTOS!$A:$N,10,FALSE)="", IF(VLOOKUP(A61,04_PROYECTOS!$A:$N,4,FALSE)="Privado", INDEX(02B_ESCENARIOS!$B$4:$D$11, MATCH("DSO_PRIVADO_DEFAULT", 02B_ESCENARIOS!$A$4:$A$11, 0), MATCH("Base", 02B_ESCENARIOS!$B$3:$D$3, 0)), IF(VLOOKUP(A61,04_PROYECTOS!$A:$N,4,FALSE)="Publico_&lt;10M",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VLOOKUP(A61,04_PROYECTOS!$A:$N,10,FALSE))</f>
        <v/>
      </c>
      <c r="I61">
        <f>ROUNDUP(H61/30,0)</f>
        <v/>
      </c>
      <c r="J61">
        <f>EDATE(C61,I61)</f>
        <v/>
      </c>
      <c r="K61">
        <f>G61</f>
        <v/>
      </c>
    </row>
    <row r="62">
      <c r="E62">
        <f>D62*VLOOKUP(A62,04_PROYECTOS!$A:$N,5,FALSE)*(INDEX(02B_ESCENARIOS!$B$4:$D$11, MATCH("MULT_PRECIO", 02B_ESCENARIOS!$A$4:$A$11, 0), MATCH("Base", 02B_ESCENARIOS!$B$3:$D$3, 0)))*INDEX(02B_ESCENARIOS!$B$15:$D$19, MATCH(VLOOKUP(A62,04_PROYECTOS!$A:$N,9,FALSE), 02B_ESCENARIOS!$A$15:$A$19, 0), MATCH("Base", 02B_ESCENARIOS!$B$14:$D$14, 0))</f>
        <v/>
      </c>
      <c r="F62">
        <f>E62*VLOOKUP(A62,04_PROYECTOS!$A:$N,6,FALSE)</f>
        <v/>
      </c>
      <c r="G62">
        <f>E62+F62</f>
        <v/>
      </c>
      <c r="H62">
        <f>IF(VLOOKUP(A62,04_PROYECTOS!$A:$N,10,FALSE)="", IF(VLOOKUP(A62,04_PROYECTOS!$A:$N,4,FALSE)="Privado", INDEX(02B_ESCENARIOS!$B$4:$D$11, MATCH("DSO_PRIVADO_DEFAULT", 02B_ESCENARIOS!$A$4:$A$11, 0), MATCH("Base", 02B_ESCENARIOS!$B$3:$D$3, 0)), IF(VLOOKUP(A62,04_PROYECTOS!$A:$N,4,FALSE)="Publico_&lt;10M",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VLOOKUP(A62,04_PROYECTOS!$A:$N,10,FALSE))</f>
        <v/>
      </c>
      <c r="I62">
        <f>ROUNDUP(H62/30,0)</f>
        <v/>
      </c>
      <c r="J62">
        <f>EDATE(C62,I62)</f>
        <v/>
      </c>
      <c r="K62">
        <f>G62</f>
        <v/>
      </c>
    </row>
    <row r="63">
      <c r="E63">
        <f>D63*VLOOKUP(A63,04_PROYECTOS!$A:$N,5,FALSE)*(INDEX(02B_ESCENARIOS!$B$4:$D$11, MATCH("MULT_PRECIO", 02B_ESCENARIOS!$A$4:$A$11, 0), MATCH("Base", 02B_ESCENARIOS!$B$3:$D$3, 0)))*INDEX(02B_ESCENARIOS!$B$15:$D$19, MATCH(VLOOKUP(A63,04_PROYECTOS!$A:$N,9,FALSE), 02B_ESCENARIOS!$A$15:$A$19, 0), MATCH("Base", 02B_ESCENARIOS!$B$14:$D$14, 0))</f>
        <v/>
      </c>
      <c r="F63">
        <f>E63*VLOOKUP(A63,04_PROYECTOS!$A:$N,6,FALSE)</f>
        <v/>
      </c>
      <c r="G63">
        <f>E63+F63</f>
        <v/>
      </c>
      <c r="H63">
        <f>IF(VLOOKUP(A63,04_PROYECTOS!$A:$N,10,FALSE)="", IF(VLOOKUP(A63,04_PROYECTOS!$A:$N,4,FALSE)="Privado", INDEX(02B_ESCENARIOS!$B$4:$D$11, MATCH("DSO_PRIVADO_DEFAULT", 02B_ESCENARIOS!$A$4:$A$11, 0), MATCH("Base", 02B_ESCENARIOS!$B$3:$D$3, 0)), IF(VLOOKUP(A63,04_PROYECTOS!$A:$N,4,FALSE)="Publico_&lt;10M",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VLOOKUP(A63,04_PROYECTOS!$A:$N,10,FALSE))</f>
        <v/>
      </c>
      <c r="I63">
        <f>ROUNDUP(H63/30,0)</f>
        <v/>
      </c>
      <c r="J63">
        <f>EDATE(C63,I63)</f>
        <v/>
      </c>
      <c r="K63">
        <f>G63</f>
        <v/>
      </c>
    </row>
    <row r="64">
      <c r="E64">
        <f>D64*VLOOKUP(A64,04_PROYECTOS!$A:$N,5,FALSE)*(INDEX(02B_ESCENARIOS!$B$4:$D$11, MATCH("MULT_PRECIO", 02B_ESCENARIOS!$A$4:$A$11, 0), MATCH("Base", 02B_ESCENARIOS!$B$3:$D$3, 0)))*INDEX(02B_ESCENARIOS!$B$15:$D$19, MATCH(VLOOKUP(A64,04_PROYECTOS!$A:$N,9,FALSE), 02B_ESCENARIOS!$A$15:$A$19, 0), MATCH("Base", 02B_ESCENARIOS!$B$14:$D$14, 0))</f>
        <v/>
      </c>
      <c r="F64">
        <f>E64*VLOOKUP(A64,04_PROYECTOS!$A:$N,6,FALSE)</f>
        <v/>
      </c>
      <c r="G64">
        <f>E64+F64</f>
        <v/>
      </c>
      <c r="H64">
        <f>IF(VLOOKUP(A64,04_PROYECTOS!$A:$N,10,FALSE)="", IF(VLOOKUP(A64,04_PROYECTOS!$A:$N,4,FALSE)="Privado", INDEX(02B_ESCENARIOS!$B$4:$D$11, MATCH("DSO_PRIVADO_DEFAULT", 02B_ESCENARIOS!$A$4:$A$11, 0), MATCH("Base", 02B_ESCENARIOS!$B$3:$D$3, 0)), IF(VLOOKUP(A64,04_PROYECTOS!$A:$N,4,FALSE)="Publico_&lt;10M",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VLOOKUP(A64,04_PROYECTOS!$A:$N,10,FALSE))</f>
        <v/>
      </c>
      <c r="I64">
        <f>ROUNDUP(H64/30,0)</f>
        <v/>
      </c>
      <c r="J64">
        <f>EDATE(C64,I64)</f>
        <v/>
      </c>
      <c r="K64">
        <f>G64</f>
        <v/>
      </c>
    </row>
    <row r="65">
      <c r="E65">
        <f>D65*VLOOKUP(A65,04_PROYECTOS!$A:$N,5,FALSE)*(INDEX(02B_ESCENARIOS!$B$4:$D$11, MATCH("MULT_PRECIO", 02B_ESCENARIOS!$A$4:$A$11, 0), MATCH("Base", 02B_ESCENARIOS!$B$3:$D$3, 0)))*INDEX(02B_ESCENARIOS!$B$15:$D$19, MATCH(VLOOKUP(A65,04_PROYECTOS!$A:$N,9,FALSE), 02B_ESCENARIOS!$A$15:$A$19, 0), MATCH("Base", 02B_ESCENARIOS!$B$14:$D$14, 0))</f>
        <v/>
      </c>
      <c r="F65">
        <f>E65*VLOOKUP(A65,04_PROYECTOS!$A:$N,6,FALSE)</f>
        <v/>
      </c>
      <c r="G65">
        <f>E65+F65</f>
        <v/>
      </c>
      <c r="H65">
        <f>IF(VLOOKUP(A65,04_PROYECTOS!$A:$N,10,FALSE)="", IF(VLOOKUP(A65,04_PROYECTOS!$A:$N,4,FALSE)="Privado", INDEX(02B_ESCENARIOS!$B$4:$D$11, MATCH("DSO_PRIVADO_DEFAULT", 02B_ESCENARIOS!$A$4:$A$11, 0), MATCH("Base", 02B_ESCENARIOS!$B$3:$D$3, 0)), IF(VLOOKUP(A65,04_PROYECTOS!$A:$N,4,FALSE)="Publico_&lt;10M",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VLOOKUP(A65,04_PROYECTOS!$A:$N,10,FALSE))</f>
        <v/>
      </c>
      <c r="I65">
        <f>ROUNDUP(H65/30,0)</f>
        <v/>
      </c>
      <c r="J65">
        <f>EDATE(C65,I65)</f>
        <v/>
      </c>
      <c r="K65">
        <f>G65</f>
        <v/>
      </c>
    </row>
    <row r="66">
      <c r="E66">
        <f>D66*VLOOKUP(A66,04_PROYECTOS!$A:$N,5,FALSE)*(INDEX(02B_ESCENARIOS!$B$4:$D$11, MATCH("MULT_PRECIO", 02B_ESCENARIOS!$A$4:$A$11, 0), MATCH("Base", 02B_ESCENARIOS!$B$3:$D$3, 0)))*INDEX(02B_ESCENARIOS!$B$15:$D$19, MATCH(VLOOKUP(A66,04_PROYECTOS!$A:$N,9,FALSE), 02B_ESCENARIOS!$A$15:$A$19, 0), MATCH("Base", 02B_ESCENARIOS!$B$14:$D$14, 0))</f>
        <v/>
      </c>
      <c r="F66">
        <f>E66*VLOOKUP(A66,04_PROYECTOS!$A:$N,6,FALSE)</f>
        <v/>
      </c>
      <c r="G66">
        <f>E66+F66</f>
        <v/>
      </c>
      <c r="H66">
        <f>IF(VLOOKUP(A66,04_PROYECTOS!$A:$N,10,FALSE)="", IF(VLOOKUP(A66,04_PROYECTOS!$A:$N,4,FALSE)="Privado", INDEX(02B_ESCENARIOS!$B$4:$D$11, MATCH("DSO_PRIVADO_DEFAULT", 02B_ESCENARIOS!$A$4:$A$11, 0), MATCH("Base", 02B_ESCENARIOS!$B$3:$D$3, 0)), IF(VLOOKUP(A66,04_PROYECTOS!$A:$N,4,FALSE)="Publico_&lt;10M",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VLOOKUP(A66,04_PROYECTOS!$A:$N,10,FALSE))</f>
        <v/>
      </c>
      <c r="I66">
        <f>ROUNDUP(H66/30,0)</f>
        <v/>
      </c>
      <c r="J66">
        <f>EDATE(C66,I66)</f>
        <v/>
      </c>
      <c r="K66">
        <f>G66</f>
        <v/>
      </c>
    </row>
    <row r="67">
      <c r="E67">
        <f>D67*VLOOKUP(A67,04_PROYECTOS!$A:$N,5,FALSE)*(INDEX(02B_ESCENARIOS!$B$4:$D$11, MATCH("MULT_PRECIO", 02B_ESCENARIOS!$A$4:$A$11, 0), MATCH("Base", 02B_ESCENARIOS!$B$3:$D$3, 0)))*INDEX(02B_ESCENARIOS!$B$15:$D$19, MATCH(VLOOKUP(A67,04_PROYECTOS!$A:$N,9,FALSE), 02B_ESCENARIOS!$A$15:$A$19, 0), MATCH("Base", 02B_ESCENARIOS!$B$14:$D$14, 0))</f>
        <v/>
      </c>
      <c r="F67">
        <f>E67*VLOOKUP(A67,04_PROYECTOS!$A:$N,6,FALSE)</f>
        <v/>
      </c>
      <c r="G67">
        <f>E67+F67</f>
        <v/>
      </c>
      <c r="H67">
        <f>IF(VLOOKUP(A67,04_PROYECTOS!$A:$N,10,FALSE)="", IF(VLOOKUP(A67,04_PROYECTOS!$A:$N,4,FALSE)="Privado", INDEX(02B_ESCENARIOS!$B$4:$D$11, MATCH("DSO_PRIVADO_DEFAULT", 02B_ESCENARIOS!$A$4:$A$11, 0), MATCH("Base", 02B_ESCENARIOS!$B$3:$D$3, 0)), IF(VLOOKUP(A67,04_PROYECTOS!$A:$N,4,FALSE)="Publico_&lt;10M",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VLOOKUP(A67,04_PROYECTOS!$A:$N,10,FALSE))</f>
        <v/>
      </c>
      <c r="I67">
        <f>ROUNDUP(H67/30,0)</f>
        <v/>
      </c>
      <c r="J67">
        <f>EDATE(C67,I67)</f>
        <v/>
      </c>
      <c r="K67">
        <f>G67</f>
        <v/>
      </c>
    </row>
    <row r="68">
      <c r="E68">
        <f>D68*VLOOKUP(A68,04_PROYECTOS!$A:$N,5,FALSE)*(INDEX(02B_ESCENARIOS!$B$4:$D$11, MATCH("MULT_PRECIO", 02B_ESCENARIOS!$A$4:$A$11, 0), MATCH("Base", 02B_ESCENARIOS!$B$3:$D$3, 0)))*INDEX(02B_ESCENARIOS!$B$15:$D$19, MATCH(VLOOKUP(A68,04_PROYECTOS!$A:$N,9,FALSE), 02B_ESCENARIOS!$A$15:$A$19, 0), MATCH("Base", 02B_ESCENARIOS!$B$14:$D$14, 0))</f>
        <v/>
      </c>
      <c r="F68">
        <f>E68*VLOOKUP(A68,04_PROYECTOS!$A:$N,6,FALSE)</f>
        <v/>
      </c>
      <c r="G68">
        <f>E68+F68</f>
        <v/>
      </c>
      <c r="H68">
        <f>IF(VLOOKUP(A68,04_PROYECTOS!$A:$N,10,FALSE)="", IF(VLOOKUP(A68,04_PROYECTOS!$A:$N,4,FALSE)="Privado", INDEX(02B_ESCENARIOS!$B$4:$D$11, MATCH("DSO_PRIVADO_DEFAULT", 02B_ESCENARIOS!$A$4:$A$11, 0), MATCH("Base", 02B_ESCENARIOS!$B$3:$D$3, 0)), IF(VLOOKUP(A68,04_PROYECTOS!$A:$N,4,FALSE)="Publico_&lt;10M",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VLOOKUP(A68,04_PROYECTOS!$A:$N,10,FALSE))</f>
        <v/>
      </c>
      <c r="I68">
        <f>ROUNDUP(H68/30,0)</f>
        <v/>
      </c>
      <c r="J68">
        <f>EDATE(C68,I68)</f>
        <v/>
      </c>
      <c r="K68">
        <f>G68</f>
        <v/>
      </c>
    </row>
    <row r="69">
      <c r="E69">
        <f>D69*VLOOKUP(A69,04_PROYECTOS!$A:$N,5,FALSE)*(INDEX(02B_ESCENARIOS!$B$4:$D$11, MATCH("MULT_PRECIO", 02B_ESCENARIOS!$A$4:$A$11, 0), MATCH("Base", 02B_ESCENARIOS!$B$3:$D$3, 0)))*INDEX(02B_ESCENARIOS!$B$15:$D$19, MATCH(VLOOKUP(A69,04_PROYECTOS!$A:$N,9,FALSE), 02B_ESCENARIOS!$A$15:$A$19, 0), MATCH("Base", 02B_ESCENARIOS!$B$14:$D$14, 0))</f>
        <v/>
      </c>
      <c r="F69">
        <f>E69*VLOOKUP(A69,04_PROYECTOS!$A:$N,6,FALSE)</f>
        <v/>
      </c>
      <c r="G69">
        <f>E69+F69</f>
        <v/>
      </c>
      <c r="H69">
        <f>IF(VLOOKUP(A69,04_PROYECTOS!$A:$N,10,FALSE)="", IF(VLOOKUP(A69,04_PROYECTOS!$A:$N,4,FALSE)="Privado", INDEX(02B_ESCENARIOS!$B$4:$D$11, MATCH("DSO_PRIVADO_DEFAULT", 02B_ESCENARIOS!$A$4:$A$11, 0), MATCH("Base", 02B_ESCENARIOS!$B$3:$D$3, 0)), IF(VLOOKUP(A69,04_PROYECTOS!$A:$N,4,FALSE)="Publico_&lt;10M",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VLOOKUP(A69,04_PROYECTOS!$A:$N,10,FALSE))</f>
        <v/>
      </c>
      <c r="I69">
        <f>ROUNDUP(H69/30,0)</f>
        <v/>
      </c>
      <c r="J69">
        <f>EDATE(C69,I69)</f>
        <v/>
      </c>
      <c r="K69">
        <f>G69</f>
        <v/>
      </c>
    </row>
    <row r="70">
      <c r="E70">
        <f>D70*VLOOKUP(A70,04_PROYECTOS!$A:$N,5,FALSE)*(INDEX(02B_ESCENARIOS!$B$4:$D$11, MATCH("MULT_PRECIO", 02B_ESCENARIOS!$A$4:$A$11, 0), MATCH("Base", 02B_ESCENARIOS!$B$3:$D$3, 0)))*INDEX(02B_ESCENARIOS!$B$15:$D$19, MATCH(VLOOKUP(A70,04_PROYECTOS!$A:$N,9,FALSE), 02B_ESCENARIOS!$A$15:$A$19, 0), MATCH("Base", 02B_ESCENARIOS!$B$14:$D$14, 0))</f>
        <v/>
      </c>
      <c r="F70">
        <f>E70*VLOOKUP(A70,04_PROYECTOS!$A:$N,6,FALSE)</f>
        <v/>
      </c>
      <c r="G70">
        <f>E70+F70</f>
        <v/>
      </c>
      <c r="H70">
        <f>IF(VLOOKUP(A70,04_PROYECTOS!$A:$N,10,FALSE)="", IF(VLOOKUP(A70,04_PROYECTOS!$A:$N,4,FALSE)="Privado", INDEX(02B_ESCENARIOS!$B$4:$D$11, MATCH("DSO_PRIVADO_DEFAULT", 02B_ESCENARIOS!$A$4:$A$11, 0), MATCH("Base", 02B_ESCENARIOS!$B$3:$D$3, 0)), IF(VLOOKUP(A70,04_PROYECTOS!$A:$N,4,FALSE)="Publico_&lt;10M",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VLOOKUP(A70,04_PROYECTOS!$A:$N,10,FALSE))</f>
        <v/>
      </c>
      <c r="I70">
        <f>ROUNDUP(H70/30,0)</f>
        <v/>
      </c>
      <c r="J70">
        <f>EDATE(C70,I70)</f>
        <v/>
      </c>
      <c r="K70">
        <f>G70</f>
        <v/>
      </c>
    </row>
    <row r="71">
      <c r="E71">
        <f>D71*VLOOKUP(A71,04_PROYECTOS!$A:$N,5,FALSE)*(INDEX(02B_ESCENARIOS!$B$4:$D$11, MATCH("MULT_PRECIO", 02B_ESCENARIOS!$A$4:$A$11, 0), MATCH("Base", 02B_ESCENARIOS!$B$3:$D$3, 0)))*INDEX(02B_ESCENARIOS!$B$15:$D$19, MATCH(VLOOKUP(A71,04_PROYECTOS!$A:$N,9,FALSE), 02B_ESCENARIOS!$A$15:$A$19, 0), MATCH("Base", 02B_ESCENARIOS!$B$14:$D$14, 0))</f>
        <v/>
      </c>
      <c r="F71">
        <f>E71*VLOOKUP(A71,04_PROYECTOS!$A:$N,6,FALSE)</f>
        <v/>
      </c>
      <c r="G71">
        <f>E71+F71</f>
        <v/>
      </c>
      <c r="H71">
        <f>IF(VLOOKUP(A71,04_PROYECTOS!$A:$N,10,FALSE)="", IF(VLOOKUP(A71,04_PROYECTOS!$A:$N,4,FALSE)="Privado", INDEX(02B_ESCENARIOS!$B$4:$D$11, MATCH("DSO_PRIVADO_DEFAULT", 02B_ESCENARIOS!$A$4:$A$11, 0), MATCH("Base", 02B_ESCENARIOS!$B$3:$D$3, 0)), IF(VLOOKUP(A71,04_PROYECTOS!$A:$N,4,FALSE)="Publico_&lt;10M",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VLOOKUP(A71,04_PROYECTOS!$A:$N,10,FALSE))</f>
        <v/>
      </c>
      <c r="I71">
        <f>ROUNDUP(H71/30,0)</f>
        <v/>
      </c>
      <c r="J71">
        <f>EDATE(C71,I71)</f>
        <v/>
      </c>
      <c r="K71">
        <f>G71</f>
        <v/>
      </c>
    </row>
    <row r="72">
      <c r="E72">
        <f>D72*VLOOKUP(A72,04_PROYECTOS!$A:$N,5,FALSE)*(INDEX(02B_ESCENARIOS!$B$4:$D$11, MATCH("MULT_PRECIO", 02B_ESCENARIOS!$A$4:$A$11, 0), MATCH("Base", 02B_ESCENARIOS!$B$3:$D$3, 0)))*INDEX(02B_ESCENARIOS!$B$15:$D$19, MATCH(VLOOKUP(A72,04_PROYECTOS!$A:$N,9,FALSE), 02B_ESCENARIOS!$A$15:$A$19, 0), MATCH("Base", 02B_ESCENARIOS!$B$14:$D$14, 0))</f>
        <v/>
      </c>
      <c r="F72">
        <f>E72*VLOOKUP(A72,04_PROYECTOS!$A:$N,6,FALSE)</f>
        <v/>
      </c>
      <c r="G72">
        <f>E72+F72</f>
        <v/>
      </c>
      <c r="H72">
        <f>IF(VLOOKUP(A72,04_PROYECTOS!$A:$N,10,FALSE)="", IF(VLOOKUP(A72,04_PROYECTOS!$A:$N,4,FALSE)="Privado", INDEX(02B_ESCENARIOS!$B$4:$D$11, MATCH("DSO_PRIVADO_DEFAULT", 02B_ESCENARIOS!$A$4:$A$11, 0), MATCH("Base", 02B_ESCENARIOS!$B$3:$D$3, 0)), IF(VLOOKUP(A72,04_PROYECTOS!$A:$N,4,FALSE)="Publico_&lt;10M",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VLOOKUP(A72,04_PROYECTOS!$A:$N,10,FALSE))</f>
        <v/>
      </c>
      <c r="I72">
        <f>ROUNDUP(H72/30,0)</f>
        <v/>
      </c>
      <c r="J72">
        <f>EDATE(C72,I72)</f>
        <v/>
      </c>
      <c r="K72">
        <f>G72</f>
        <v/>
      </c>
    </row>
    <row r="73">
      <c r="E73">
        <f>D73*VLOOKUP(A73,04_PROYECTOS!$A:$N,5,FALSE)*(INDEX(02B_ESCENARIOS!$B$4:$D$11, MATCH("MULT_PRECIO", 02B_ESCENARIOS!$A$4:$A$11, 0), MATCH("Base", 02B_ESCENARIOS!$B$3:$D$3, 0)))*INDEX(02B_ESCENARIOS!$B$15:$D$19, MATCH(VLOOKUP(A73,04_PROYECTOS!$A:$N,9,FALSE), 02B_ESCENARIOS!$A$15:$A$19, 0), MATCH("Base", 02B_ESCENARIOS!$B$14:$D$14, 0))</f>
        <v/>
      </c>
      <c r="F73">
        <f>E73*VLOOKUP(A73,04_PROYECTOS!$A:$N,6,FALSE)</f>
        <v/>
      </c>
      <c r="G73">
        <f>E73+F73</f>
        <v/>
      </c>
      <c r="H73">
        <f>IF(VLOOKUP(A73,04_PROYECTOS!$A:$N,10,FALSE)="", IF(VLOOKUP(A73,04_PROYECTOS!$A:$N,4,FALSE)="Privado", INDEX(02B_ESCENARIOS!$B$4:$D$11, MATCH("DSO_PRIVADO_DEFAULT", 02B_ESCENARIOS!$A$4:$A$11, 0), MATCH("Base", 02B_ESCENARIOS!$B$3:$D$3, 0)), IF(VLOOKUP(A73,04_PROYECTOS!$A:$N,4,FALSE)="Publico_&lt;10M",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VLOOKUP(A73,04_PROYECTOS!$A:$N,10,FALSE))</f>
        <v/>
      </c>
      <c r="I73">
        <f>ROUNDUP(H73/30,0)</f>
        <v/>
      </c>
      <c r="J73">
        <f>EDATE(C73,I73)</f>
        <v/>
      </c>
      <c r="K73">
        <f>G73</f>
        <v/>
      </c>
    </row>
    <row r="74">
      <c r="E74">
        <f>D74*VLOOKUP(A74,04_PROYECTOS!$A:$N,5,FALSE)*(INDEX(02B_ESCENARIOS!$B$4:$D$11, MATCH("MULT_PRECIO", 02B_ESCENARIOS!$A$4:$A$11, 0), MATCH("Base", 02B_ESCENARIOS!$B$3:$D$3, 0)))*INDEX(02B_ESCENARIOS!$B$15:$D$19, MATCH(VLOOKUP(A74,04_PROYECTOS!$A:$N,9,FALSE), 02B_ESCENARIOS!$A$15:$A$19, 0), MATCH("Base", 02B_ESCENARIOS!$B$14:$D$14, 0))</f>
        <v/>
      </c>
      <c r="F74">
        <f>E74*VLOOKUP(A74,04_PROYECTOS!$A:$N,6,FALSE)</f>
        <v/>
      </c>
      <c r="G74">
        <f>E74+F74</f>
        <v/>
      </c>
      <c r="H74">
        <f>IF(VLOOKUP(A74,04_PROYECTOS!$A:$N,10,FALSE)="", IF(VLOOKUP(A74,04_PROYECTOS!$A:$N,4,FALSE)="Privado", INDEX(02B_ESCENARIOS!$B$4:$D$11, MATCH("DSO_PRIVADO_DEFAULT", 02B_ESCENARIOS!$A$4:$A$11, 0), MATCH("Base", 02B_ESCENARIOS!$B$3:$D$3, 0)), IF(VLOOKUP(A74,04_PROYECTOS!$A:$N,4,FALSE)="Publico_&lt;10M",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VLOOKUP(A74,04_PROYECTOS!$A:$N,10,FALSE))</f>
        <v/>
      </c>
      <c r="I74">
        <f>ROUNDUP(H74/30,0)</f>
        <v/>
      </c>
      <c r="J74">
        <f>EDATE(C74,I74)</f>
        <v/>
      </c>
      <c r="K74">
        <f>G74</f>
        <v/>
      </c>
    </row>
    <row r="75">
      <c r="E75">
        <f>D75*VLOOKUP(A75,04_PROYECTOS!$A:$N,5,FALSE)*(INDEX(02B_ESCENARIOS!$B$4:$D$11, MATCH("MULT_PRECIO", 02B_ESCENARIOS!$A$4:$A$11, 0), MATCH("Base", 02B_ESCENARIOS!$B$3:$D$3, 0)))*INDEX(02B_ESCENARIOS!$B$15:$D$19, MATCH(VLOOKUP(A75,04_PROYECTOS!$A:$N,9,FALSE), 02B_ESCENARIOS!$A$15:$A$19, 0), MATCH("Base", 02B_ESCENARIOS!$B$14:$D$14, 0))</f>
        <v/>
      </c>
      <c r="F75">
        <f>E75*VLOOKUP(A75,04_PROYECTOS!$A:$N,6,FALSE)</f>
        <v/>
      </c>
      <c r="G75">
        <f>E75+F75</f>
        <v/>
      </c>
      <c r="H75">
        <f>IF(VLOOKUP(A75,04_PROYECTOS!$A:$N,10,FALSE)="", IF(VLOOKUP(A75,04_PROYECTOS!$A:$N,4,FALSE)="Privado", INDEX(02B_ESCENARIOS!$B$4:$D$11, MATCH("DSO_PRIVADO_DEFAULT", 02B_ESCENARIOS!$A$4:$A$11, 0), MATCH("Base", 02B_ESCENARIOS!$B$3:$D$3, 0)), IF(VLOOKUP(A75,04_PROYECTOS!$A:$N,4,FALSE)="Publico_&lt;10M",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VLOOKUP(A75,04_PROYECTOS!$A:$N,10,FALSE))</f>
        <v/>
      </c>
      <c r="I75">
        <f>ROUNDUP(H75/30,0)</f>
        <v/>
      </c>
      <c r="J75">
        <f>EDATE(C75,I75)</f>
        <v/>
      </c>
      <c r="K75">
        <f>G75</f>
        <v/>
      </c>
    </row>
    <row r="76">
      <c r="E76">
        <f>D76*VLOOKUP(A76,04_PROYECTOS!$A:$N,5,FALSE)*(INDEX(02B_ESCENARIOS!$B$4:$D$11, MATCH("MULT_PRECIO", 02B_ESCENARIOS!$A$4:$A$11, 0), MATCH("Base", 02B_ESCENARIOS!$B$3:$D$3, 0)))*INDEX(02B_ESCENARIOS!$B$15:$D$19, MATCH(VLOOKUP(A76,04_PROYECTOS!$A:$N,9,FALSE), 02B_ESCENARIOS!$A$15:$A$19, 0), MATCH("Base", 02B_ESCENARIOS!$B$14:$D$14, 0))</f>
        <v/>
      </c>
      <c r="F76">
        <f>E76*VLOOKUP(A76,04_PROYECTOS!$A:$N,6,FALSE)</f>
        <v/>
      </c>
      <c r="G76">
        <f>E76+F76</f>
        <v/>
      </c>
      <c r="H76">
        <f>IF(VLOOKUP(A76,04_PROYECTOS!$A:$N,10,FALSE)="", IF(VLOOKUP(A76,04_PROYECTOS!$A:$N,4,FALSE)="Privado", INDEX(02B_ESCENARIOS!$B$4:$D$11, MATCH("DSO_PRIVADO_DEFAULT", 02B_ESCENARIOS!$A$4:$A$11, 0), MATCH("Base", 02B_ESCENARIOS!$B$3:$D$3, 0)), IF(VLOOKUP(A76,04_PROYECTOS!$A:$N,4,FALSE)="Publico_&lt;10M",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VLOOKUP(A76,04_PROYECTOS!$A:$N,10,FALSE))</f>
        <v/>
      </c>
      <c r="I76">
        <f>ROUNDUP(H76/30,0)</f>
        <v/>
      </c>
      <c r="J76">
        <f>EDATE(C76,I76)</f>
        <v/>
      </c>
      <c r="K76">
        <f>G76</f>
        <v/>
      </c>
    </row>
    <row r="77">
      <c r="E77">
        <f>D77*VLOOKUP(A77,04_PROYECTOS!$A:$N,5,FALSE)*(INDEX(02B_ESCENARIOS!$B$4:$D$11, MATCH("MULT_PRECIO", 02B_ESCENARIOS!$A$4:$A$11, 0), MATCH("Base", 02B_ESCENARIOS!$B$3:$D$3, 0)))*INDEX(02B_ESCENARIOS!$B$15:$D$19, MATCH(VLOOKUP(A77,04_PROYECTOS!$A:$N,9,FALSE), 02B_ESCENARIOS!$A$15:$A$19, 0), MATCH("Base", 02B_ESCENARIOS!$B$14:$D$14, 0))</f>
        <v/>
      </c>
      <c r="F77">
        <f>E77*VLOOKUP(A77,04_PROYECTOS!$A:$N,6,FALSE)</f>
        <v/>
      </c>
      <c r="G77">
        <f>E77+F77</f>
        <v/>
      </c>
      <c r="H77">
        <f>IF(VLOOKUP(A77,04_PROYECTOS!$A:$N,10,FALSE)="", IF(VLOOKUP(A77,04_PROYECTOS!$A:$N,4,FALSE)="Privado", INDEX(02B_ESCENARIOS!$B$4:$D$11, MATCH("DSO_PRIVADO_DEFAULT", 02B_ESCENARIOS!$A$4:$A$11, 0), MATCH("Base", 02B_ESCENARIOS!$B$3:$D$3, 0)), IF(VLOOKUP(A77,04_PROYECTOS!$A:$N,4,FALSE)="Publico_&lt;10M",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VLOOKUP(A77,04_PROYECTOS!$A:$N,10,FALSE))</f>
        <v/>
      </c>
      <c r="I77">
        <f>ROUNDUP(H77/30,0)</f>
        <v/>
      </c>
      <c r="J77">
        <f>EDATE(C77,I77)</f>
        <v/>
      </c>
      <c r="K77">
        <f>G77</f>
        <v/>
      </c>
    </row>
    <row r="78">
      <c r="E78">
        <f>D78*VLOOKUP(A78,04_PROYECTOS!$A:$N,5,FALSE)*(INDEX(02B_ESCENARIOS!$B$4:$D$11, MATCH("MULT_PRECIO", 02B_ESCENARIOS!$A$4:$A$11, 0), MATCH("Base", 02B_ESCENARIOS!$B$3:$D$3, 0)))*INDEX(02B_ESCENARIOS!$B$15:$D$19, MATCH(VLOOKUP(A78,04_PROYECTOS!$A:$N,9,FALSE), 02B_ESCENARIOS!$A$15:$A$19, 0), MATCH("Base", 02B_ESCENARIOS!$B$14:$D$14, 0))</f>
        <v/>
      </c>
      <c r="F78">
        <f>E78*VLOOKUP(A78,04_PROYECTOS!$A:$N,6,FALSE)</f>
        <v/>
      </c>
      <c r="G78">
        <f>E78+F78</f>
        <v/>
      </c>
      <c r="H78">
        <f>IF(VLOOKUP(A78,04_PROYECTOS!$A:$N,10,FALSE)="", IF(VLOOKUP(A78,04_PROYECTOS!$A:$N,4,FALSE)="Privado", INDEX(02B_ESCENARIOS!$B$4:$D$11, MATCH("DSO_PRIVADO_DEFAULT", 02B_ESCENARIOS!$A$4:$A$11, 0), MATCH("Base", 02B_ESCENARIOS!$B$3:$D$3, 0)), IF(VLOOKUP(A78,04_PROYECTOS!$A:$N,4,FALSE)="Publico_&lt;10M",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VLOOKUP(A78,04_PROYECTOS!$A:$N,10,FALSE))</f>
        <v/>
      </c>
      <c r="I78">
        <f>ROUNDUP(H78/30,0)</f>
        <v/>
      </c>
      <c r="J78">
        <f>EDATE(C78,I78)</f>
        <v/>
      </c>
      <c r="K78">
        <f>G78</f>
        <v/>
      </c>
    </row>
    <row r="79">
      <c r="E79">
        <f>D79*VLOOKUP(A79,04_PROYECTOS!$A:$N,5,FALSE)*(INDEX(02B_ESCENARIOS!$B$4:$D$11, MATCH("MULT_PRECIO", 02B_ESCENARIOS!$A$4:$A$11, 0), MATCH("Base", 02B_ESCENARIOS!$B$3:$D$3, 0)))*INDEX(02B_ESCENARIOS!$B$15:$D$19, MATCH(VLOOKUP(A79,04_PROYECTOS!$A:$N,9,FALSE), 02B_ESCENARIOS!$A$15:$A$19, 0), MATCH("Base", 02B_ESCENARIOS!$B$14:$D$14, 0))</f>
        <v/>
      </c>
      <c r="F79">
        <f>E79*VLOOKUP(A79,04_PROYECTOS!$A:$N,6,FALSE)</f>
        <v/>
      </c>
      <c r="G79">
        <f>E79+F79</f>
        <v/>
      </c>
      <c r="H79">
        <f>IF(VLOOKUP(A79,04_PROYECTOS!$A:$N,10,FALSE)="", IF(VLOOKUP(A79,04_PROYECTOS!$A:$N,4,FALSE)="Privado", INDEX(02B_ESCENARIOS!$B$4:$D$11, MATCH("DSO_PRIVADO_DEFAULT", 02B_ESCENARIOS!$A$4:$A$11, 0), MATCH("Base", 02B_ESCENARIOS!$B$3:$D$3, 0)), IF(VLOOKUP(A79,04_PROYECTOS!$A:$N,4,FALSE)="Publico_&lt;10M",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VLOOKUP(A79,04_PROYECTOS!$A:$N,10,FALSE))</f>
        <v/>
      </c>
      <c r="I79">
        <f>ROUNDUP(H79/30,0)</f>
        <v/>
      </c>
      <c r="J79">
        <f>EDATE(C79,I79)</f>
        <v/>
      </c>
      <c r="K79">
        <f>G79</f>
        <v/>
      </c>
    </row>
    <row r="80">
      <c r="E80">
        <f>D80*VLOOKUP(A80,04_PROYECTOS!$A:$N,5,FALSE)*(INDEX(02B_ESCENARIOS!$B$4:$D$11, MATCH("MULT_PRECIO", 02B_ESCENARIOS!$A$4:$A$11, 0), MATCH("Base", 02B_ESCENARIOS!$B$3:$D$3, 0)))*INDEX(02B_ESCENARIOS!$B$15:$D$19, MATCH(VLOOKUP(A80,04_PROYECTOS!$A:$N,9,FALSE), 02B_ESCENARIOS!$A$15:$A$19, 0), MATCH("Base", 02B_ESCENARIOS!$B$14:$D$14, 0))</f>
        <v/>
      </c>
      <c r="F80">
        <f>E80*VLOOKUP(A80,04_PROYECTOS!$A:$N,6,FALSE)</f>
        <v/>
      </c>
      <c r="G80">
        <f>E80+F80</f>
        <v/>
      </c>
      <c r="H80">
        <f>IF(VLOOKUP(A80,04_PROYECTOS!$A:$N,10,FALSE)="", IF(VLOOKUP(A80,04_PROYECTOS!$A:$N,4,FALSE)="Privado", INDEX(02B_ESCENARIOS!$B$4:$D$11, MATCH("DSO_PRIVADO_DEFAULT", 02B_ESCENARIOS!$A$4:$A$11, 0), MATCH("Base", 02B_ESCENARIOS!$B$3:$D$3, 0)), IF(VLOOKUP(A80,04_PROYECTOS!$A:$N,4,FALSE)="Publico_&lt;10M",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VLOOKUP(A80,04_PROYECTOS!$A:$N,10,FALSE))</f>
        <v/>
      </c>
      <c r="I80">
        <f>ROUNDUP(H80/30,0)</f>
        <v/>
      </c>
      <c r="J80">
        <f>EDATE(C80,I80)</f>
        <v/>
      </c>
      <c r="K80">
        <f>G80</f>
        <v/>
      </c>
    </row>
    <row r="81">
      <c r="E81">
        <f>D81*VLOOKUP(A81,04_PROYECTOS!$A:$N,5,FALSE)*(INDEX(02B_ESCENARIOS!$B$4:$D$11, MATCH("MULT_PRECIO", 02B_ESCENARIOS!$A$4:$A$11, 0), MATCH("Base", 02B_ESCENARIOS!$B$3:$D$3, 0)))*INDEX(02B_ESCENARIOS!$B$15:$D$19, MATCH(VLOOKUP(A81,04_PROYECTOS!$A:$N,9,FALSE), 02B_ESCENARIOS!$A$15:$A$19, 0), MATCH("Base", 02B_ESCENARIOS!$B$14:$D$14, 0))</f>
        <v/>
      </c>
      <c r="F81">
        <f>E81*VLOOKUP(A81,04_PROYECTOS!$A:$N,6,FALSE)</f>
        <v/>
      </c>
      <c r="G81">
        <f>E81+F81</f>
        <v/>
      </c>
      <c r="H81">
        <f>IF(VLOOKUP(A81,04_PROYECTOS!$A:$N,10,FALSE)="", IF(VLOOKUP(A81,04_PROYECTOS!$A:$N,4,FALSE)="Privado", INDEX(02B_ESCENARIOS!$B$4:$D$11, MATCH("DSO_PRIVADO_DEFAULT", 02B_ESCENARIOS!$A$4:$A$11, 0), MATCH("Base", 02B_ESCENARIOS!$B$3:$D$3, 0)), IF(VLOOKUP(A81,04_PROYECTOS!$A:$N,4,FALSE)="Publico_&lt;10M",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VLOOKUP(A81,04_PROYECTOS!$A:$N,10,FALSE))</f>
        <v/>
      </c>
      <c r="I81">
        <f>ROUNDUP(H81/30,0)</f>
        <v/>
      </c>
      <c r="J81">
        <f>EDATE(C81,I81)</f>
        <v/>
      </c>
      <c r="K81">
        <f>G81</f>
        <v/>
      </c>
    </row>
    <row r="82">
      <c r="E82">
        <f>D82*VLOOKUP(A82,04_PROYECTOS!$A:$N,5,FALSE)*(INDEX(02B_ESCENARIOS!$B$4:$D$11, MATCH("MULT_PRECIO", 02B_ESCENARIOS!$A$4:$A$11, 0), MATCH("Base", 02B_ESCENARIOS!$B$3:$D$3, 0)))*INDEX(02B_ESCENARIOS!$B$15:$D$19, MATCH(VLOOKUP(A82,04_PROYECTOS!$A:$N,9,FALSE), 02B_ESCENARIOS!$A$15:$A$19, 0), MATCH("Base", 02B_ESCENARIOS!$B$14:$D$14, 0))</f>
        <v/>
      </c>
      <c r="F82">
        <f>E82*VLOOKUP(A82,04_PROYECTOS!$A:$N,6,FALSE)</f>
        <v/>
      </c>
      <c r="G82">
        <f>E82+F82</f>
        <v/>
      </c>
      <c r="H82">
        <f>IF(VLOOKUP(A82,04_PROYECTOS!$A:$N,10,FALSE)="", IF(VLOOKUP(A82,04_PROYECTOS!$A:$N,4,FALSE)="Privado", INDEX(02B_ESCENARIOS!$B$4:$D$11, MATCH("DSO_PRIVADO_DEFAULT", 02B_ESCENARIOS!$A$4:$A$11, 0), MATCH("Base", 02B_ESCENARIOS!$B$3:$D$3, 0)), IF(VLOOKUP(A82,04_PROYECTOS!$A:$N,4,FALSE)="Publico_&lt;10M",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VLOOKUP(A82,04_PROYECTOS!$A:$N,10,FALSE))</f>
        <v/>
      </c>
      <c r="I82">
        <f>ROUNDUP(H82/30,0)</f>
        <v/>
      </c>
      <c r="J82">
        <f>EDATE(C82,I82)</f>
        <v/>
      </c>
      <c r="K82">
        <f>G82</f>
        <v/>
      </c>
    </row>
    <row r="83">
      <c r="E83">
        <f>D83*VLOOKUP(A83,04_PROYECTOS!$A:$N,5,FALSE)*(INDEX(02B_ESCENARIOS!$B$4:$D$11, MATCH("MULT_PRECIO", 02B_ESCENARIOS!$A$4:$A$11, 0), MATCH("Base", 02B_ESCENARIOS!$B$3:$D$3, 0)))*INDEX(02B_ESCENARIOS!$B$15:$D$19, MATCH(VLOOKUP(A83,04_PROYECTOS!$A:$N,9,FALSE), 02B_ESCENARIOS!$A$15:$A$19, 0), MATCH("Base", 02B_ESCENARIOS!$B$14:$D$14, 0))</f>
        <v/>
      </c>
      <c r="F83">
        <f>E83*VLOOKUP(A83,04_PROYECTOS!$A:$N,6,FALSE)</f>
        <v/>
      </c>
      <c r="G83">
        <f>E83+F83</f>
        <v/>
      </c>
      <c r="H83">
        <f>IF(VLOOKUP(A83,04_PROYECTOS!$A:$N,10,FALSE)="", IF(VLOOKUP(A83,04_PROYECTOS!$A:$N,4,FALSE)="Privado", INDEX(02B_ESCENARIOS!$B$4:$D$11, MATCH("DSO_PRIVADO_DEFAULT", 02B_ESCENARIOS!$A$4:$A$11, 0), MATCH("Base", 02B_ESCENARIOS!$B$3:$D$3, 0)), IF(VLOOKUP(A83,04_PROYECTOS!$A:$N,4,FALSE)="Publico_&lt;10M",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VLOOKUP(A83,04_PROYECTOS!$A:$N,10,FALSE))</f>
        <v/>
      </c>
      <c r="I83">
        <f>ROUNDUP(H83/30,0)</f>
        <v/>
      </c>
      <c r="J83">
        <f>EDATE(C83,I83)</f>
        <v/>
      </c>
      <c r="K83">
        <f>G83</f>
        <v/>
      </c>
    </row>
    <row r="84">
      <c r="E84">
        <f>D84*VLOOKUP(A84,04_PROYECTOS!$A:$N,5,FALSE)*(INDEX(02B_ESCENARIOS!$B$4:$D$11, MATCH("MULT_PRECIO", 02B_ESCENARIOS!$A$4:$A$11, 0), MATCH("Base", 02B_ESCENARIOS!$B$3:$D$3, 0)))*INDEX(02B_ESCENARIOS!$B$15:$D$19, MATCH(VLOOKUP(A84,04_PROYECTOS!$A:$N,9,FALSE), 02B_ESCENARIOS!$A$15:$A$19, 0), MATCH("Base", 02B_ESCENARIOS!$B$14:$D$14, 0))</f>
        <v/>
      </c>
      <c r="F84">
        <f>E84*VLOOKUP(A84,04_PROYECTOS!$A:$N,6,FALSE)</f>
        <v/>
      </c>
      <c r="G84">
        <f>E84+F84</f>
        <v/>
      </c>
      <c r="H84">
        <f>IF(VLOOKUP(A84,04_PROYECTOS!$A:$N,10,FALSE)="", IF(VLOOKUP(A84,04_PROYECTOS!$A:$N,4,FALSE)="Privado", INDEX(02B_ESCENARIOS!$B$4:$D$11, MATCH("DSO_PRIVADO_DEFAULT", 02B_ESCENARIOS!$A$4:$A$11, 0), MATCH("Base", 02B_ESCENARIOS!$B$3:$D$3, 0)), IF(VLOOKUP(A84,04_PROYECTOS!$A:$N,4,FALSE)="Publico_&lt;10M",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VLOOKUP(A84,04_PROYECTOS!$A:$N,10,FALSE))</f>
        <v/>
      </c>
      <c r="I84">
        <f>ROUNDUP(H84/30,0)</f>
        <v/>
      </c>
      <c r="J84">
        <f>EDATE(C84,I84)</f>
        <v/>
      </c>
      <c r="K84">
        <f>G84</f>
        <v/>
      </c>
    </row>
    <row r="85">
      <c r="E85">
        <f>D85*VLOOKUP(A85,04_PROYECTOS!$A:$N,5,FALSE)*(INDEX(02B_ESCENARIOS!$B$4:$D$11, MATCH("MULT_PRECIO", 02B_ESCENARIOS!$A$4:$A$11, 0), MATCH("Base", 02B_ESCENARIOS!$B$3:$D$3, 0)))*INDEX(02B_ESCENARIOS!$B$15:$D$19, MATCH(VLOOKUP(A85,04_PROYECTOS!$A:$N,9,FALSE), 02B_ESCENARIOS!$A$15:$A$19, 0), MATCH("Base", 02B_ESCENARIOS!$B$14:$D$14, 0))</f>
        <v/>
      </c>
      <c r="F85">
        <f>E85*VLOOKUP(A85,04_PROYECTOS!$A:$N,6,FALSE)</f>
        <v/>
      </c>
      <c r="G85">
        <f>E85+F85</f>
        <v/>
      </c>
      <c r="H85">
        <f>IF(VLOOKUP(A85,04_PROYECTOS!$A:$N,10,FALSE)="", IF(VLOOKUP(A85,04_PROYECTOS!$A:$N,4,FALSE)="Privado", INDEX(02B_ESCENARIOS!$B$4:$D$11, MATCH("DSO_PRIVADO_DEFAULT", 02B_ESCENARIOS!$A$4:$A$11, 0), MATCH("Base", 02B_ESCENARIOS!$B$3:$D$3, 0)), IF(VLOOKUP(A85,04_PROYECTOS!$A:$N,4,FALSE)="Publico_&lt;10M",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VLOOKUP(A85,04_PROYECTOS!$A:$N,10,FALSE))</f>
        <v/>
      </c>
      <c r="I85">
        <f>ROUNDUP(H85/30,0)</f>
        <v/>
      </c>
      <c r="J85">
        <f>EDATE(C85,I85)</f>
        <v/>
      </c>
      <c r="K85">
        <f>G85</f>
        <v/>
      </c>
    </row>
    <row r="86">
      <c r="E86">
        <f>D86*VLOOKUP(A86,04_PROYECTOS!$A:$N,5,FALSE)*(INDEX(02B_ESCENARIOS!$B$4:$D$11, MATCH("MULT_PRECIO", 02B_ESCENARIOS!$A$4:$A$11, 0), MATCH("Base", 02B_ESCENARIOS!$B$3:$D$3, 0)))*INDEX(02B_ESCENARIOS!$B$15:$D$19, MATCH(VLOOKUP(A86,04_PROYECTOS!$A:$N,9,FALSE), 02B_ESCENARIOS!$A$15:$A$19, 0), MATCH("Base", 02B_ESCENARIOS!$B$14:$D$14, 0))</f>
        <v/>
      </c>
      <c r="F86">
        <f>E86*VLOOKUP(A86,04_PROYECTOS!$A:$N,6,FALSE)</f>
        <v/>
      </c>
      <c r="G86">
        <f>E86+F86</f>
        <v/>
      </c>
      <c r="H86">
        <f>IF(VLOOKUP(A86,04_PROYECTOS!$A:$N,10,FALSE)="", IF(VLOOKUP(A86,04_PROYECTOS!$A:$N,4,FALSE)="Privado", INDEX(02B_ESCENARIOS!$B$4:$D$11, MATCH("DSO_PRIVADO_DEFAULT", 02B_ESCENARIOS!$A$4:$A$11, 0), MATCH("Base", 02B_ESCENARIOS!$B$3:$D$3, 0)), IF(VLOOKUP(A86,04_PROYECTOS!$A:$N,4,FALSE)="Publico_&lt;10M",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VLOOKUP(A86,04_PROYECTOS!$A:$N,10,FALSE))</f>
        <v/>
      </c>
      <c r="I86">
        <f>ROUNDUP(H86/30,0)</f>
        <v/>
      </c>
      <c r="J86">
        <f>EDATE(C86,I86)</f>
        <v/>
      </c>
      <c r="K86">
        <f>G86</f>
        <v/>
      </c>
    </row>
    <row r="87">
      <c r="E87">
        <f>D87*VLOOKUP(A87,04_PROYECTOS!$A:$N,5,FALSE)*(INDEX(02B_ESCENARIOS!$B$4:$D$11, MATCH("MULT_PRECIO", 02B_ESCENARIOS!$A$4:$A$11, 0), MATCH("Base", 02B_ESCENARIOS!$B$3:$D$3, 0)))*INDEX(02B_ESCENARIOS!$B$15:$D$19, MATCH(VLOOKUP(A87,04_PROYECTOS!$A:$N,9,FALSE), 02B_ESCENARIOS!$A$15:$A$19, 0), MATCH("Base", 02B_ESCENARIOS!$B$14:$D$14, 0))</f>
        <v/>
      </c>
      <c r="F87">
        <f>E87*VLOOKUP(A87,04_PROYECTOS!$A:$N,6,FALSE)</f>
        <v/>
      </c>
      <c r="G87">
        <f>E87+F87</f>
        <v/>
      </c>
      <c r="H87">
        <f>IF(VLOOKUP(A87,04_PROYECTOS!$A:$N,10,FALSE)="", IF(VLOOKUP(A87,04_PROYECTOS!$A:$N,4,FALSE)="Privado", INDEX(02B_ESCENARIOS!$B$4:$D$11, MATCH("DSO_PRIVADO_DEFAULT", 02B_ESCENARIOS!$A$4:$A$11, 0), MATCH("Base", 02B_ESCENARIOS!$B$3:$D$3, 0)), IF(VLOOKUP(A87,04_PROYECTOS!$A:$N,4,FALSE)="Publico_&lt;10M",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VLOOKUP(A87,04_PROYECTOS!$A:$N,10,FALSE))</f>
        <v/>
      </c>
      <c r="I87">
        <f>ROUNDUP(H87/30,0)</f>
        <v/>
      </c>
      <c r="J87">
        <f>EDATE(C87,I87)</f>
        <v/>
      </c>
      <c r="K87">
        <f>G87</f>
        <v/>
      </c>
    </row>
    <row r="88">
      <c r="E88">
        <f>D88*VLOOKUP(A88,04_PROYECTOS!$A:$N,5,FALSE)*(INDEX(02B_ESCENARIOS!$B$4:$D$11, MATCH("MULT_PRECIO", 02B_ESCENARIOS!$A$4:$A$11, 0), MATCH("Base", 02B_ESCENARIOS!$B$3:$D$3, 0)))*INDEX(02B_ESCENARIOS!$B$15:$D$19, MATCH(VLOOKUP(A88,04_PROYECTOS!$A:$N,9,FALSE), 02B_ESCENARIOS!$A$15:$A$19, 0), MATCH("Base", 02B_ESCENARIOS!$B$14:$D$14, 0))</f>
        <v/>
      </c>
      <c r="F88">
        <f>E88*VLOOKUP(A88,04_PROYECTOS!$A:$N,6,FALSE)</f>
        <v/>
      </c>
      <c r="G88">
        <f>E88+F88</f>
        <v/>
      </c>
      <c r="H88">
        <f>IF(VLOOKUP(A88,04_PROYECTOS!$A:$N,10,FALSE)="", IF(VLOOKUP(A88,04_PROYECTOS!$A:$N,4,FALSE)="Privado", INDEX(02B_ESCENARIOS!$B$4:$D$11, MATCH("DSO_PRIVADO_DEFAULT", 02B_ESCENARIOS!$A$4:$A$11, 0), MATCH("Base", 02B_ESCENARIOS!$B$3:$D$3, 0)), IF(VLOOKUP(A88,04_PROYECTOS!$A:$N,4,FALSE)="Publico_&lt;10M",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VLOOKUP(A88,04_PROYECTOS!$A:$N,10,FALSE))</f>
        <v/>
      </c>
      <c r="I88">
        <f>ROUNDUP(H88/30,0)</f>
        <v/>
      </c>
      <c r="J88">
        <f>EDATE(C88,I88)</f>
        <v/>
      </c>
      <c r="K88">
        <f>G88</f>
        <v/>
      </c>
    </row>
    <row r="89">
      <c r="E89">
        <f>D89*VLOOKUP(A89,04_PROYECTOS!$A:$N,5,FALSE)*(INDEX(02B_ESCENARIOS!$B$4:$D$11, MATCH("MULT_PRECIO", 02B_ESCENARIOS!$A$4:$A$11, 0), MATCH("Base", 02B_ESCENARIOS!$B$3:$D$3, 0)))*INDEX(02B_ESCENARIOS!$B$15:$D$19, MATCH(VLOOKUP(A89,04_PROYECTOS!$A:$N,9,FALSE), 02B_ESCENARIOS!$A$15:$A$19, 0), MATCH("Base", 02B_ESCENARIOS!$B$14:$D$14, 0))</f>
        <v/>
      </c>
      <c r="F89">
        <f>E89*VLOOKUP(A89,04_PROYECTOS!$A:$N,6,FALSE)</f>
        <v/>
      </c>
      <c r="G89">
        <f>E89+F89</f>
        <v/>
      </c>
      <c r="H89">
        <f>IF(VLOOKUP(A89,04_PROYECTOS!$A:$N,10,FALSE)="", IF(VLOOKUP(A89,04_PROYECTOS!$A:$N,4,FALSE)="Privado", INDEX(02B_ESCENARIOS!$B$4:$D$11, MATCH("DSO_PRIVADO_DEFAULT", 02B_ESCENARIOS!$A$4:$A$11, 0), MATCH("Base", 02B_ESCENARIOS!$B$3:$D$3, 0)), IF(VLOOKUP(A89,04_PROYECTOS!$A:$N,4,FALSE)="Publico_&lt;10M",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VLOOKUP(A89,04_PROYECTOS!$A:$N,10,FALSE))</f>
        <v/>
      </c>
      <c r="I89">
        <f>ROUNDUP(H89/30,0)</f>
        <v/>
      </c>
      <c r="J89">
        <f>EDATE(C89,I89)</f>
        <v/>
      </c>
      <c r="K89">
        <f>G89</f>
        <v/>
      </c>
    </row>
    <row r="90">
      <c r="E90">
        <f>D90*VLOOKUP(A90,04_PROYECTOS!$A:$N,5,FALSE)*(INDEX(02B_ESCENARIOS!$B$4:$D$11, MATCH("MULT_PRECIO", 02B_ESCENARIOS!$A$4:$A$11, 0), MATCH("Base", 02B_ESCENARIOS!$B$3:$D$3, 0)))*INDEX(02B_ESCENARIOS!$B$15:$D$19, MATCH(VLOOKUP(A90,04_PROYECTOS!$A:$N,9,FALSE), 02B_ESCENARIOS!$A$15:$A$19, 0), MATCH("Base", 02B_ESCENARIOS!$B$14:$D$14, 0))</f>
        <v/>
      </c>
      <c r="F90">
        <f>E90*VLOOKUP(A90,04_PROYECTOS!$A:$N,6,FALSE)</f>
        <v/>
      </c>
      <c r="G90">
        <f>E90+F90</f>
        <v/>
      </c>
      <c r="H90">
        <f>IF(VLOOKUP(A90,04_PROYECTOS!$A:$N,10,FALSE)="", IF(VLOOKUP(A90,04_PROYECTOS!$A:$N,4,FALSE)="Privado", INDEX(02B_ESCENARIOS!$B$4:$D$11, MATCH("DSO_PRIVADO_DEFAULT", 02B_ESCENARIOS!$A$4:$A$11, 0), MATCH("Base", 02B_ESCENARIOS!$B$3:$D$3, 0)), IF(VLOOKUP(A90,04_PROYECTOS!$A:$N,4,FALSE)="Publico_&lt;10M",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VLOOKUP(A90,04_PROYECTOS!$A:$N,10,FALSE))</f>
        <v/>
      </c>
      <c r="I90">
        <f>ROUNDUP(H90/30,0)</f>
        <v/>
      </c>
      <c r="J90">
        <f>EDATE(C90,I90)</f>
        <v/>
      </c>
      <c r="K90">
        <f>G90</f>
        <v/>
      </c>
    </row>
    <row r="91">
      <c r="E91">
        <f>D91*VLOOKUP(A91,04_PROYECTOS!$A:$N,5,FALSE)*(INDEX(02B_ESCENARIOS!$B$4:$D$11, MATCH("MULT_PRECIO", 02B_ESCENARIOS!$A$4:$A$11, 0), MATCH("Base", 02B_ESCENARIOS!$B$3:$D$3, 0)))*INDEX(02B_ESCENARIOS!$B$15:$D$19, MATCH(VLOOKUP(A91,04_PROYECTOS!$A:$N,9,FALSE), 02B_ESCENARIOS!$A$15:$A$19, 0), MATCH("Base", 02B_ESCENARIOS!$B$14:$D$14, 0))</f>
        <v/>
      </c>
      <c r="F91">
        <f>E91*VLOOKUP(A91,04_PROYECTOS!$A:$N,6,FALSE)</f>
        <v/>
      </c>
      <c r="G91">
        <f>E91+F91</f>
        <v/>
      </c>
      <c r="H91">
        <f>IF(VLOOKUP(A91,04_PROYECTOS!$A:$N,10,FALSE)="", IF(VLOOKUP(A91,04_PROYECTOS!$A:$N,4,FALSE)="Privado", INDEX(02B_ESCENARIOS!$B$4:$D$11, MATCH("DSO_PRIVADO_DEFAULT", 02B_ESCENARIOS!$A$4:$A$11, 0), MATCH("Base", 02B_ESCENARIOS!$B$3:$D$3, 0)), IF(VLOOKUP(A91,04_PROYECTOS!$A:$N,4,FALSE)="Publico_&lt;10M",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VLOOKUP(A91,04_PROYECTOS!$A:$N,10,FALSE))</f>
        <v/>
      </c>
      <c r="I91">
        <f>ROUNDUP(H91/30,0)</f>
        <v/>
      </c>
      <c r="J91">
        <f>EDATE(C91,I91)</f>
        <v/>
      </c>
      <c r="K91">
        <f>G91</f>
        <v/>
      </c>
    </row>
    <row r="92">
      <c r="E92">
        <f>D92*VLOOKUP(A92,04_PROYECTOS!$A:$N,5,FALSE)*(INDEX(02B_ESCENARIOS!$B$4:$D$11, MATCH("MULT_PRECIO", 02B_ESCENARIOS!$A$4:$A$11, 0), MATCH("Base", 02B_ESCENARIOS!$B$3:$D$3, 0)))*INDEX(02B_ESCENARIOS!$B$15:$D$19, MATCH(VLOOKUP(A92,04_PROYECTOS!$A:$N,9,FALSE), 02B_ESCENARIOS!$A$15:$A$19, 0), MATCH("Base", 02B_ESCENARIOS!$B$14:$D$14, 0))</f>
        <v/>
      </c>
      <c r="F92">
        <f>E92*VLOOKUP(A92,04_PROYECTOS!$A:$N,6,FALSE)</f>
        <v/>
      </c>
      <c r="G92">
        <f>E92+F92</f>
        <v/>
      </c>
      <c r="H92">
        <f>IF(VLOOKUP(A92,04_PROYECTOS!$A:$N,10,FALSE)="", IF(VLOOKUP(A92,04_PROYECTOS!$A:$N,4,FALSE)="Privado", INDEX(02B_ESCENARIOS!$B$4:$D$11, MATCH("DSO_PRIVADO_DEFAULT", 02B_ESCENARIOS!$A$4:$A$11, 0), MATCH("Base", 02B_ESCENARIOS!$B$3:$D$3, 0)), IF(VLOOKUP(A92,04_PROYECTOS!$A:$N,4,FALSE)="Publico_&lt;10M",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VLOOKUP(A92,04_PROYECTOS!$A:$N,10,FALSE))</f>
        <v/>
      </c>
      <c r="I92">
        <f>ROUNDUP(H92/30,0)</f>
        <v/>
      </c>
      <c r="J92">
        <f>EDATE(C92,I92)</f>
        <v/>
      </c>
      <c r="K92">
        <f>G92</f>
        <v/>
      </c>
    </row>
    <row r="93">
      <c r="E93">
        <f>D93*VLOOKUP(A93,04_PROYECTOS!$A:$N,5,FALSE)*(INDEX(02B_ESCENARIOS!$B$4:$D$11, MATCH("MULT_PRECIO", 02B_ESCENARIOS!$A$4:$A$11, 0), MATCH("Base", 02B_ESCENARIOS!$B$3:$D$3, 0)))*INDEX(02B_ESCENARIOS!$B$15:$D$19, MATCH(VLOOKUP(A93,04_PROYECTOS!$A:$N,9,FALSE), 02B_ESCENARIOS!$A$15:$A$19, 0), MATCH("Base", 02B_ESCENARIOS!$B$14:$D$14, 0))</f>
        <v/>
      </c>
      <c r="F93">
        <f>E93*VLOOKUP(A93,04_PROYECTOS!$A:$N,6,FALSE)</f>
        <v/>
      </c>
      <c r="G93">
        <f>E93+F93</f>
        <v/>
      </c>
      <c r="H93">
        <f>IF(VLOOKUP(A93,04_PROYECTOS!$A:$N,10,FALSE)="", IF(VLOOKUP(A93,04_PROYECTOS!$A:$N,4,FALSE)="Privado", INDEX(02B_ESCENARIOS!$B$4:$D$11, MATCH("DSO_PRIVADO_DEFAULT", 02B_ESCENARIOS!$A$4:$A$11, 0), MATCH("Base", 02B_ESCENARIOS!$B$3:$D$3, 0)), IF(VLOOKUP(A93,04_PROYECTOS!$A:$N,4,FALSE)="Publico_&lt;10M",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VLOOKUP(A93,04_PROYECTOS!$A:$N,10,FALSE))</f>
        <v/>
      </c>
      <c r="I93">
        <f>ROUNDUP(H93/30,0)</f>
        <v/>
      </c>
      <c r="J93">
        <f>EDATE(C93,I93)</f>
        <v/>
      </c>
      <c r="K93">
        <f>G93</f>
        <v/>
      </c>
    </row>
    <row r="94">
      <c r="E94">
        <f>D94*VLOOKUP(A94,04_PROYECTOS!$A:$N,5,FALSE)*(INDEX(02B_ESCENARIOS!$B$4:$D$11, MATCH("MULT_PRECIO", 02B_ESCENARIOS!$A$4:$A$11, 0), MATCH("Base", 02B_ESCENARIOS!$B$3:$D$3, 0)))*INDEX(02B_ESCENARIOS!$B$15:$D$19, MATCH(VLOOKUP(A94,04_PROYECTOS!$A:$N,9,FALSE), 02B_ESCENARIOS!$A$15:$A$19, 0), MATCH("Base", 02B_ESCENARIOS!$B$14:$D$14, 0))</f>
        <v/>
      </c>
      <c r="F94">
        <f>E94*VLOOKUP(A94,04_PROYECTOS!$A:$N,6,FALSE)</f>
        <v/>
      </c>
      <c r="G94">
        <f>E94+F94</f>
        <v/>
      </c>
      <c r="H94">
        <f>IF(VLOOKUP(A94,04_PROYECTOS!$A:$N,10,FALSE)="", IF(VLOOKUP(A94,04_PROYECTOS!$A:$N,4,FALSE)="Privado", INDEX(02B_ESCENARIOS!$B$4:$D$11, MATCH("DSO_PRIVADO_DEFAULT", 02B_ESCENARIOS!$A$4:$A$11, 0), MATCH("Base", 02B_ESCENARIOS!$B$3:$D$3, 0)), IF(VLOOKUP(A94,04_PROYECTOS!$A:$N,4,FALSE)="Publico_&lt;10M",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VLOOKUP(A94,04_PROYECTOS!$A:$N,10,FALSE))</f>
        <v/>
      </c>
      <c r="I94">
        <f>ROUNDUP(H94/30,0)</f>
        <v/>
      </c>
      <c r="J94">
        <f>EDATE(C94,I94)</f>
        <v/>
      </c>
      <c r="K94">
        <f>G94</f>
        <v/>
      </c>
    </row>
    <row r="95">
      <c r="E95">
        <f>D95*VLOOKUP(A95,04_PROYECTOS!$A:$N,5,FALSE)*(INDEX(02B_ESCENARIOS!$B$4:$D$11, MATCH("MULT_PRECIO", 02B_ESCENARIOS!$A$4:$A$11, 0), MATCH("Base", 02B_ESCENARIOS!$B$3:$D$3, 0)))*INDEX(02B_ESCENARIOS!$B$15:$D$19, MATCH(VLOOKUP(A95,04_PROYECTOS!$A:$N,9,FALSE), 02B_ESCENARIOS!$A$15:$A$19, 0), MATCH("Base", 02B_ESCENARIOS!$B$14:$D$14, 0))</f>
        <v/>
      </c>
      <c r="F95">
        <f>E95*VLOOKUP(A95,04_PROYECTOS!$A:$N,6,FALSE)</f>
        <v/>
      </c>
      <c r="G95">
        <f>E95+F95</f>
        <v/>
      </c>
      <c r="H95">
        <f>IF(VLOOKUP(A95,04_PROYECTOS!$A:$N,10,FALSE)="", IF(VLOOKUP(A95,04_PROYECTOS!$A:$N,4,FALSE)="Privado", INDEX(02B_ESCENARIOS!$B$4:$D$11, MATCH("DSO_PRIVADO_DEFAULT", 02B_ESCENARIOS!$A$4:$A$11, 0), MATCH("Base", 02B_ESCENARIOS!$B$3:$D$3, 0)), IF(VLOOKUP(A95,04_PROYECTOS!$A:$N,4,FALSE)="Publico_&lt;10M",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VLOOKUP(A95,04_PROYECTOS!$A:$N,10,FALSE))</f>
        <v/>
      </c>
      <c r="I95">
        <f>ROUNDUP(H95/30,0)</f>
        <v/>
      </c>
      <c r="J95">
        <f>EDATE(C95,I95)</f>
        <v/>
      </c>
      <c r="K95">
        <f>G95</f>
        <v/>
      </c>
    </row>
    <row r="96">
      <c r="E96">
        <f>D96*VLOOKUP(A96,04_PROYECTOS!$A:$N,5,FALSE)*(INDEX(02B_ESCENARIOS!$B$4:$D$11, MATCH("MULT_PRECIO", 02B_ESCENARIOS!$A$4:$A$11, 0), MATCH("Base", 02B_ESCENARIOS!$B$3:$D$3, 0)))*INDEX(02B_ESCENARIOS!$B$15:$D$19, MATCH(VLOOKUP(A96,04_PROYECTOS!$A:$N,9,FALSE), 02B_ESCENARIOS!$A$15:$A$19, 0), MATCH("Base", 02B_ESCENARIOS!$B$14:$D$14, 0))</f>
        <v/>
      </c>
      <c r="F96">
        <f>E96*VLOOKUP(A96,04_PROYECTOS!$A:$N,6,FALSE)</f>
        <v/>
      </c>
      <c r="G96">
        <f>E96+F96</f>
        <v/>
      </c>
      <c r="H96">
        <f>IF(VLOOKUP(A96,04_PROYECTOS!$A:$N,10,FALSE)="", IF(VLOOKUP(A96,04_PROYECTOS!$A:$N,4,FALSE)="Privado", INDEX(02B_ESCENARIOS!$B$4:$D$11, MATCH("DSO_PRIVADO_DEFAULT", 02B_ESCENARIOS!$A$4:$A$11, 0), MATCH("Base", 02B_ESCENARIOS!$B$3:$D$3, 0)), IF(VLOOKUP(A96,04_PROYECTOS!$A:$N,4,FALSE)="Publico_&lt;10M",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VLOOKUP(A96,04_PROYECTOS!$A:$N,10,FALSE))</f>
        <v/>
      </c>
      <c r="I96">
        <f>ROUNDUP(H96/30,0)</f>
        <v/>
      </c>
      <c r="J96">
        <f>EDATE(C96,I96)</f>
        <v/>
      </c>
      <c r="K96">
        <f>G96</f>
        <v/>
      </c>
    </row>
    <row r="97">
      <c r="E97">
        <f>D97*VLOOKUP(A97,04_PROYECTOS!$A:$N,5,FALSE)*(INDEX(02B_ESCENARIOS!$B$4:$D$11, MATCH("MULT_PRECIO", 02B_ESCENARIOS!$A$4:$A$11, 0), MATCH("Base", 02B_ESCENARIOS!$B$3:$D$3, 0)))*INDEX(02B_ESCENARIOS!$B$15:$D$19, MATCH(VLOOKUP(A97,04_PROYECTOS!$A:$N,9,FALSE), 02B_ESCENARIOS!$A$15:$A$19, 0), MATCH("Base", 02B_ESCENARIOS!$B$14:$D$14, 0))</f>
        <v/>
      </c>
      <c r="F97">
        <f>E97*VLOOKUP(A97,04_PROYECTOS!$A:$N,6,FALSE)</f>
        <v/>
      </c>
      <c r="G97">
        <f>E97+F97</f>
        <v/>
      </c>
      <c r="H97">
        <f>IF(VLOOKUP(A97,04_PROYECTOS!$A:$N,10,FALSE)="", IF(VLOOKUP(A97,04_PROYECTOS!$A:$N,4,FALSE)="Privado", INDEX(02B_ESCENARIOS!$B$4:$D$11, MATCH("DSO_PRIVADO_DEFAULT", 02B_ESCENARIOS!$A$4:$A$11, 0), MATCH("Base", 02B_ESCENARIOS!$B$3:$D$3, 0)), IF(VLOOKUP(A97,04_PROYECTOS!$A:$N,4,FALSE)="Publico_&lt;10M",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VLOOKUP(A97,04_PROYECTOS!$A:$N,10,FALSE))</f>
        <v/>
      </c>
      <c r="I97">
        <f>ROUNDUP(H97/30,0)</f>
        <v/>
      </c>
      <c r="J97">
        <f>EDATE(C97,I97)</f>
        <v/>
      </c>
      <c r="K97">
        <f>G97</f>
        <v/>
      </c>
    </row>
    <row r="98">
      <c r="E98">
        <f>D98*VLOOKUP(A98,04_PROYECTOS!$A:$N,5,FALSE)*(INDEX(02B_ESCENARIOS!$B$4:$D$11, MATCH("MULT_PRECIO", 02B_ESCENARIOS!$A$4:$A$11, 0), MATCH("Base", 02B_ESCENARIOS!$B$3:$D$3, 0)))*INDEX(02B_ESCENARIOS!$B$15:$D$19, MATCH(VLOOKUP(A98,04_PROYECTOS!$A:$N,9,FALSE), 02B_ESCENARIOS!$A$15:$A$19, 0), MATCH("Base", 02B_ESCENARIOS!$B$14:$D$14, 0))</f>
        <v/>
      </c>
      <c r="F98">
        <f>E98*VLOOKUP(A98,04_PROYECTOS!$A:$N,6,FALSE)</f>
        <v/>
      </c>
      <c r="G98">
        <f>E98+F98</f>
        <v/>
      </c>
      <c r="H98">
        <f>IF(VLOOKUP(A98,04_PROYECTOS!$A:$N,10,FALSE)="", IF(VLOOKUP(A98,04_PROYECTOS!$A:$N,4,FALSE)="Privado", INDEX(02B_ESCENARIOS!$B$4:$D$11, MATCH("DSO_PRIVADO_DEFAULT", 02B_ESCENARIOS!$A$4:$A$11, 0), MATCH("Base", 02B_ESCENARIOS!$B$3:$D$3, 0)), IF(VLOOKUP(A98,04_PROYECTOS!$A:$N,4,FALSE)="Publico_&lt;10M",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VLOOKUP(A98,04_PROYECTOS!$A:$N,10,FALSE))</f>
        <v/>
      </c>
      <c r="I98">
        <f>ROUNDUP(H98/30,0)</f>
        <v/>
      </c>
      <c r="J98">
        <f>EDATE(C98,I98)</f>
        <v/>
      </c>
      <c r="K98">
        <f>G98</f>
        <v/>
      </c>
    </row>
    <row r="99">
      <c r="E99">
        <f>D99*VLOOKUP(A99,04_PROYECTOS!$A:$N,5,FALSE)*(INDEX(02B_ESCENARIOS!$B$4:$D$11, MATCH("MULT_PRECIO", 02B_ESCENARIOS!$A$4:$A$11, 0), MATCH("Base", 02B_ESCENARIOS!$B$3:$D$3, 0)))*INDEX(02B_ESCENARIOS!$B$15:$D$19, MATCH(VLOOKUP(A99,04_PROYECTOS!$A:$N,9,FALSE), 02B_ESCENARIOS!$A$15:$A$19, 0), MATCH("Base", 02B_ESCENARIOS!$B$14:$D$14, 0))</f>
        <v/>
      </c>
      <c r="F99">
        <f>E99*VLOOKUP(A99,04_PROYECTOS!$A:$N,6,FALSE)</f>
        <v/>
      </c>
      <c r="G99">
        <f>E99+F99</f>
        <v/>
      </c>
      <c r="H99">
        <f>IF(VLOOKUP(A99,04_PROYECTOS!$A:$N,10,FALSE)="", IF(VLOOKUP(A99,04_PROYECTOS!$A:$N,4,FALSE)="Privado", INDEX(02B_ESCENARIOS!$B$4:$D$11, MATCH("DSO_PRIVADO_DEFAULT", 02B_ESCENARIOS!$A$4:$A$11, 0), MATCH("Base", 02B_ESCENARIOS!$B$3:$D$3, 0)), IF(VLOOKUP(A99,04_PROYECTOS!$A:$N,4,FALSE)="Publico_&lt;10M",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VLOOKUP(A99,04_PROYECTOS!$A:$N,10,FALSE))</f>
        <v/>
      </c>
      <c r="I99">
        <f>ROUNDUP(H99/30,0)</f>
        <v/>
      </c>
      <c r="J99">
        <f>EDATE(C99,I99)</f>
        <v/>
      </c>
      <c r="K99">
        <f>G99</f>
        <v/>
      </c>
    </row>
    <row r="100">
      <c r="E100">
        <f>D100*VLOOKUP(A100,04_PROYECTOS!$A:$N,5,FALSE)*(INDEX(02B_ESCENARIOS!$B$4:$D$11, MATCH("MULT_PRECIO", 02B_ESCENARIOS!$A$4:$A$11, 0), MATCH("Base", 02B_ESCENARIOS!$B$3:$D$3, 0)))*INDEX(02B_ESCENARIOS!$B$15:$D$19, MATCH(VLOOKUP(A100,04_PROYECTOS!$A:$N,9,FALSE), 02B_ESCENARIOS!$A$15:$A$19, 0), MATCH("Base", 02B_ESCENARIOS!$B$14:$D$14, 0))</f>
        <v/>
      </c>
      <c r="F100">
        <f>E100*VLOOKUP(A100,04_PROYECTOS!$A:$N,6,FALSE)</f>
        <v/>
      </c>
      <c r="G100">
        <f>E100+F100</f>
        <v/>
      </c>
      <c r="H100">
        <f>IF(VLOOKUP(A100,04_PROYECTOS!$A:$N,10,FALSE)="", IF(VLOOKUP(A100,04_PROYECTOS!$A:$N,4,FALSE)="Privado", INDEX(02B_ESCENARIOS!$B$4:$D$11, MATCH("DSO_PRIVADO_DEFAULT", 02B_ESCENARIOS!$A$4:$A$11, 0), MATCH("Base", 02B_ESCENARIOS!$B$3:$D$3, 0)), IF(VLOOKUP(A100,04_PROYECTOS!$A:$N,4,FALSE)="Publico_&lt;10M",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VLOOKUP(A100,04_PROYECTOS!$A:$N,10,FALSE))</f>
        <v/>
      </c>
      <c r="I100">
        <f>ROUNDUP(H100/30,0)</f>
        <v/>
      </c>
      <c r="J100">
        <f>EDATE(C100,I100)</f>
        <v/>
      </c>
      <c r="K100">
        <f>G100</f>
        <v/>
      </c>
    </row>
    <row r="101">
      <c r="E101">
        <f>D101*VLOOKUP(A101,04_PROYECTOS!$A:$N,5,FALSE)*(INDEX(02B_ESCENARIOS!$B$4:$D$11, MATCH("MULT_PRECIO", 02B_ESCENARIOS!$A$4:$A$11, 0), MATCH("Base", 02B_ESCENARIOS!$B$3:$D$3, 0)))*INDEX(02B_ESCENARIOS!$B$15:$D$19, MATCH(VLOOKUP(A101,04_PROYECTOS!$A:$N,9,FALSE), 02B_ESCENARIOS!$A$15:$A$19, 0), MATCH("Base", 02B_ESCENARIOS!$B$14:$D$14, 0))</f>
        <v/>
      </c>
      <c r="F101">
        <f>E101*VLOOKUP(A101,04_PROYECTOS!$A:$N,6,FALSE)</f>
        <v/>
      </c>
      <c r="G101">
        <f>E101+F101</f>
        <v/>
      </c>
      <c r="H101">
        <f>IF(VLOOKUP(A101,04_PROYECTOS!$A:$N,10,FALSE)="", IF(VLOOKUP(A101,04_PROYECTOS!$A:$N,4,FALSE)="Privado", INDEX(02B_ESCENARIOS!$B$4:$D$11, MATCH("DSO_PRIVADO_DEFAULT", 02B_ESCENARIOS!$A$4:$A$11, 0), MATCH("Base", 02B_ESCENARIOS!$B$3:$D$3, 0)), IF(VLOOKUP(A101,04_PROYECTOS!$A:$N,4,FALSE)="Publico_&lt;10M",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VLOOKUP(A101,04_PROYECTOS!$A:$N,10,FALSE))</f>
        <v/>
      </c>
      <c r="I101">
        <f>ROUNDUP(H101/30,0)</f>
        <v/>
      </c>
      <c r="J101">
        <f>EDATE(C101,I101)</f>
        <v/>
      </c>
      <c r="K101">
        <f>G101</f>
        <v/>
      </c>
    </row>
    <row r="102">
      <c r="E102">
        <f>D102*VLOOKUP(A102,04_PROYECTOS!$A:$N,5,FALSE)*(INDEX(02B_ESCENARIOS!$B$4:$D$11, MATCH("MULT_PRECIO", 02B_ESCENARIOS!$A$4:$A$11, 0), MATCH("Base", 02B_ESCENARIOS!$B$3:$D$3, 0)))*INDEX(02B_ESCENARIOS!$B$15:$D$19, MATCH(VLOOKUP(A102,04_PROYECTOS!$A:$N,9,FALSE), 02B_ESCENARIOS!$A$15:$A$19, 0), MATCH("Base", 02B_ESCENARIOS!$B$14:$D$14, 0))</f>
        <v/>
      </c>
      <c r="F102">
        <f>E102*VLOOKUP(A102,04_PROYECTOS!$A:$N,6,FALSE)</f>
        <v/>
      </c>
      <c r="G102">
        <f>E102+F102</f>
        <v/>
      </c>
      <c r="H102">
        <f>IF(VLOOKUP(A102,04_PROYECTOS!$A:$N,10,FALSE)="", IF(VLOOKUP(A102,04_PROYECTOS!$A:$N,4,FALSE)="Privado", INDEX(02B_ESCENARIOS!$B$4:$D$11, MATCH("DSO_PRIVADO_DEFAULT", 02B_ESCENARIOS!$A$4:$A$11, 0), MATCH("Base", 02B_ESCENARIOS!$B$3:$D$3, 0)), IF(VLOOKUP(A102,04_PROYECTOS!$A:$N,4,FALSE)="Publico_&lt;10M",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VLOOKUP(A102,04_PROYECTOS!$A:$N,10,FALSE))</f>
        <v/>
      </c>
      <c r="I102">
        <f>ROUNDUP(H102/30,0)</f>
        <v/>
      </c>
      <c r="J102">
        <f>EDATE(C102,I102)</f>
        <v/>
      </c>
      <c r="K102">
        <f>G102</f>
        <v/>
      </c>
    </row>
    <row r="103">
      <c r="E103">
        <f>D103*VLOOKUP(A103,04_PROYECTOS!$A:$N,5,FALSE)*(INDEX(02B_ESCENARIOS!$B$4:$D$11, MATCH("MULT_PRECIO", 02B_ESCENARIOS!$A$4:$A$11, 0), MATCH("Base", 02B_ESCENARIOS!$B$3:$D$3, 0)))*INDEX(02B_ESCENARIOS!$B$15:$D$19, MATCH(VLOOKUP(A103,04_PROYECTOS!$A:$N,9,FALSE), 02B_ESCENARIOS!$A$15:$A$19, 0), MATCH("Base", 02B_ESCENARIOS!$B$14:$D$14, 0))</f>
        <v/>
      </c>
      <c r="F103">
        <f>E103*VLOOKUP(A103,04_PROYECTOS!$A:$N,6,FALSE)</f>
        <v/>
      </c>
      <c r="G103">
        <f>E103+F103</f>
        <v/>
      </c>
      <c r="H103">
        <f>IF(VLOOKUP(A103,04_PROYECTOS!$A:$N,10,FALSE)="", IF(VLOOKUP(A103,04_PROYECTOS!$A:$N,4,FALSE)="Privado", INDEX(02B_ESCENARIOS!$B$4:$D$11, MATCH("DSO_PRIVADO_DEFAULT", 02B_ESCENARIOS!$A$4:$A$11, 0), MATCH("Base", 02B_ESCENARIOS!$B$3:$D$3, 0)), IF(VLOOKUP(A103,04_PROYECTOS!$A:$N,4,FALSE)="Publico_&lt;10M",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VLOOKUP(A103,04_PROYECTOS!$A:$N,10,FALSE))</f>
        <v/>
      </c>
      <c r="I103">
        <f>ROUNDUP(H103/30,0)</f>
        <v/>
      </c>
      <c r="J103">
        <f>EDATE(C103,I103)</f>
        <v/>
      </c>
      <c r="K103">
        <f>G103</f>
        <v/>
      </c>
    </row>
    <row r="104">
      <c r="E104">
        <f>D104*VLOOKUP(A104,04_PROYECTOS!$A:$N,5,FALSE)*(INDEX(02B_ESCENARIOS!$B$4:$D$11, MATCH("MULT_PRECIO", 02B_ESCENARIOS!$A$4:$A$11, 0), MATCH("Base", 02B_ESCENARIOS!$B$3:$D$3, 0)))*INDEX(02B_ESCENARIOS!$B$15:$D$19, MATCH(VLOOKUP(A104,04_PROYECTOS!$A:$N,9,FALSE), 02B_ESCENARIOS!$A$15:$A$19, 0), MATCH("Base", 02B_ESCENARIOS!$B$14:$D$14, 0))</f>
        <v/>
      </c>
      <c r="F104">
        <f>E104*VLOOKUP(A104,04_PROYECTOS!$A:$N,6,FALSE)</f>
        <v/>
      </c>
      <c r="G104">
        <f>E104+F104</f>
        <v/>
      </c>
      <c r="H104">
        <f>IF(VLOOKUP(A104,04_PROYECTOS!$A:$N,10,FALSE)="", IF(VLOOKUP(A104,04_PROYECTOS!$A:$N,4,FALSE)="Privado", INDEX(02B_ESCENARIOS!$B$4:$D$11, MATCH("DSO_PRIVADO_DEFAULT", 02B_ESCENARIOS!$A$4:$A$11, 0), MATCH("Base", 02B_ESCENARIOS!$B$3:$D$3, 0)), IF(VLOOKUP(A104,04_PROYECTOS!$A:$N,4,FALSE)="Publico_&lt;10M",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VLOOKUP(A104,04_PROYECTOS!$A:$N,10,FALSE))</f>
        <v/>
      </c>
      <c r="I104">
        <f>ROUNDUP(H104/30,0)</f>
        <v/>
      </c>
      <c r="J104">
        <f>EDATE(C104,I104)</f>
        <v/>
      </c>
      <c r="K104">
        <f>G104</f>
        <v/>
      </c>
    </row>
    <row r="105">
      <c r="E105">
        <f>D105*VLOOKUP(A105,04_PROYECTOS!$A:$N,5,FALSE)*(INDEX(02B_ESCENARIOS!$B$4:$D$11, MATCH("MULT_PRECIO", 02B_ESCENARIOS!$A$4:$A$11, 0), MATCH("Base", 02B_ESCENARIOS!$B$3:$D$3, 0)))*INDEX(02B_ESCENARIOS!$B$15:$D$19, MATCH(VLOOKUP(A105,04_PROYECTOS!$A:$N,9,FALSE), 02B_ESCENARIOS!$A$15:$A$19, 0), MATCH("Base", 02B_ESCENARIOS!$B$14:$D$14, 0))</f>
        <v/>
      </c>
      <c r="F105">
        <f>E105*VLOOKUP(A105,04_PROYECTOS!$A:$N,6,FALSE)</f>
        <v/>
      </c>
      <c r="G105">
        <f>E105+F105</f>
        <v/>
      </c>
      <c r="H105">
        <f>IF(VLOOKUP(A105,04_PROYECTOS!$A:$N,10,FALSE)="", IF(VLOOKUP(A105,04_PROYECTOS!$A:$N,4,FALSE)="Privado", INDEX(02B_ESCENARIOS!$B$4:$D$11, MATCH("DSO_PRIVADO_DEFAULT", 02B_ESCENARIOS!$A$4:$A$11, 0), MATCH("Base", 02B_ESCENARIOS!$B$3:$D$3, 0)), IF(VLOOKUP(A105,04_PROYECTOS!$A:$N,4,FALSE)="Publico_&lt;10M",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VLOOKUP(A105,04_PROYECTOS!$A:$N,10,FALSE))</f>
        <v/>
      </c>
      <c r="I105">
        <f>ROUNDUP(H105/30,0)</f>
        <v/>
      </c>
      <c r="J105">
        <f>EDATE(C105,I105)</f>
        <v/>
      </c>
      <c r="K105">
        <f>G105</f>
        <v/>
      </c>
    </row>
    <row r="106">
      <c r="E106">
        <f>D106*VLOOKUP(A106,04_PROYECTOS!$A:$N,5,FALSE)*(INDEX(02B_ESCENARIOS!$B$4:$D$11, MATCH("MULT_PRECIO", 02B_ESCENARIOS!$A$4:$A$11, 0), MATCH("Base", 02B_ESCENARIOS!$B$3:$D$3, 0)))*INDEX(02B_ESCENARIOS!$B$15:$D$19, MATCH(VLOOKUP(A106,04_PROYECTOS!$A:$N,9,FALSE), 02B_ESCENARIOS!$A$15:$A$19, 0), MATCH("Base", 02B_ESCENARIOS!$B$14:$D$14, 0))</f>
        <v/>
      </c>
      <c r="F106">
        <f>E106*VLOOKUP(A106,04_PROYECTOS!$A:$N,6,FALSE)</f>
        <v/>
      </c>
      <c r="G106">
        <f>E106+F106</f>
        <v/>
      </c>
      <c r="H106">
        <f>IF(VLOOKUP(A106,04_PROYECTOS!$A:$N,10,FALSE)="", IF(VLOOKUP(A106,04_PROYECTOS!$A:$N,4,FALSE)="Privado", INDEX(02B_ESCENARIOS!$B$4:$D$11, MATCH("DSO_PRIVADO_DEFAULT", 02B_ESCENARIOS!$A$4:$A$11, 0), MATCH("Base", 02B_ESCENARIOS!$B$3:$D$3, 0)), IF(VLOOKUP(A106,04_PROYECTOS!$A:$N,4,FALSE)="Publico_&lt;10M",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VLOOKUP(A106,04_PROYECTOS!$A:$N,10,FALSE))</f>
        <v/>
      </c>
      <c r="I106">
        <f>ROUNDUP(H106/30,0)</f>
        <v/>
      </c>
      <c r="J106">
        <f>EDATE(C106,I106)</f>
        <v/>
      </c>
      <c r="K106">
        <f>G106</f>
        <v/>
      </c>
    </row>
    <row r="107">
      <c r="E107">
        <f>D107*VLOOKUP(A107,04_PROYECTOS!$A:$N,5,FALSE)*(INDEX(02B_ESCENARIOS!$B$4:$D$11, MATCH("MULT_PRECIO", 02B_ESCENARIOS!$A$4:$A$11, 0), MATCH("Base", 02B_ESCENARIOS!$B$3:$D$3, 0)))*INDEX(02B_ESCENARIOS!$B$15:$D$19, MATCH(VLOOKUP(A107,04_PROYECTOS!$A:$N,9,FALSE), 02B_ESCENARIOS!$A$15:$A$19, 0), MATCH("Base", 02B_ESCENARIOS!$B$14:$D$14, 0))</f>
        <v/>
      </c>
      <c r="F107">
        <f>E107*VLOOKUP(A107,04_PROYECTOS!$A:$N,6,FALSE)</f>
        <v/>
      </c>
      <c r="G107">
        <f>E107+F107</f>
        <v/>
      </c>
      <c r="H107">
        <f>IF(VLOOKUP(A107,04_PROYECTOS!$A:$N,10,FALSE)="", IF(VLOOKUP(A107,04_PROYECTOS!$A:$N,4,FALSE)="Privado", INDEX(02B_ESCENARIOS!$B$4:$D$11, MATCH("DSO_PRIVADO_DEFAULT", 02B_ESCENARIOS!$A$4:$A$11, 0), MATCH("Base", 02B_ESCENARIOS!$B$3:$D$3, 0)), IF(VLOOKUP(A107,04_PROYECTOS!$A:$N,4,FALSE)="Publico_&lt;10M",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VLOOKUP(A107,04_PROYECTOS!$A:$N,10,FALSE))</f>
        <v/>
      </c>
      <c r="I107">
        <f>ROUNDUP(H107/30,0)</f>
        <v/>
      </c>
      <c r="J107">
        <f>EDATE(C107,I107)</f>
        <v/>
      </c>
      <c r="K107">
        <f>G107</f>
        <v/>
      </c>
    </row>
    <row r="108">
      <c r="E108">
        <f>D108*VLOOKUP(A108,04_PROYECTOS!$A:$N,5,FALSE)*(INDEX(02B_ESCENARIOS!$B$4:$D$11, MATCH("MULT_PRECIO", 02B_ESCENARIOS!$A$4:$A$11, 0), MATCH("Base", 02B_ESCENARIOS!$B$3:$D$3, 0)))*INDEX(02B_ESCENARIOS!$B$15:$D$19, MATCH(VLOOKUP(A108,04_PROYECTOS!$A:$N,9,FALSE), 02B_ESCENARIOS!$A$15:$A$19, 0), MATCH("Base", 02B_ESCENARIOS!$B$14:$D$14, 0))</f>
        <v/>
      </c>
      <c r="F108">
        <f>E108*VLOOKUP(A108,04_PROYECTOS!$A:$N,6,FALSE)</f>
        <v/>
      </c>
      <c r="G108">
        <f>E108+F108</f>
        <v/>
      </c>
      <c r="H108">
        <f>IF(VLOOKUP(A108,04_PROYECTOS!$A:$N,10,FALSE)="", IF(VLOOKUP(A108,04_PROYECTOS!$A:$N,4,FALSE)="Privado", INDEX(02B_ESCENARIOS!$B$4:$D$11, MATCH("DSO_PRIVADO_DEFAULT", 02B_ESCENARIOS!$A$4:$A$11, 0), MATCH("Base", 02B_ESCENARIOS!$B$3:$D$3, 0)), IF(VLOOKUP(A108,04_PROYECTOS!$A:$N,4,FALSE)="Publico_&lt;10M",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VLOOKUP(A108,04_PROYECTOS!$A:$N,10,FALSE))</f>
        <v/>
      </c>
      <c r="I108">
        <f>ROUNDUP(H108/30,0)</f>
        <v/>
      </c>
      <c r="J108">
        <f>EDATE(C108,I108)</f>
        <v/>
      </c>
      <c r="K108">
        <f>G108</f>
        <v/>
      </c>
    </row>
    <row r="109">
      <c r="E109">
        <f>D109*VLOOKUP(A109,04_PROYECTOS!$A:$N,5,FALSE)*(INDEX(02B_ESCENARIOS!$B$4:$D$11, MATCH("MULT_PRECIO", 02B_ESCENARIOS!$A$4:$A$11, 0), MATCH("Base", 02B_ESCENARIOS!$B$3:$D$3, 0)))*INDEX(02B_ESCENARIOS!$B$15:$D$19, MATCH(VLOOKUP(A109,04_PROYECTOS!$A:$N,9,FALSE), 02B_ESCENARIOS!$A$15:$A$19, 0), MATCH("Base", 02B_ESCENARIOS!$B$14:$D$14, 0))</f>
        <v/>
      </c>
      <c r="F109">
        <f>E109*VLOOKUP(A109,04_PROYECTOS!$A:$N,6,FALSE)</f>
        <v/>
      </c>
      <c r="G109">
        <f>E109+F109</f>
        <v/>
      </c>
      <c r="H109">
        <f>IF(VLOOKUP(A109,04_PROYECTOS!$A:$N,10,FALSE)="", IF(VLOOKUP(A109,04_PROYECTOS!$A:$N,4,FALSE)="Privado", INDEX(02B_ESCENARIOS!$B$4:$D$11, MATCH("DSO_PRIVADO_DEFAULT", 02B_ESCENARIOS!$A$4:$A$11, 0), MATCH("Base", 02B_ESCENARIOS!$B$3:$D$3, 0)), IF(VLOOKUP(A109,04_PROYECTOS!$A:$N,4,FALSE)="Publico_&lt;10M",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VLOOKUP(A109,04_PROYECTOS!$A:$N,10,FALSE))</f>
        <v/>
      </c>
      <c r="I109">
        <f>ROUNDUP(H109/30,0)</f>
        <v/>
      </c>
      <c r="J109">
        <f>EDATE(C109,I109)</f>
        <v/>
      </c>
      <c r="K109">
        <f>G109</f>
        <v/>
      </c>
    </row>
    <row r="110">
      <c r="E110">
        <f>D110*VLOOKUP(A110,04_PROYECTOS!$A:$N,5,FALSE)*(INDEX(02B_ESCENARIOS!$B$4:$D$11, MATCH("MULT_PRECIO", 02B_ESCENARIOS!$A$4:$A$11, 0), MATCH("Base", 02B_ESCENARIOS!$B$3:$D$3, 0)))*INDEX(02B_ESCENARIOS!$B$15:$D$19, MATCH(VLOOKUP(A110,04_PROYECTOS!$A:$N,9,FALSE), 02B_ESCENARIOS!$A$15:$A$19, 0), MATCH("Base", 02B_ESCENARIOS!$B$14:$D$14, 0))</f>
        <v/>
      </c>
      <c r="F110">
        <f>E110*VLOOKUP(A110,04_PROYECTOS!$A:$N,6,FALSE)</f>
        <v/>
      </c>
      <c r="G110">
        <f>E110+F110</f>
        <v/>
      </c>
      <c r="H110">
        <f>IF(VLOOKUP(A110,04_PROYECTOS!$A:$N,10,FALSE)="", IF(VLOOKUP(A110,04_PROYECTOS!$A:$N,4,FALSE)="Privado", INDEX(02B_ESCENARIOS!$B$4:$D$11, MATCH("DSO_PRIVADO_DEFAULT", 02B_ESCENARIOS!$A$4:$A$11, 0), MATCH("Base", 02B_ESCENARIOS!$B$3:$D$3, 0)), IF(VLOOKUP(A110,04_PROYECTOS!$A:$N,4,FALSE)="Publico_&lt;10M",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VLOOKUP(A110,04_PROYECTOS!$A:$N,10,FALSE))</f>
        <v/>
      </c>
      <c r="I110">
        <f>ROUNDUP(H110/30,0)</f>
        <v/>
      </c>
      <c r="J110">
        <f>EDATE(C110,I110)</f>
        <v/>
      </c>
      <c r="K110">
        <f>G110</f>
        <v/>
      </c>
    </row>
    <row r="111">
      <c r="E111">
        <f>D111*VLOOKUP(A111,04_PROYECTOS!$A:$N,5,FALSE)*(INDEX(02B_ESCENARIOS!$B$4:$D$11, MATCH("MULT_PRECIO", 02B_ESCENARIOS!$A$4:$A$11, 0), MATCH("Base", 02B_ESCENARIOS!$B$3:$D$3, 0)))*INDEX(02B_ESCENARIOS!$B$15:$D$19, MATCH(VLOOKUP(A111,04_PROYECTOS!$A:$N,9,FALSE), 02B_ESCENARIOS!$A$15:$A$19, 0), MATCH("Base", 02B_ESCENARIOS!$B$14:$D$14, 0))</f>
        <v/>
      </c>
      <c r="F111">
        <f>E111*VLOOKUP(A111,04_PROYECTOS!$A:$N,6,FALSE)</f>
        <v/>
      </c>
      <c r="G111">
        <f>E111+F111</f>
        <v/>
      </c>
      <c r="H111">
        <f>IF(VLOOKUP(A111,04_PROYECTOS!$A:$N,10,FALSE)="", IF(VLOOKUP(A111,04_PROYECTOS!$A:$N,4,FALSE)="Privado", INDEX(02B_ESCENARIOS!$B$4:$D$11, MATCH("DSO_PRIVADO_DEFAULT", 02B_ESCENARIOS!$A$4:$A$11, 0), MATCH("Base", 02B_ESCENARIOS!$B$3:$D$3, 0)), IF(VLOOKUP(A111,04_PROYECTOS!$A:$N,4,FALSE)="Publico_&lt;10M",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VLOOKUP(A111,04_PROYECTOS!$A:$N,10,FALSE))</f>
        <v/>
      </c>
      <c r="I111">
        <f>ROUNDUP(H111/30,0)</f>
        <v/>
      </c>
      <c r="J111">
        <f>EDATE(C111,I111)</f>
        <v/>
      </c>
      <c r="K111">
        <f>G111</f>
        <v/>
      </c>
    </row>
    <row r="112">
      <c r="E112">
        <f>D112*VLOOKUP(A112,04_PROYECTOS!$A:$N,5,FALSE)*(INDEX(02B_ESCENARIOS!$B$4:$D$11, MATCH("MULT_PRECIO", 02B_ESCENARIOS!$A$4:$A$11, 0), MATCH("Base", 02B_ESCENARIOS!$B$3:$D$3, 0)))*INDEX(02B_ESCENARIOS!$B$15:$D$19, MATCH(VLOOKUP(A112,04_PROYECTOS!$A:$N,9,FALSE), 02B_ESCENARIOS!$A$15:$A$19, 0), MATCH("Base", 02B_ESCENARIOS!$B$14:$D$14, 0))</f>
        <v/>
      </c>
      <c r="F112">
        <f>E112*VLOOKUP(A112,04_PROYECTOS!$A:$N,6,FALSE)</f>
        <v/>
      </c>
      <c r="G112">
        <f>E112+F112</f>
        <v/>
      </c>
      <c r="H112">
        <f>IF(VLOOKUP(A112,04_PROYECTOS!$A:$N,10,FALSE)="", IF(VLOOKUP(A112,04_PROYECTOS!$A:$N,4,FALSE)="Privado", INDEX(02B_ESCENARIOS!$B$4:$D$11, MATCH("DSO_PRIVADO_DEFAULT", 02B_ESCENARIOS!$A$4:$A$11, 0), MATCH("Base", 02B_ESCENARIOS!$B$3:$D$3, 0)), IF(VLOOKUP(A112,04_PROYECTOS!$A:$N,4,FALSE)="Publico_&lt;10M",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VLOOKUP(A112,04_PROYECTOS!$A:$N,10,FALSE))</f>
        <v/>
      </c>
      <c r="I112">
        <f>ROUNDUP(H112/30,0)</f>
        <v/>
      </c>
      <c r="J112">
        <f>EDATE(C112,I112)</f>
        <v/>
      </c>
      <c r="K112">
        <f>G112</f>
        <v/>
      </c>
    </row>
    <row r="113">
      <c r="E113">
        <f>D113*VLOOKUP(A113,04_PROYECTOS!$A:$N,5,FALSE)*(INDEX(02B_ESCENARIOS!$B$4:$D$11, MATCH("MULT_PRECIO", 02B_ESCENARIOS!$A$4:$A$11, 0), MATCH("Base", 02B_ESCENARIOS!$B$3:$D$3, 0)))*INDEX(02B_ESCENARIOS!$B$15:$D$19, MATCH(VLOOKUP(A113,04_PROYECTOS!$A:$N,9,FALSE), 02B_ESCENARIOS!$A$15:$A$19, 0), MATCH("Base", 02B_ESCENARIOS!$B$14:$D$14, 0))</f>
        <v/>
      </c>
      <c r="F113">
        <f>E113*VLOOKUP(A113,04_PROYECTOS!$A:$N,6,FALSE)</f>
        <v/>
      </c>
      <c r="G113">
        <f>E113+F113</f>
        <v/>
      </c>
      <c r="H113">
        <f>IF(VLOOKUP(A113,04_PROYECTOS!$A:$N,10,FALSE)="", IF(VLOOKUP(A113,04_PROYECTOS!$A:$N,4,FALSE)="Privado", INDEX(02B_ESCENARIOS!$B$4:$D$11, MATCH("DSO_PRIVADO_DEFAULT", 02B_ESCENARIOS!$A$4:$A$11, 0), MATCH("Base", 02B_ESCENARIOS!$B$3:$D$3, 0)), IF(VLOOKUP(A113,04_PROYECTOS!$A:$N,4,FALSE)="Publico_&lt;10M",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VLOOKUP(A113,04_PROYECTOS!$A:$N,10,FALSE))</f>
        <v/>
      </c>
      <c r="I113">
        <f>ROUNDUP(H113/30,0)</f>
        <v/>
      </c>
      <c r="J113">
        <f>EDATE(C113,I113)</f>
        <v/>
      </c>
      <c r="K113">
        <f>G113</f>
        <v/>
      </c>
    </row>
    <row r="114">
      <c r="E114">
        <f>D114*VLOOKUP(A114,04_PROYECTOS!$A:$N,5,FALSE)*(INDEX(02B_ESCENARIOS!$B$4:$D$11, MATCH("MULT_PRECIO", 02B_ESCENARIOS!$A$4:$A$11, 0), MATCH("Base", 02B_ESCENARIOS!$B$3:$D$3, 0)))*INDEX(02B_ESCENARIOS!$B$15:$D$19, MATCH(VLOOKUP(A114,04_PROYECTOS!$A:$N,9,FALSE), 02B_ESCENARIOS!$A$15:$A$19, 0), MATCH("Base", 02B_ESCENARIOS!$B$14:$D$14, 0))</f>
        <v/>
      </c>
      <c r="F114">
        <f>E114*VLOOKUP(A114,04_PROYECTOS!$A:$N,6,FALSE)</f>
        <v/>
      </c>
      <c r="G114">
        <f>E114+F114</f>
        <v/>
      </c>
      <c r="H114">
        <f>IF(VLOOKUP(A114,04_PROYECTOS!$A:$N,10,FALSE)="", IF(VLOOKUP(A114,04_PROYECTOS!$A:$N,4,FALSE)="Privado", INDEX(02B_ESCENARIOS!$B$4:$D$11, MATCH("DSO_PRIVADO_DEFAULT", 02B_ESCENARIOS!$A$4:$A$11, 0), MATCH("Base", 02B_ESCENARIOS!$B$3:$D$3, 0)), IF(VLOOKUP(A114,04_PROYECTOS!$A:$N,4,FALSE)="Publico_&lt;10M",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VLOOKUP(A114,04_PROYECTOS!$A:$N,10,FALSE))</f>
        <v/>
      </c>
      <c r="I114">
        <f>ROUNDUP(H114/30,0)</f>
        <v/>
      </c>
      <c r="J114">
        <f>EDATE(C114,I114)</f>
        <v/>
      </c>
      <c r="K114">
        <f>G114</f>
        <v/>
      </c>
    </row>
    <row r="115">
      <c r="E115">
        <f>D115*VLOOKUP(A115,04_PROYECTOS!$A:$N,5,FALSE)*(INDEX(02B_ESCENARIOS!$B$4:$D$11, MATCH("MULT_PRECIO", 02B_ESCENARIOS!$A$4:$A$11, 0), MATCH("Base", 02B_ESCENARIOS!$B$3:$D$3, 0)))*INDEX(02B_ESCENARIOS!$B$15:$D$19, MATCH(VLOOKUP(A115,04_PROYECTOS!$A:$N,9,FALSE), 02B_ESCENARIOS!$A$15:$A$19, 0), MATCH("Base", 02B_ESCENARIOS!$B$14:$D$14, 0))</f>
        <v/>
      </c>
      <c r="F115">
        <f>E115*VLOOKUP(A115,04_PROYECTOS!$A:$N,6,FALSE)</f>
        <v/>
      </c>
      <c r="G115">
        <f>E115+F115</f>
        <v/>
      </c>
      <c r="H115">
        <f>IF(VLOOKUP(A115,04_PROYECTOS!$A:$N,10,FALSE)="", IF(VLOOKUP(A115,04_PROYECTOS!$A:$N,4,FALSE)="Privado", INDEX(02B_ESCENARIOS!$B$4:$D$11, MATCH("DSO_PRIVADO_DEFAULT", 02B_ESCENARIOS!$A$4:$A$11, 0), MATCH("Base", 02B_ESCENARIOS!$B$3:$D$3, 0)), IF(VLOOKUP(A115,04_PROYECTOS!$A:$N,4,FALSE)="Publico_&lt;10M",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VLOOKUP(A115,04_PROYECTOS!$A:$N,10,FALSE))</f>
        <v/>
      </c>
      <c r="I115">
        <f>ROUNDUP(H115/30,0)</f>
        <v/>
      </c>
      <c r="J115">
        <f>EDATE(C115,I115)</f>
        <v/>
      </c>
      <c r="K115">
        <f>G115</f>
        <v/>
      </c>
    </row>
    <row r="116">
      <c r="E116">
        <f>D116*VLOOKUP(A116,04_PROYECTOS!$A:$N,5,FALSE)*(INDEX(02B_ESCENARIOS!$B$4:$D$11, MATCH("MULT_PRECIO", 02B_ESCENARIOS!$A$4:$A$11, 0), MATCH("Base", 02B_ESCENARIOS!$B$3:$D$3, 0)))*INDEX(02B_ESCENARIOS!$B$15:$D$19, MATCH(VLOOKUP(A116,04_PROYECTOS!$A:$N,9,FALSE), 02B_ESCENARIOS!$A$15:$A$19, 0), MATCH("Base", 02B_ESCENARIOS!$B$14:$D$14, 0))</f>
        <v/>
      </c>
      <c r="F116">
        <f>E116*VLOOKUP(A116,04_PROYECTOS!$A:$N,6,FALSE)</f>
        <v/>
      </c>
      <c r="G116">
        <f>E116+F116</f>
        <v/>
      </c>
      <c r="H116">
        <f>IF(VLOOKUP(A116,04_PROYECTOS!$A:$N,10,FALSE)="", IF(VLOOKUP(A116,04_PROYECTOS!$A:$N,4,FALSE)="Privado", INDEX(02B_ESCENARIOS!$B$4:$D$11, MATCH("DSO_PRIVADO_DEFAULT", 02B_ESCENARIOS!$A$4:$A$11, 0), MATCH("Base", 02B_ESCENARIOS!$B$3:$D$3, 0)), IF(VLOOKUP(A116,04_PROYECTOS!$A:$N,4,FALSE)="Publico_&lt;10M",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VLOOKUP(A116,04_PROYECTOS!$A:$N,10,FALSE))</f>
        <v/>
      </c>
      <c r="I116">
        <f>ROUNDUP(H116/30,0)</f>
        <v/>
      </c>
      <c r="J116">
        <f>EDATE(C116,I116)</f>
        <v/>
      </c>
      <c r="K116">
        <f>G116</f>
        <v/>
      </c>
    </row>
    <row r="117">
      <c r="E117">
        <f>D117*VLOOKUP(A117,04_PROYECTOS!$A:$N,5,FALSE)*(INDEX(02B_ESCENARIOS!$B$4:$D$11, MATCH("MULT_PRECIO", 02B_ESCENARIOS!$A$4:$A$11, 0), MATCH("Base", 02B_ESCENARIOS!$B$3:$D$3, 0)))*INDEX(02B_ESCENARIOS!$B$15:$D$19, MATCH(VLOOKUP(A117,04_PROYECTOS!$A:$N,9,FALSE), 02B_ESCENARIOS!$A$15:$A$19, 0), MATCH("Base", 02B_ESCENARIOS!$B$14:$D$14, 0))</f>
        <v/>
      </c>
      <c r="F117">
        <f>E117*VLOOKUP(A117,04_PROYECTOS!$A:$N,6,FALSE)</f>
        <v/>
      </c>
      <c r="G117">
        <f>E117+F117</f>
        <v/>
      </c>
      <c r="H117">
        <f>IF(VLOOKUP(A117,04_PROYECTOS!$A:$N,10,FALSE)="", IF(VLOOKUP(A117,04_PROYECTOS!$A:$N,4,FALSE)="Privado", INDEX(02B_ESCENARIOS!$B$4:$D$11, MATCH("DSO_PRIVADO_DEFAULT", 02B_ESCENARIOS!$A$4:$A$11, 0), MATCH("Base", 02B_ESCENARIOS!$B$3:$D$3, 0)), IF(VLOOKUP(A117,04_PROYECTOS!$A:$N,4,FALSE)="Publico_&lt;10M",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VLOOKUP(A117,04_PROYECTOS!$A:$N,10,FALSE))</f>
        <v/>
      </c>
      <c r="I117">
        <f>ROUNDUP(H117/30,0)</f>
        <v/>
      </c>
      <c r="J117">
        <f>EDATE(C117,I117)</f>
        <v/>
      </c>
      <c r="K117">
        <f>G117</f>
        <v/>
      </c>
    </row>
    <row r="118">
      <c r="E118">
        <f>D118*VLOOKUP(A118,04_PROYECTOS!$A:$N,5,FALSE)*(INDEX(02B_ESCENARIOS!$B$4:$D$11, MATCH("MULT_PRECIO", 02B_ESCENARIOS!$A$4:$A$11, 0), MATCH("Base", 02B_ESCENARIOS!$B$3:$D$3, 0)))*INDEX(02B_ESCENARIOS!$B$15:$D$19, MATCH(VLOOKUP(A118,04_PROYECTOS!$A:$N,9,FALSE), 02B_ESCENARIOS!$A$15:$A$19, 0), MATCH("Base", 02B_ESCENARIOS!$B$14:$D$14, 0))</f>
        <v/>
      </c>
      <c r="F118">
        <f>E118*VLOOKUP(A118,04_PROYECTOS!$A:$N,6,FALSE)</f>
        <v/>
      </c>
      <c r="G118">
        <f>E118+F118</f>
        <v/>
      </c>
      <c r="H118">
        <f>IF(VLOOKUP(A118,04_PROYECTOS!$A:$N,10,FALSE)="", IF(VLOOKUP(A118,04_PROYECTOS!$A:$N,4,FALSE)="Privado", INDEX(02B_ESCENARIOS!$B$4:$D$11, MATCH("DSO_PRIVADO_DEFAULT", 02B_ESCENARIOS!$A$4:$A$11, 0), MATCH("Base", 02B_ESCENARIOS!$B$3:$D$3, 0)), IF(VLOOKUP(A118,04_PROYECTOS!$A:$N,4,FALSE)="Publico_&lt;10M",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VLOOKUP(A118,04_PROYECTOS!$A:$N,10,FALSE))</f>
        <v/>
      </c>
      <c r="I118">
        <f>ROUNDUP(H118/30,0)</f>
        <v/>
      </c>
      <c r="J118">
        <f>EDATE(C118,I118)</f>
        <v/>
      </c>
      <c r="K118">
        <f>G118</f>
        <v/>
      </c>
    </row>
    <row r="119">
      <c r="E119">
        <f>D119*VLOOKUP(A119,04_PROYECTOS!$A:$N,5,FALSE)*(INDEX(02B_ESCENARIOS!$B$4:$D$11, MATCH("MULT_PRECIO", 02B_ESCENARIOS!$A$4:$A$11, 0), MATCH("Base", 02B_ESCENARIOS!$B$3:$D$3, 0)))*INDEX(02B_ESCENARIOS!$B$15:$D$19, MATCH(VLOOKUP(A119,04_PROYECTOS!$A:$N,9,FALSE), 02B_ESCENARIOS!$A$15:$A$19, 0), MATCH("Base", 02B_ESCENARIOS!$B$14:$D$14, 0))</f>
        <v/>
      </c>
      <c r="F119">
        <f>E119*VLOOKUP(A119,04_PROYECTOS!$A:$N,6,FALSE)</f>
        <v/>
      </c>
      <c r="G119">
        <f>E119+F119</f>
        <v/>
      </c>
      <c r="H119">
        <f>IF(VLOOKUP(A119,04_PROYECTOS!$A:$N,10,FALSE)="", IF(VLOOKUP(A119,04_PROYECTOS!$A:$N,4,FALSE)="Privado", INDEX(02B_ESCENARIOS!$B$4:$D$11, MATCH("DSO_PRIVADO_DEFAULT", 02B_ESCENARIOS!$A$4:$A$11, 0), MATCH("Base", 02B_ESCENARIOS!$B$3:$D$3, 0)), IF(VLOOKUP(A119,04_PROYECTOS!$A:$N,4,FALSE)="Publico_&lt;10M",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VLOOKUP(A119,04_PROYECTOS!$A:$N,10,FALSE))</f>
        <v/>
      </c>
      <c r="I119">
        <f>ROUNDUP(H119/30,0)</f>
        <v/>
      </c>
      <c r="J119">
        <f>EDATE(C119,I119)</f>
        <v/>
      </c>
      <c r="K119">
        <f>G119</f>
        <v/>
      </c>
    </row>
    <row r="120">
      <c r="E120">
        <f>D120*VLOOKUP(A120,04_PROYECTOS!$A:$N,5,FALSE)*(INDEX(02B_ESCENARIOS!$B$4:$D$11, MATCH("MULT_PRECIO", 02B_ESCENARIOS!$A$4:$A$11, 0), MATCH("Base", 02B_ESCENARIOS!$B$3:$D$3, 0)))*INDEX(02B_ESCENARIOS!$B$15:$D$19, MATCH(VLOOKUP(A120,04_PROYECTOS!$A:$N,9,FALSE), 02B_ESCENARIOS!$A$15:$A$19, 0), MATCH("Base", 02B_ESCENARIOS!$B$14:$D$14, 0))</f>
        <v/>
      </c>
      <c r="F120">
        <f>E120*VLOOKUP(A120,04_PROYECTOS!$A:$N,6,FALSE)</f>
        <v/>
      </c>
      <c r="G120">
        <f>E120+F120</f>
        <v/>
      </c>
      <c r="H120">
        <f>IF(VLOOKUP(A120,04_PROYECTOS!$A:$N,10,FALSE)="", IF(VLOOKUP(A120,04_PROYECTOS!$A:$N,4,FALSE)="Privado", INDEX(02B_ESCENARIOS!$B$4:$D$11, MATCH("DSO_PRIVADO_DEFAULT", 02B_ESCENARIOS!$A$4:$A$11, 0), MATCH("Base", 02B_ESCENARIOS!$B$3:$D$3, 0)), IF(VLOOKUP(A120,04_PROYECTOS!$A:$N,4,FALSE)="Publico_&lt;10M",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VLOOKUP(A120,04_PROYECTOS!$A:$N,10,FALSE))</f>
        <v/>
      </c>
      <c r="I120">
        <f>ROUNDUP(H120/30,0)</f>
        <v/>
      </c>
      <c r="J120">
        <f>EDATE(C120,I120)</f>
        <v/>
      </c>
      <c r="K120">
        <f>G120</f>
        <v/>
      </c>
    </row>
    <row r="121">
      <c r="E121">
        <f>D121*VLOOKUP(A121,04_PROYECTOS!$A:$N,5,FALSE)*(INDEX(02B_ESCENARIOS!$B$4:$D$11, MATCH("MULT_PRECIO", 02B_ESCENARIOS!$A$4:$A$11, 0), MATCH("Base", 02B_ESCENARIOS!$B$3:$D$3, 0)))*INDEX(02B_ESCENARIOS!$B$15:$D$19, MATCH(VLOOKUP(A121,04_PROYECTOS!$A:$N,9,FALSE), 02B_ESCENARIOS!$A$15:$A$19, 0), MATCH("Base", 02B_ESCENARIOS!$B$14:$D$14, 0))</f>
        <v/>
      </c>
      <c r="F121">
        <f>E121*VLOOKUP(A121,04_PROYECTOS!$A:$N,6,FALSE)</f>
        <v/>
      </c>
      <c r="G121">
        <f>E121+F121</f>
        <v/>
      </c>
      <c r="H121">
        <f>IF(VLOOKUP(A121,04_PROYECTOS!$A:$N,10,FALSE)="", IF(VLOOKUP(A121,04_PROYECTOS!$A:$N,4,FALSE)="Privado", INDEX(02B_ESCENARIOS!$B$4:$D$11, MATCH("DSO_PRIVADO_DEFAULT", 02B_ESCENARIOS!$A$4:$A$11, 0), MATCH("Base", 02B_ESCENARIOS!$B$3:$D$3, 0)), IF(VLOOKUP(A121,04_PROYECTOS!$A:$N,4,FALSE)="Publico_&lt;10M",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VLOOKUP(A121,04_PROYECTOS!$A:$N,10,FALSE))</f>
        <v/>
      </c>
      <c r="I121">
        <f>ROUNDUP(H121/30,0)</f>
        <v/>
      </c>
      <c r="J121">
        <f>EDATE(C121,I121)</f>
        <v/>
      </c>
      <c r="K121">
        <f>G121</f>
        <v/>
      </c>
    </row>
    <row r="122">
      <c r="E122">
        <f>D122*VLOOKUP(A122,04_PROYECTOS!$A:$N,5,FALSE)*(INDEX(02B_ESCENARIOS!$B$4:$D$11, MATCH("MULT_PRECIO", 02B_ESCENARIOS!$A$4:$A$11, 0), MATCH("Base", 02B_ESCENARIOS!$B$3:$D$3, 0)))*INDEX(02B_ESCENARIOS!$B$15:$D$19, MATCH(VLOOKUP(A122,04_PROYECTOS!$A:$N,9,FALSE), 02B_ESCENARIOS!$A$15:$A$19, 0), MATCH("Base", 02B_ESCENARIOS!$B$14:$D$14, 0))</f>
        <v/>
      </c>
      <c r="F122">
        <f>E122*VLOOKUP(A122,04_PROYECTOS!$A:$N,6,FALSE)</f>
        <v/>
      </c>
      <c r="G122">
        <f>E122+F122</f>
        <v/>
      </c>
      <c r="H122">
        <f>IF(VLOOKUP(A122,04_PROYECTOS!$A:$N,10,FALSE)="", IF(VLOOKUP(A122,04_PROYECTOS!$A:$N,4,FALSE)="Privado", INDEX(02B_ESCENARIOS!$B$4:$D$11, MATCH("DSO_PRIVADO_DEFAULT", 02B_ESCENARIOS!$A$4:$A$11, 0), MATCH("Base", 02B_ESCENARIOS!$B$3:$D$3, 0)), IF(VLOOKUP(A122,04_PROYECTOS!$A:$N,4,FALSE)="Publico_&lt;10M",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VLOOKUP(A122,04_PROYECTOS!$A:$N,10,FALSE))</f>
        <v/>
      </c>
      <c r="I122">
        <f>ROUNDUP(H122/30,0)</f>
        <v/>
      </c>
      <c r="J122">
        <f>EDATE(C122,I122)</f>
        <v/>
      </c>
      <c r="K122">
        <f>G122</f>
        <v/>
      </c>
    </row>
    <row r="123">
      <c r="E123">
        <f>D123*VLOOKUP(A123,04_PROYECTOS!$A:$N,5,FALSE)*(INDEX(02B_ESCENARIOS!$B$4:$D$11, MATCH("MULT_PRECIO", 02B_ESCENARIOS!$A$4:$A$11, 0), MATCH("Base", 02B_ESCENARIOS!$B$3:$D$3, 0)))*INDEX(02B_ESCENARIOS!$B$15:$D$19, MATCH(VLOOKUP(A123,04_PROYECTOS!$A:$N,9,FALSE), 02B_ESCENARIOS!$A$15:$A$19, 0), MATCH("Base", 02B_ESCENARIOS!$B$14:$D$14, 0))</f>
        <v/>
      </c>
      <c r="F123">
        <f>E123*VLOOKUP(A123,04_PROYECTOS!$A:$N,6,FALSE)</f>
        <v/>
      </c>
      <c r="G123">
        <f>E123+F123</f>
        <v/>
      </c>
      <c r="H123">
        <f>IF(VLOOKUP(A123,04_PROYECTOS!$A:$N,10,FALSE)="", IF(VLOOKUP(A123,04_PROYECTOS!$A:$N,4,FALSE)="Privado", INDEX(02B_ESCENARIOS!$B$4:$D$11, MATCH("DSO_PRIVADO_DEFAULT", 02B_ESCENARIOS!$A$4:$A$11, 0), MATCH("Base", 02B_ESCENARIOS!$B$3:$D$3, 0)), IF(VLOOKUP(A123,04_PROYECTOS!$A:$N,4,FALSE)="Publico_&lt;10M",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VLOOKUP(A123,04_PROYECTOS!$A:$N,10,FALSE))</f>
        <v/>
      </c>
      <c r="I123">
        <f>ROUNDUP(H123/30,0)</f>
        <v/>
      </c>
      <c r="J123">
        <f>EDATE(C123,I123)</f>
        <v/>
      </c>
      <c r="K123">
        <f>G123</f>
        <v/>
      </c>
    </row>
    <row r="124">
      <c r="E124">
        <f>D124*VLOOKUP(A124,04_PROYECTOS!$A:$N,5,FALSE)*(INDEX(02B_ESCENARIOS!$B$4:$D$11, MATCH("MULT_PRECIO", 02B_ESCENARIOS!$A$4:$A$11, 0), MATCH("Base", 02B_ESCENARIOS!$B$3:$D$3, 0)))*INDEX(02B_ESCENARIOS!$B$15:$D$19, MATCH(VLOOKUP(A124,04_PROYECTOS!$A:$N,9,FALSE), 02B_ESCENARIOS!$A$15:$A$19, 0), MATCH("Base", 02B_ESCENARIOS!$B$14:$D$14, 0))</f>
        <v/>
      </c>
      <c r="F124">
        <f>E124*VLOOKUP(A124,04_PROYECTOS!$A:$N,6,FALSE)</f>
        <v/>
      </c>
      <c r="G124">
        <f>E124+F124</f>
        <v/>
      </c>
      <c r="H124">
        <f>IF(VLOOKUP(A124,04_PROYECTOS!$A:$N,10,FALSE)="", IF(VLOOKUP(A124,04_PROYECTOS!$A:$N,4,FALSE)="Privado", INDEX(02B_ESCENARIOS!$B$4:$D$11, MATCH("DSO_PRIVADO_DEFAULT", 02B_ESCENARIOS!$A$4:$A$11, 0), MATCH("Base", 02B_ESCENARIOS!$B$3:$D$3, 0)), IF(VLOOKUP(A124,04_PROYECTOS!$A:$N,4,FALSE)="Publico_&lt;10M",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VLOOKUP(A124,04_PROYECTOS!$A:$N,10,FALSE))</f>
        <v/>
      </c>
      <c r="I124">
        <f>ROUNDUP(H124/30,0)</f>
        <v/>
      </c>
      <c r="J124">
        <f>EDATE(C124,I124)</f>
        <v/>
      </c>
      <c r="K124">
        <f>G124</f>
        <v/>
      </c>
    </row>
    <row r="125">
      <c r="E125">
        <f>D125*VLOOKUP(A125,04_PROYECTOS!$A:$N,5,FALSE)*(INDEX(02B_ESCENARIOS!$B$4:$D$11, MATCH("MULT_PRECIO", 02B_ESCENARIOS!$A$4:$A$11, 0), MATCH("Base", 02B_ESCENARIOS!$B$3:$D$3, 0)))*INDEX(02B_ESCENARIOS!$B$15:$D$19, MATCH(VLOOKUP(A125,04_PROYECTOS!$A:$N,9,FALSE), 02B_ESCENARIOS!$A$15:$A$19, 0), MATCH("Base", 02B_ESCENARIOS!$B$14:$D$14, 0))</f>
        <v/>
      </c>
      <c r="F125">
        <f>E125*VLOOKUP(A125,04_PROYECTOS!$A:$N,6,FALSE)</f>
        <v/>
      </c>
      <c r="G125">
        <f>E125+F125</f>
        <v/>
      </c>
      <c r="H125">
        <f>IF(VLOOKUP(A125,04_PROYECTOS!$A:$N,10,FALSE)="", IF(VLOOKUP(A125,04_PROYECTOS!$A:$N,4,FALSE)="Privado", INDEX(02B_ESCENARIOS!$B$4:$D$11, MATCH("DSO_PRIVADO_DEFAULT", 02B_ESCENARIOS!$A$4:$A$11, 0), MATCH("Base", 02B_ESCENARIOS!$B$3:$D$3, 0)), IF(VLOOKUP(A125,04_PROYECTOS!$A:$N,4,FALSE)="Publico_&lt;10M",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VLOOKUP(A125,04_PROYECTOS!$A:$N,10,FALSE))</f>
        <v/>
      </c>
      <c r="I125">
        <f>ROUNDUP(H125/30,0)</f>
        <v/>
      </c>
      <c r="J125">
        <f>EDATE(C125,I125)</f>
        <v/>
      </c>
      <c r="K125">
        <f>G125</f>
        <v/>
      </c>
    </row>
    <row r="126">
      <c r="E126">
        <f>D126*VLOOKUP(A126,04_PROYECTOS!$A:$N,5,FALSE)*(INDEX(02B_ESCENARIOS!$B$4:$D$11, MATCH("MULT_PRECIO", 02B_ESCENARIOS!$A$4:$A$11, 0), MATCH("Base", 02B_ESCENARIOS!$B$3:$D$3, 0)))*INDEX(02B_ESCENARIOS!$B$15:$D$19, MATCH(VLOOKUP(A126,04_PROYECTOS!$A:$N,9,FALSE), 02B_ESCENARIOS!$A$15:$A$19, 0), MATCH("Base", 02B_ESCENARIOS!$B$14:$D$14, 0))</f>
        <v/>
      </c>
      <c r="F126">
        <f>E126*VLOOKUP(A126,04_PROYECTOS!$A:$N,6,FALSE)</f>
        <v/>
      </c>
      <c r="G126">
        <f>E126+F126</f>
        <v/>
      </c>
      <c r="H126">
        <f>IF(VLOOKUP(A126,04_PROYECTOS!$A:$N,10,FALSE)="", IF(VLOOKUP(A126,04_PROYECTOS!$A:$N,4,FALSE)="Privado", INDEX(02B_ESCENARIOS!$B$4:$D$11, MATCH("DSO_PRIVADO_DEFAULT", 02B_ESCENARIOS!$A$4:$A$11, 0), MATCH("Base", 02B_ESCENARIOS!$B$3:$D$3, 0)), IF(VLOOKUP(A126,04_PROYECTOS!$A:$N,4,FALSE)="Publico_&lt;10M",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VLOOKUP(A126,04_PROYECTOS!$A:$N,10,FALSE))</f>
        <v/>
      </c>
      <c r="I126">
        <f>ROUNDUP(H126/30,0)</f>
        <v/>
      </c>
      <c r="J126">
        <f>EDATE(C126,I126)</f>
        <v/>
      </c>
      <c r="K126">
        <f>G126</f>
        <v/>
      </c>
    </row>
    <row r="127">
      <c r="E127">
        <f>D127*VLOOKUP(A127,04_PROYECTOS!$A:$N,5,FALSE)*(INDEX(02B_ESCENARIOS!$B$4:$D$11, MATCH("MULT_PRECIO", 02B_ESCENARIOS!$A$4:$A$11, 0), MATCH("Base", 02B_ESCENARIOS!$B$3:$D$3, 0)))*INDEX(02B_ESCENARIOS!$B$15:$D$19, MATCH(VLOOKUP(A127,04_PROYECTOS!$A:$N,9,FALSE), 02B_ESCENARIOS!$A$15:$A$19, 0), MATCH("Base", 02B_ESCENARIOS!$B$14:$D$14, 0))</f>
        <v/>
      </c>
      <c r="F127">
        <f>E127*VLOOKUP(A127,04_PROYECTOS!$A:$N,6,FALSE)</f>
        <v/>
      </c>
      <c r="G127">
        <f>E127+F127</f>
        <v/>
      </c>
      <c r="H127">
        <f>IF(VLOOKUP(A127,04_PROYECTOS!$A:$N,10,FALSE)="", IF(VLOOKUP(A127,04_PROYECTOS!$A:$N,4,FALSE)="Privado", INDEX(02B_ESCENARIOS!$B$4:$D$11, MATCH("DSO_PRIVADO_DEFAULT", 02B_ESCENARIOS!$A$4:$A$11, 0), MATCH("Base", 02B_ESCENARIOS!$B$3:$D$3, 0)), IF(VLOOKUP(A127,04_PROYECTOS!$A:$N,4,FALSE)="Publico_&lt;10M",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VLOOKUP(A127,04_PROYECTOS!$A:$N,10,FALSE))</f>
        <v/>
      </c>
      <c r="I127">
        <f>ROUNDUP(H127/30,0)</f>
        <v/>
      </c>
      <c r="J127">
        <f>EDATE(C127,I127)</f>
        <v/>
      </c>
      <c r="K127">
        <f>G127</f>
        <v/>
      </c>
    </row>
    <row r="128">
      <c r="E128">
        <f>D128*VLOOKUP(A128,04_PROYECTOS!$A:$N,5,FALSE)*(INDEX(02B_ESCENARIOS!$B$4:$D$11, MATCH("MULT_PRECIO", 02B_ESCENARIOS!$A$4:$A$11, 0), MATCH("Base", 02B_ESCENARIOS!$B$3:$D$3, 0)))*INDEX(02B_ESCENARIOS!$B$15:$D$19, MATCH(VLOOKUP(A128,04_PROYECTOS!$A:$N,9,FALSE), 02B_ESCENARIOS!$A$15:$A$19, 0), MATCH("Base", 02B_ESCENARIOS!$B$14:$D$14, 0))</f>
        <v/>
      </c>
      <c r="F128">
        <f>E128*VLOOKUP(A128,04_PROYECTOS!$A:$N,6,FALSE)</f>
        <v/>
      </c>
      <c r="G128">
        <f>E128+F128</f>
        <v/>
      </c>
      <c r="H128">
        <f>IF(VLOOKUP(A128,04_PROYECTOS!$A:$N,10,FALSE)="", IF(VLOOKUP(A128,04_PROYECTOS!$A:$N,4,FALSE)="Privado", INDEX(02B_ESCENARIOS!$B$4:$D$11, MATCH("DSO_PRIVADO_DEFAULT", 02B_ESCENARIOS!$A$4:$A$11, 0), MATCH("Base", 02B_ESCENARIOS!$B$3:$D$3, 0)), IF(VLOOKUP(A128,04_PROYECTOS!$A:$N,4,FALSE)="Publico_&lt;10M",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VLOOKUP(A128,04_PROYECTOS!$A:$N,10,FALSE))</f>
        <v/>
      </c>
      <c r="I128">
        <f>ROUNDUP(H128/30,0)</f>
        <v/>
      </c>
      <c r="J128">
        <f>EDATE(C128,I128)</f>
        <v/>
      </c>
      <c r="K128">
        <f>G128</f>
        <v/>
      </c>
    </row>
    <row r="129">
      <c r="E129">
        <f>D129*VLOOKUP(A129,04_PROYECTOS!$A:$N,5,FALSE)*(INDEX(02B_ESCENARIOS!$B$4:$D$11, MATCH("MULT_PRECIO", 02B_ESCENARIOS!$A$4:$A$11, 0), MATCH("Base", 02B_ESCENARIOS!$B$3:$D$3, 0)))*INDEX(02B_ESCENARIOS!$B$15:$D$19, MATCH(VLOOKUP(A129,04_PROYECTOS!$A:$N,9,FALSE), 02B_ESCENARIOS!$A$15:$A$19, 0), MATCH("Base", 02B_ESCENARIOS!$B$14:$D$14, 0))</f>
        <v/>
      </c>
      <c r="F129">
        <f>E129*VLOOKUP(A129,04_PROYECTOS!$A:$N,6,FALSE)</f>
        <v/>
      </c>
      <c r="G129">
        <f>E129+F129</f>
        <v/>
      </c>
      <c r="H129">
        <f>IF(VLOOKUP(A129,04_PROYECTOS!$A:$N,10,FALSE)="", IF(VLOOKUP(A129,04_PROYECTOS!$A:$N,4,FALSE)="Privado", INDEX(02B_ESCENARIOS!$B$4:$D$11, MATCH("DSO_PRIVADO_DEFAULT", 02B_ESCENARIOS!$A$4:$A$11, 0), MATCH("Base", 02B_ESCENARIOS!$B$3:$D$3, 0)), IF(VLOOKUP(A129,04_PROYECTOS!$A:$N,4,FALSE)="Publico_&lt;10M",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VLOOKUP(A129,04_PROYECTOS!$A:$N,10,FALSE))</f>
        <v/>
      </c>
      <c r="I129">
        <f>ROUNDUP(H129/30,0)</f>
        <v/>
      </c>
      <c r="J129">
        <f>EDATE(C129,I129)</f>
        <v/>
      </c>
      <c r="K129">
        <f>G129</f>
        <v/>
      </c>
    </row>
    <row r="130">
      <c r="E130">
        <f>D130*VLOOKUP(A130,04_PROYECTOS!$A:$N,5,FALSE)*(INDEX(02B_ESCENARIOS!$B$4:$D$11, MATCH("MULT_PRECIO", 02B_ESCENARIOS!$A$4:$A$11, 0), MATCH("Base", 02B_ESCENARIOS!$B$3:$D$3, 0)))*INDEX(02B_ESCENARIOS!$B$15:$D$19, MATCH(VLOOKUP(A130,04_PROYECTOS!$A:$N,9,FALSE), 02B_ESCENARIOS!$A$15:$A$19, 0), MATCH("Base", 02B_ESCENARIOS!$B$14:$D$14, 0))</f>
        <v/>
      </c>
      <c r="F130">
        <f>E130*VLOOKUP(A130,04_PROYECTOS!$A:$N,6,FALSE)</f>
        <v/>
      </c>
      <c r="G130">
        <f>E130+F130</f>
        <v/>
      </c>
      <c r="H130">
        <f>IF(VLOOKUP(A130,04_PROYECTOS!$A:$N,10,FALSE)="", IF(VLOOKUP(A130,04_PROYECTOS!$A:$N,4,FALSE)="Privado", INDEX(02B_ESCENARIOS!$B$4:$D$11, MATCH("DSO_PRIVADO_DEFAULT", 02B_ESCENARIOS!$A$4:$A$11, 0), MATCH("Base", 02B_ESCENARIOS!$B$3:$D$3, 0)), IF(VLOOKUP(A130,04_PROYECTOS!$A:$N,4,FALSE)="Publico_&lt;10M",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VLOOKUP(A130,04_PROYECTOS!$A:$N,10,FALSE))</f>
        <v/>
      </c>
      <c r="I130">
        <f>ROUNDUP(H130/30,0)</f>
        <v/>
      </c>
      <c r="J130">
        <f>EDATE(C130,I130)</f>
        <v/>
      </c>
      <c r="K130">
        <f>G130</f>
        <v/>
      </c>
    </row>
    <row r="131">
      <c r="E131">
        <f>D131*VLOOKUP(A131,04_PROYECTOS!$A:$N,5,FALSE)*(INDEX(02B_ESCENARIOS!$B$4:$D$11, MATCH("MULT_PRECIO", 02B_ESCENARIOS!$A$4:$A$11, 0), MATCH("Base", 02B_ESCENARIOS!$B$3:$D$3, 0)))*INDEX(02B_ESCENARIOS!$B$15:$D$19, MATCH(VLOOKUP(A131,04_PROYECTOS!$A:$N,9,FALSE), 02B_ESCENARIOS!$A$15:$A$19, 0), MATCH("Base", 02B_ESCENARIOS!$B$14:$D$14, 0))</f>
        <v/>
      </c>
      <c r="F131">
        <f>E131*VLOOKUP(A131,04_PROYECTOS!$A:$N,6,FALSE)</f>
        <v/>
      </c>
      <c r="G131">
        <f>E131+F131</f>
        <v/>
      </c>
      <c r="H131">
        <f>IF(VLOOKUP(A131,04_PROYECTOS!$A:$N,10,FALSE)="", IF(VLOOKUP(A131,04_PROYECTOS!$A:$N,4,FALSE)="Privado", INDEX(02B_ESCENARIOS!$B$4:$D$11, MATCH("DSO_PRIVADO_DEFAULT", 02B_ESCENARIOS!$A$4:$A$11, 0), MATCH("Base", 02B_ESCENARIOS!$B$3:$D$3, 0)), IF(VLOOKUP(A131,04_PROYECTOS!$A:$N,4,FALSE)="Publico_&lt;10M",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VLOOKUP(A131,04_PROYECTOS!$A:$N,10,FALSE))</f>
        <v/>
      </c>
      <c r="I131">
        <f>ROUNDUP(H131/30,0)</f>
        <v/>
      </c>
      <c r="J131">
        <f>EDATE(C131,I131)</f>
        <v/>
      </c>
      <c r="K131">
        <f>G131</f>
        <v/>
      </c>
    </row>
    <row r="132">
      <c r="E132">
        <f>D132*VLOOKUP(A132,04_PROYECTOS!$A:$N,5,FALSE)*(INDEX(02B_ESCENARIOS!$B$4:$D$11, MATCH("MULT_PRECIO", 02B_ESCENARIOS!$A$4:$A$11, 0), MATCH("Base", 02B_ESCENARIOS!$B$3:$D$3, 0)))*INDEX(02B_ESCENARIOS!$B$15:$D$19, MATCH(VLOOKUP(A132,04_PROYECTOS!$A:$N,9,FALSE), 02B_ESCENARIOS!$A$15:$A$19, 0), MATCH("Base", 02B_ESCENARIOS!$B$14:$D$14, 0))</f>
        <v/>
      </c>
      <c r="F132">
        <f>E132*VLOOKUP(A132,04_PROYECTOS!$A:$N,6,FALSE)</f>
        <v/>
      </c>
      <c r="G132">
        <f>E132+F132</f>
        <v/>
      </c>
      <c r="H132">
        <f>IF(VLOOKUP(A132,04_PROYECTOS!$A:$N,10,FALSE)="", IF(VLOOKUP(A132,04_PROYECTOS!$A:$N,4,FALSE)="Privado", INDEX(02B_ESCENARIOS!$B$4:$D$11, MATCH("DSO_PRIVADO_DEFAULT", 02B_ESCENARIOS!$A$4:$A$11, 0), MATCH("Base", 02B_ESCENARIOS!$B$3:$D$3, 0)), IF(VLOOKUP(A132,04_PROYECTOS!$A:$N,4,FALSE)="Publico_&lt;10M",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VLOOKUP(A132,04_PROYECTOS!$A:$N,10,FALSE))</f>
        <v/>
      </c>
      <c r="I132">
        <f>ROUNDUP(H132/30,0)</f>
        <v/>
      </c>
      <c r="J132">
        <f>EDATE(C132,I132)</f>
        <v/>
      </c>
      <c r="K132">
        <f>G132</f>
        <v/>
      </c>
    </row>
    <row r="133">
      <c r="E133">
        <f>D133*VLOOKUP(A133,04_PROYECTOS!$A:$N,5,FALSE)*(INDEX(02B_ESCENARIOS!$B$4:$D$11, MATCH("MULT_PRECIO", 02B_ESCENARIOS!$A$4:$A$11, 0), MATCH("Base", 02B_ESCENARIOS!$B$3:$D$3, 0)))*INDEX(02B_ESCENARIOS!$B$15:$D$19, MATCH(VLOOKUP(A133,04_PROYECTOS!$A:$N,9,FALSE), 02B_ESCENARIOS!$A$15:$A$19, 0), MATCH("Base", 02B_ESCENARIOS!$B$14:$D$14, 0))</f>
        <v/>
      </c>
      <c r="F133">
        <f>E133*VLOOKUP(A133,04_PROYECTOS!$A:$N,6,FALSE)</f>
        <v/>
      </c>
      <c r="G133">
        <f>E133+F133</f>
        <v/>
      </c>
      <c r="H133">
        <f>IF(VLOOKUP(A133,04_PROYECTOS!$A:$N,10,FALSE)="", IF(VLOOKUP(A133,04_PROYECTOS!$A:$N,4,FALSE)="Privado", INDEX(02B_ESCENARIOS!$B$4:$D$11, MATCH("DSO_PRIVADO_DEFAULT", 02B_ESCENARIOS!$A$4:$A$11, 0), MATCH("Base", 02B_ESCENARIOS!$B$3:$D$3, 0)), IF(VLOOKUP(A133,04_PROYECTOS!$A:$N,4,FALSE)="Publico_&lt;10M",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VLOOKUP(A133,04_PROYECTOS!$A:$N,10,FALSE))</f>
        <v/>
      </c>
      <c r="I133">
        <f>ROUNDUP(H133/30,0)</f>
        <v/>
      </c>
      <c r="J133">
        <f>EDATE(C133,I133)</f>
        <v/>
      </c>
      <c r="K133">
        <f>G133</f>
        <v/>
      </c>
    </row>
    <row r="134">
      <c r="E134">
        <f>D134*VLOOKUP(A134,04_PROYECTOS!$A:$N,5,FALSE)*(INDEX(02B_ESCENARIOS!$B$4:$D$11, MATCH("MULT_PRECIO", 02B_ESCENARIOS!$A$4:$A$11, 0), MATCH("Base", 02B_ESCENARIOS!$B$3:$D$3, 0)))*INDEX(02B_ESCENARIOS!$B$15:$D$19, MATCH(VLOOKUP(A134,04_PROYECTOS!$A:$N,9,FALSE), 02B_ESCENARIOS!$A$15:$A$19, 0), MATCH("Base", 02B_ESCENARIOS!$B$14:$D$14, 0))</f>
        <v/>
      </c>
      <c r="F134">
        <f>E134*VLOOKUP(A134,04_PROYECTOS!$A:$N,6,FALSE)</f>
        <v/>
      </c>
      <c r="G134">
        <f>E134+F134</f>
        <v/>
      </c>
      <c r="H134">
        <f>IF(VLOOKUP(A134,04_PROYECTOS!$A:$N,10,FALSE)="", IF(VLOOKUP(A134,04_PROYECTOS!$A:$N,4,FALSE)="Privado", INDEX(02B_ESCENARIOS!$B$4:$D$11, MATCH("DSO_PRIVADO_DEFAULT", 02B_ESCENARIOS!$A$4:$A$11, 0), MATCH("Base", 02B_ESCENARIOS!$B$3:$D$3, 0)), IF(VLOOKUP(A134,04_PROYECTOS!$A:$N,4,FALSE)="Publico_&lt;10M",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VLOOKUP(A134,04_PROYECTOS!$A:$N,10,FALSE))</f>
        <v/>
      </c>
      <c r="I134">
        <f>ROUNDUP(H134/30,0)</f>
        <v/>
      </c>
      <c r="J134">
        <f>EDATE(C134,I134)</f>
        <v/>
      </c>
      <c r="K134">
        <f>G134</f>
        <v/>
      </c>
    </row>
    <row r="135">
      <c r="E135">
        <f>D135*VLOOKUP(A135,04_PROYECTOS!$A:$N,5,FALSE)*(INDEX(02B_ESCENARIOS!$B$4:$D$11, MATCH("MULT_PRECIO", 02B_ESCENARIOS!$A$4:$A$11, 0), MATCH("Base", 02B_ESCENARIOS!$B$3:$D$3, 0)))*INDEX(02B_ESCENARIOS!$B$15:$D$19, MATCH(VLOOKUP(A135,04_PROYECTOS!$A:$N,9,FALSE), 02B_ESCENARIOS!$A$15:$A$19, 0), MATCH("Base", 02B_ESCENARIOS!$B$14:$D$14, 0))</f>
        <v/>
      </c>
      <c r="F135">
        <f>E135*VLOOKUP(A135,04_PROYECTOS!$A:$N,6,FALSE)</f>
        <v/>
      </c>
      <c r="G135">
        <f>E135+F135</f>
        <v/>
      </c>
      <c r="H135">
        <f>IF(VLOOKUP(A135,04_PROYECTOS!$A:$N,10,FALSE)="", IF(VLOOKUP(A135,04_PROYECTOS!$A:$N,4,FALSE)="Privado", INDEX(02B_ESCENARIOS!$B$4:$D$11, MATCH("DSO_PRIVADO_DEFAULT", 02B_ESCENARIOS!$A$4:$A$11, 0), MATCH("Base", 02B_ESCENARIOS!$B$3:$D$3, 0)), IF(VLOOKUP(A135,04_PROYECTOS!$A:$N,4,FALSE)="Publico_&lt;10M",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VLOOKUP(A135,04_PROYECTOS!$A:$N,10,FALSE))</f>
        <v/>
      </c>
      <c r="I135">
        <f>ROUNDUP(H135/30,0)</f>
        <v/>
      </c>
      <c r="J135">
        <f>EDATE(C135,I135)</f>
        <v/>
      </c>
      <c r="K135">
        <f>G135</f>
        <v/>
      </c>
    </row>
    <row r="136">
      <c r="E136">
        <f>D136*VLOOKUP(A136,04_PROYECTOS!$A:$N,5,FALSE)*(INDEX(02B_ESCENARIOS!$B$4:$D$11, MATCH("MULT_PRECIO", 02B_ESCENARIOS!$A$4:$A$11, 0), MATCH("Base", 02B_ESCENARIOS!$B$3:$D$3, 0)))*INDEX(02B_ESCENARIOS!$B$15:$D$19, MATCH(VLOOKUP(A136,04_PROYECTOS!$A:$N,9,FALSE), 02B_ESCENARIOS!$A$15:$A$19, 0), MATCH("Base", 02B_ESCENARIOS!$B$14:$D$14, 0))</f>
        <v/>
      </c>
      <c r="F136">
        <f>E136*VLOOKUP(A136,04_PROYECTOS!$A:$N,6,FALSE)</f>
        <v/>
      </c>
      <c r="G136">
        <f>E136+F136</f>
        <v/>
      </c>
      <c r="H136">
        <f>IF(VLOOKUP(A136,04_PROYECTOS!$A:$N,10,FALSE)="", IF(VLOOKUP(A136,04_PROYECTOS!$A:$N,4,FALSE)="Privado", INDEX(02B_ESCENARIOS!$B$4:$D$11, MATCH("DSO_PRIVADO_DEFAULT", 02B_ESCENARIOS!$A$4:$A$11, 0), MATCH("Base", 02B_ESCENARIOS!$B$3:$D$3, 0)), IF(VLOOKUP(A136,04_PROYECTOS!$A:$N,4,FALSE)="Publico_&lt;10M",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VLOOKUP(A136,04_PROYECTOS!$A:$N,10,FALSE))</f>
        <v/>
      </c>
      <c r="I136">
        <f>ROUNDUP(H136/30,0)</f>
        <v/>
      </c>
      <c r="J136">
        <f>EDATE(C136,I136)</f>
        <v/>
      </c>
      <c r="K136">
        <f>G136</f>
        <v/>
      </c>
    </row>
    <row r="137">
      <c r="E137">
        <f>D137*VLOOKUP(A137,04_PROYECTOS!$A:$N,5,FALSE)*(INDEX(02B_ESCENARIOS!$B$4:$D$11, MATCH("MULT_PRECIO", 02B_ESCENARIOS!$A$4:$A$11, 0), MATCH("Base", 02B_ESCENARIOS!$B$3:$D$3, 0)))*INDEX(02B_ESCENARIOS!$B$15:$D$19, MATCH(VLOOKUP(A137,04_PROYECTOS!$A:$N,9,FALSE), 02B_ESCENARIOS!$A$15:$A$19, 0), MATCH("Base", 02B_ESCENARIOS!$B$14:$D$14, 0))</f>
        <v/>
      </c>
      <c r="F137">
        <f>E137*VLOOKUP(A137,04_PROYECTOS!$A:$N,6,FALSE)</f>
        <v/>
      </c>
      <c r="G137">
        <f>E137+F137</f>
        <v/>
      </c>
      <c r="H137">
        <f>IF(VLOOKUP(A137,04_PROYECTOS!$A:$N,10,FALSE)="", IF(VLOOKUP(A137,04_PROYECTOS!$A:$N,4,FALSE)="Privado", INDEX(02B_ESCENARIOS!$B$4:$D$11, MATCH("DSO_PRIVADO_DEFAULT", 02B_ESCENARIOS!$A$4:$A$11, 0), MATCH("Base", 02B_ESCENARIOS!$B$3:$D$3, 0)), IF(VLOOKUP(A137,04_PROYECTOS!$A:$N,4,FALSE)="Publico_&lt;10M",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VLOOKUP(A137,04_PROYECTOS!$A:$N,10,FALSE))</f>
        <v/>
      </c>
      <c r="I137">
        <f>ROUNDUP(H137/30,0)</f>
        <v/>
      </c>
      <c r="J137">
        <f>EDATE(C137,I137)</f>
        <v/>
      </c>
      <c r="K137">
        <f>G137</f>
        <v/>
      </c>
    </row>
    <row r="138">
      <c r="E138">
        <f>D138*VLOOKUP(A138,04_PROYECTOS!$A:$N,5,FALSE)*(INDEX(02B_ESCENARIOS!$B$4:$D$11, MATCH("MULT_PRECIO", 02B_ESCENARIOS!$A$4:$A$11, 0), MATCH("Base", 02B_ESCENARIOS!$B$3:$D$3, 0)))*INDEX(02B_ESCENARIOS!$B$15:$D$19, MATCH(VLOOKUP(A138,04_PROYECTOS!$A:$N,9,FALSE), 02B_ESCENARIOS!$A$15:$A$19, 0), MATCH("Base", 02B_ESCENARIOS!$B$14:$D$14, 0))</f>
        <v/>
      </c>
      <c r="F138">
        <f>E138*VLOOKUP(A138,04_PROYECTOS!$A:$N,6,FALSE)</f>
        <v/>
      </c>
      <c r="G138">
        <f>E138+F138</f>
        <v/>
      </c>
      <c r="H138">
        <f>IF(VLOOKUP(A138,04_PROYECTOS!$A:$N,10,FALSE)="", IF(VLOOKUP(A138,04_PROYECTOS!$A:$N,4,FALSE)="Privado", INDEX(02B_ESCENARIOS!$B$4:$D$11, MATCH("DSO_PRIVADO_DEFAULT", 02B_ESCENARIOS!$A$4:$A$11, 0), MATCH("Base", 02B_ESCENARIOS!$B$3:$D$3, 0)), IF(VLOOKUP(A138,04_PROYECTOS!$A:$N,4,FALSE)="Publico_&lt;10M",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VLOOKUP(A138,04_PROYECTOS!$A:$N,10,FALSE))</f>
        <v/>
      </c>
      <c r="I138">
        <f>ROUNDUP(H138/30,0)</f>
        <v/>
      </c>
      <c r="J138">
        <f>EDATE(C138,I138)</f>
        <v/>
      </c>
      <c r="K138">
        <f>G138</f>
        <v/>
      </c>
    </row>
    <row r="139">
      <c r="E139">
        <f>D139*VLOOKUP(A139,04_PROYECTOS!$A:$N,5,FALSE)*(INDEX(02B_ESCENARIOS!$B$4:$D$11, MATCH("MULT_PRECIO", 02B_ESCENARIOS!$A$4:$A$11, 0), MATCH("Base", 02B_ESCENARIOS!$B$3:$D$3, 0)))*INDEX(02B_ESCENARIOS!$B$15:$D$19, MATCH(VLOOKUP(A139,04_PROYECTOS!$A:$N,9,FALSE), 02B_ESCENARIOS!$A$15:$A$19, 0), MATCH("Base", 02B_ESCENARIOS!$B$14:$D$14, 0))</f>
        <v/>
      </c>
      <c r="F139">
        <f>E139*VLOOKUP(A139,04_PROYECTOS!$A:$N,6,FALSE)</f>
        <v/>
      </c>
      <c r="G139">
        <f>E139+F139</f>
        <v/>
      </c>
      <c r="H139">
        <f>IF(VLOOKUP(A139,04_PROYECTOS!$A:$N,10,FALSE)="", IF(VLOOKUP(A139,04_PROYECTOS!$A:$N,4,FALSE)="Privado", INDEX(02B_ESCENARIOS!$B$4:$D$11, MATCH("DSO_PRIVADO_DEFAULT", 02B_ESCENARIOS!$A$4:$A$11, 0), MATCH("Base", 02B_ESCENARIOS!$B$3:$D$3, 0)), IF(VLOOKUP(A139,04_PROYECTOS!$A:$N,4,FALSE)="Publico_&lt;10M",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VLOOKUP(A139,04_PROYECTOS!$A:$N,10,FALSE))</f>
        <v/>
      </c>
      <c r="I139">
        <f>ROUNDUP(H139/30,0)</f>
        <v/>
      </c>
      <c r="J139">
        <f>EDATE(C139,I139)</f>
        <v/>
      </c>
      <c r="K139">
        <f>G139</f>
        <v/>
      </c>
    </row>
    <row r="140">
      <c r="E140">
        <f>D140*VLOOKUP(A140,04_PROYECTOS!$A:$N,5,FALSE)*(INDEX(02B_ESCENARIOS!$B$4:$D$11, MATCH("MULT_PRECIO", 02B_ESCENARIOS!$A$4:$A$11, 0), MATCH("Base", 02B_ESCENARIOS!$B$3:$D$3, 0)))*INDEX(02B_ESCENARIOS!$B$15:$D$19, MATCH(VLOOKUP(A140,04_PROYECTOS!$A:$N,9,FALSE), 02B_ESCENARIOS!$A$15:$A$19, 0), MATCH("Base", 02B_ESCENARIOS!$B$14:$D$14, 0))</f>
        <v/>
      </c>
      <c r="F140">
        <f>E140*VLOOKUP(A140,04_PROYECTOS!$A:$N,6,FALSE)</f>
        <v/>
      </c>
      <c r="G140">
        <f>E140+F140</f>
        <v/>
      </c>
      <c r="H140">
        <f>IF(VLOOKUP(A140,04_PROYECTOS!$A:$N,10,FALSE)="", IF(VLOOKUP(A140,04_PROYECTOS!$A:$N,4,FALSE)="Privado", INDEX(02B_ESCENARIOS!$B$4:$D$11, MATCH("DSO_PRIVADO_DEFAULT", 02B_ESCENARIOS!$A$4:$A$11, 0), MATCH("Base", 02B_ESCENARIOS!$B$3:$D$3, 0)), IF(VLOOKUP(A140,04_PROYECTOS!$A:$N,4,FALSE)="Publico_&lt;10M",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VLOOKUP(A140,04_PROYECTOS!$A:$N,10,FALSE))</f>
        <v/>
      </c>
      <c r="I140">
        <f>ROUNDUP(H140/30,0)</f>
        <v/>
      </c>
      <c r="J140">
        <f>EDATE(C140,I140)</f>
        <v/>
      </c>
      <c r="K140">
        <f>G140</f>
        <v/>
      </c>
    </row>
    <row r="141">
      <c r="E141">
        <f>D141*VLOOKUP(A141,04_PROYECTOS!$A:$N,5,FALSE)*(INDEX(02B_ESCENARIOS!$B$4:$D$11, MATCH("MULT_PRECIO", 02B_ESCENARIOS!$A$4:$A$11, 0), MATCH("Base", 02B_ESCENARIOS!$B$3:$D$3, 0)))*INDEX(02B_ESCENARIOS!$B$15:$D$19, MATCH(VLOOKUP(A141,04_PROYECTOS!$A:$N,9,FALSE), 02B_ESCENARIOS!$A$15:$A$19, 0), MATCH("Base", 02B_ESCENARIOS!$B$14:$D$14, 0))</f>
        <v/>
      </c>
      <c r="F141">
        <f>E141*VLOOKUP(A141,04_PROYECTOS!$A:$N,6,FALSE)</f>
        <v/>
      </c>
      <c r="G141">
        <f>E141+F141</f>
        <v/>
      </c>
      <c r="H141">
        <f>IF(VLOOKUP(A141,04_PROYECTOS!$A:$N,10,FALSE)="", IF(VLOOKUP(A141,04_PROYECTOS!$A:$N,4,FALSE)="Privado", INDEX(02B_ESCENARIOS!$B$4:$D$11, MATCH("DSO_PRIVADO_DEFAULT", 02B_ESCENARIOS!$A$4:$A$11, 0), MATCH("Base", 02B_ESCENARIOS!$B$3:$D$3, 0)), IF(VLOOKUP(A141,04_PROYECTOS!$A:$N,4,FALSE)="Publico_&lt;10M",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VLOOKUP(A141,04_PROYECTOS!$A:$N,10,FALSE))</f>
        <v/>
      </c>
      <c r="I141">
        <f>ROUNDUP(H141/30,0)</f>
        <v/>
      </c>
      <c r="J141">
        <f>EDATE(C141,I141)</f>
        <v/>
      </c>
      <c r="K141">
        <f>G141</f>
        <v/>
      </c>
    </row>
    <row r="142">
      <c r="E142">
        <f>D142*VLOOKUP(A142,04_PROYECTOS!$A:$N,5,FALSE)*(INDEX(02B_ESCENARIOS!$B$4:$D$11, MATCH("MULT_PRECIO", 02B_ESCENARIOS!$A$4:$A$11, 0), MATCH("Base", 02B_ESCENARIOS!$B$3:$D$3, 0)))*INDEX(02B_ESCENARIOS!$B$15:$D$19, MATCH(VLOOKUP(A142,04_PROYECTOS!$A:$N,9,FALSE), 02B_ESCENARIOS!$A$15:$A$19, 0), MATCH("Base", 02B_ESCENARIOS!$B$14:$D$14, 0))</f>
        <v/>
      </c>
      <c r="F142">
        <f>E142*VLOOKUP(A142,04_PROYECTOS!$A:$N,6,FALSE)</f>
        <v/>
      </c>
      <c r="G142">
        <f>E142+F142</f>
        <v/>
      </c>
      <c r="H142">
        <f>IF(VLOOKUP(A142,04_PROYECTOS!$A:$N,10,FALSE)="", IF(VLOOKUP(A142,04_PROYECTOS!$A:$N,4,FALSE)="Privado", INDEX(02B_ESCENARIOS!$B$4:$D$11, MATCH("DSO_PRIVADO_DEFAULT", 02B_ESCENARIOS!$A$4:$A$11, 0), MATCH("Base", 02B_ESCENARIOS!$B$3:$D$3, 0)), IF(VLOOKUP(A142,04_PROYECTOS!$A:$N,4,FALSE)="Publico_&lt;10M",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VLOOKUP(A142,04_PROYECTOS!$A:$N,10,FALSE))</f>
        <v/>
      </c>
      <c r="I142">
        <f>ROUNDUP(H142/30,0)</f>
        <v/>
      </c>
      <c r="J142">
        <f>EDATE(C142,I142)</f>
        <v/>
      </c>
      <c r="K142">
        <f>G142</f>
        <v/>
      </c>
    </row>
    <row r="143">
      <c r="E143">
        <f>D143*VLOOKUP(A143,04_PROYECTOS!$A:$N,5,FALSE)*(INDEX(02B_ESCENARIOS!$B$4:$D$11, MATCH("MULT_PRECIO", 02B_ESCENARIOS!$A$4:$A$11, 0), MATCH("Base", 02B_ESCENARIOS!$B$3:$D$3, 0)))*INDEX(02B_ESCENARIOS!$B$15:$D$19, MATCH(VLOOKUP(A143,04_PROYECTOS!$A:$N,9,FALSE), 02B_ESCENARIOS!$A$15:$A$19, 0), MATCH("Base", 02B_ESCENARIOS!$B$14:$D$14, 0))</f>
        <v/>
      </c>
      <c r="F143">
        <f>E143*VLOOKUP(A143,04_PROYECTOS!$A:$N,6,FALSE)</f>
        <v/>
      </c>
      <c r="G143">
        <f>E143+F143</f>
        <v/>
      </c>
      <c r="H143">
        <f>IF(VLOOKUP(A143,04_PROYECTOS!$A:$N,10,FALSE)="", IF(VLOOKUP(A143,04_PROYECTOS!$A:$N,4,FALSE)="Privado", INDEX(02B_ESCENARIOS!$B$4:$D$11, MATCH("DSO_PRIVADO_DEFAULT", 02B_ESCENARIOS!$A$4:$A$11, 0), MATCH("Base", 02B_ESCENARIOS!$B$3:$D$3, 0)), IF(VLOOKUP(A143,04_PROYECTOS!$A:$N,4,FALSE)="Publico_&lt;10M",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VLOOKUP(A143,04_PROYECTOS!$A:$N,10,FALSE))</f>
        <v/>
      </c>
      <c r="I143">
        <f>ROUNDUP(H143/30,0)</f>
        <v/>
      </c>
      <c r="J143">
        <f>EDATE(C143,I143)</f>
        <v/>
      </c>
      <c r="K143">
        <f>G143</f>
        <v/>
      </c>
    </row>
    <row r="144">
      <c r="E144">
        <f>D144*VLOOKUP(A144,04_PROYECTOS!$A:$N,5,FALSE)*(INDEX(02B_ESCENARIOS!$B$4:$D$11, MATCH("MULT_PRECIO", 02B_ESCENARIOS!$A$4:$A$11, 0), MATCH("Base", 02B_ESCENARIOS!$B$3:$D$3, 0)))*INDEX(02B_ESCENARIOS!$B$15:$D$19, MATCH(VLOOKUP(A144,04_PROYECTOS!$A:$N,9,FALSE), 02B_ESCENARIOS!$A$15:$A$19, 0), MATCH("Base", 02B_ESCENARIOS!$B$14:$D$14, 0))</f>
        <v/>
      </c>
      <c r="F144">
        <f>E144*VLOOKUP(A144,04_PROYECTOS!$A:$N,6,FALSE)</f>
        <v/>
      </c>
      <c r="G144">
        <f>E144+F144</f>
        <v/>
      </c>
      <c r="H144">
        <f>IF(VLOOKUP(A144,04_PROYECTOS!$A:$N,10,FALSE)="", IF(VLOOKUP(A144,04_PROYECTOS!$A:$N,4,FALSE)="Privado", INDEX(02B_ESCENARIOS!$B$4:$D$11, MATCH("DSO_PRIVADO_DEFAULT", 02B_ESCENARIOS!$A$4:$A$11, 0), MATCH("Base", 02B_ESCENARIOS!$B$3:$D$3, 0)), IF(VLOOKUP(A144,04_PROYECTOS!$A:$N,4,FALSE)="Publico_&lt;10M",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VLOOKUP(A144,04_PROYECTOS!$A:$N,10,FALSE))</f>
        <v/>
      </c>
      <c r="I144">
        <f>ROUNDUP(H144/30,0)</f>
        <v/>
      </c>
      <c r="J144">
        <f>EDATE(C144,I144)</f>
        <v/>
      </c>
      <c r="K144">
        <f>G144</f>
        <v/>
      </c>
    </row>
    <row r="145">
      <c r="E145">
        <f>D145*VLOOKUP(A145,04_PROYECTOS!$A:$N,5,FALSE)*(INDEX(02B_ESCENARIOS!$B$4:$D$11, MATCH("MULT_PRECIO", 02B_ESCENARIOS!$A$4:$A$11, 0), MATCH("Base", 02B_ESCENARIOS!$B$3:$D$3, 0)))*INDEX(02B_ESCENARIOS!$B$15:$D$19, MATCH(VLOOKUP(A145,04_PROYECTOS!$A:$N,9,FALSE), 02B_ESCENARIOS!$A$15:$A$19, 0), MATCH("Base", 02B_ESCENARIOS!$B$14:$D$14, 0))</f>
        <v/>
      </c>
      <c r="F145">
        <f>E145*VLOOKUP(A145,04_PROYECTOS!$A:$N,6,FALSE)</f>
        <v/>
      </c>
      <c r="G145">
        <f>E145+F145</f>
        <v/>
      </c>
      <c r="H145">
        <f>IF(VLOOKUP(A145,04_PROYECTOS!$A:$N,10,FALSE)="", IF(VLOOKUP(A145,04_PROYECTOS!$A:$N,4,FALSE)="Privado", INDEX(02B_ESCENARIOS!$B$4:$D$11, MATCH("DSO_PRIVADO_DEFAULT", 02B_ESCENARIOS!$A$4:$A$11, 0), MATCH("Base", 02B_ESCENARIOS!$B$3:$D$3, 0)), IF(VLOOKUP(A145,04_PROYECTOS!$A:$N,4,FALSE)="Publico_&lt;10M",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VLOOKUP(A145,04_PROYECTOS!$A:$N,10,FALSE))</f>
        <v/>
      </c>
      <c r="I145">
        <f>ROUNDUP(H145/30,0)</f>
        <v/>
      </c>
      <c r="J145">
        <f>EDATE(C145,I145)</f>
        <v/>
      </c>
      <c r="K145">
        <f>G145</f>
        <v/>
      </c>
    </row>
    <row r="146">
      <c r="E146">
        <f>D146*VLOOKUP(A146,04_PROYECTOS!$A:$N,5,FALSE)*(INDEX(02B_ESCENARIOS!$B$4:$D$11, MATCH("MULT_PRECIO", 02B_ESCENARIOS!$A$4:$A$11, 0), MATCH("Base", 02B_ESCENARIOS!$B$3:$D$3, 0)))*INDEX(02B_ESCENARIOS!$B$15:$D$19, MATCH(VLOOKUP(A146,04_PROYECTOS!$A:$N,9,FALSE), 02B_ESCENARIOS!$A$15:$A$19, 0), MATCH("Base", 02B_ESCENARIOS!$B$14:$D$14, 0))</f>
        <v/>
      </c>
      <c r="F146">
        <f>E146*VLOOKUP(A146,04_PROYECTOS!$A:$N,6,FALSE)</f>
        <v/>
      </c>
      <c r="G146">
        <f>E146+F146</f>
        <v/>
      </c>
      <c r="H146">
        <f>IF(VLOOKUP(A146,04_PROYECTOS!$A:$N,10,FALSE)="", IF(VLOOKUP(A146,04_PROYECTOS!$A:$N,4,FALSE)="Privado", INDEX(02B_ESCENARIOS!$B$4:$D$11, MATCH("DSO_PRIVADO_DEFAULT", 02B_ESCENARIOS!$A$4:$A$11, 0), MATCH("Base", 02B_ESCENARIOS!$B$3:$D$3, 0)), IF(VLOOKUP(A146,04_PROYECTOS!$A:$N,4,FALSE)="Publico_&lt;10M",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VLOOKUP(A146,04_PROYECTOS!$A:$N,10,FALSE))</f>
        <v/>
      </c>
      <c r="I146">
        <f>ROUNDUP(H146/30,0)</f>
        <v/>
      </c>
      <c r="J146">
        <f>EDATE(C146,I146)</f>
        <v/>
      </c>
      <c r="K146">
        <f>G146</f>
        <v/>
      </c>
    </row>
    <row r="147">
      <c r="E147">
        <f>D147*VLOOKUP(A147,04_PROYECTOS!$A:$N,5,FALSE)*(INDEX(02B_ESCENARIOS!$B$4:$D$11, MATCH("MULT_PRECIO", 02B_ESCENARIOS!$A$4:$A$11, 0), MATCH("Base", 02B_ESCENARIOS!$B$3:$D$3, 0)))*INDEX(02B_ESCENARIOS!$B$15:$D$19, MATCH(VLOOKUP(A147,04_PROYECTOS!$A:$N,9,FALSE), 02B_ESCENARIOS!$A$15:$A$19, 0), MATCH("Base", 02B_ESCENARIOS!$B$14:$D$14, 0))</f>
        <v/>
      </c>
      <c r="F147">
        <f>E147*VLOOKUP(A147,04_PROYECTOS!$A:$N,6,FALSE)</f>
        <v/>
      </c>
      <c r="G147">
        <f>E147+F147</f>
        <v/>
      </c>
      <c r="H147">
        <f>IF(VLOOKUP(A147,04_PROYECTOS!$A:$N,10,FALSE)="", IF(VLOOKUP(A147,04_PROYECTOS!$A:$N,4,FALSE)="Privado", INDEX(02B_ESCENARIOS!$B$4:$D$11, MATCH("DSO_PRIVADO_DEFAULT", 02B_ESCENARIOS!$A$4:$A$11, 0), MATCH("Base", 02B_ESCENARIOS!$B$3:$D$3, 0)), IF(VLOOKUP(A147,04_PROYECTOS!$A:$N,4,FALSE)="Publico_&lt;10M",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VLOOKUP(A147,04_PROYECTOS!$A:$N,10,FALSE))</f>
        <v/>
      </c>
      <c r="I147">
        <f>ROUNDUP(H147/30,0)</f>
        <v/>
      </c>
      <c r="J147">
        <f>EDATE(C147,I147)</f>
        <v/>
      </c>
      <c r="K147">
        <f>G147</f>
        <v/>
      </c>
    </row>
    <row r="148">
      <c r="E148">
        <f>D148*VLOOKUP(A148,04_PROYECTOS!$A:$N,5,FALSE)*(INDEX(02B_ESCENARIOS!$B$4:$D$11, MATCH("MULT_PRECIO", 02B_ESCENARIOS!$A$4:$A$11, 0), MATCH("Base", 02B_ESCENARIOS!$B$3:$D$3, 0)))*INDEX(02B_ESCENARIOS!$B$15:$D$19, MATCH(VLOOKUP(A148,04_PROYECTOS!$A:$N,9,FALSE), 02B_ESCENARIOS!$A$15:$A$19, 0), MATCH("Base", 02B_ESCENARIOS!$B$14:$D$14, 0))</f>
        <v/>
      </c>
      <c r="F148">
        <f>E148*VLOOKUP(A148,04_PROYECTOS!$A:$N,6,FALSE)</f>
        <v/>
      </c>
      <c r="G148">
        <f>E148+F148</f>
        <v/>
      </c>
      <c r="H148">
        <f>IF(VLOOKUP(A148,04_PROYECTOS!$A:$N,10,FALSE)="", IF(VLOOKUP(A148,04_PROYECTOS!$A:$N,4,FALSE)="Privado", INDEX(02B_ESCENARIOS!$B$4:$D$11, MATCH("DSO_PRIVADO_DEFAULT", 02B_ESCENARIOS!$A$4:$A$11, 0), MATCH("Base", 02B_ESCENARIOS!$B$3:$D$3, 0)), IF(VLOOKUP(A148,04_PROYECTOS!$A:$N,4,FALSE)="Publico_&lt;10M",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VLOOKUP(A148,04_PROYECTOS!$A:$N,10,FALSE))</f>
        <v/>
      </c>
      <c r="I148">
        <f>ROUNDUP(H148/30,0)</f>
        <v/>
      </c>
      <c r="J148">
        <f>EDATE(C148,I148)</f>
        <v/>
      </c>
      <c r="K148">
        <f>G148</f>
        <v/>
      </c>
    </row>
    <row r="149">
      <c r="E149">
        <f>D149*VLOOKUP(A149,04_PROYECTOS!$A:$N,5,FALSE)*(INDEX(02B_ESCENARIOS!$B$4:$D$11, MATCH("MULT_PRECIO", 02B_ESCENARIOS!$A$4:$A$11, 0), MATCH("Base", 02B_ESCENARIOS!$B$3:$D$3, 0)))*INDEX(02B_ESCENARIOS!$B$15:$D$19, MATCH(VLOOKUP(A149,04_PROYECTOS!$A:$N,9,FALSE), 02B_ESCENARIOS!$A$15:$A$19, 0), MATCH("Base", 02B_ESCENARIOS!$B$14:$D$14, 0))</f>
        <v/>
      </c>
      <c r="F149">
        <f>E149*VLOOKUP(A149,04_PROYECTOS!$A:$N,6,FALSE)</f>
        <v/>
      </c>
      <c r="G149">
        <f>E149+F149</f>
        <v/>
      </c>
      <c r="H149">
        <f>IF(VLOOKUP(A149,04_PROYECTOS!$A:$N,10,FALSE)="", IF(VLOOKUP(A149,04_PROYECTOS!$A:$N,4,FALSE)="Privado", INDEX(02B_ESCENARIOS!$B$4:$D$11, MATCH("DSO_PRIVADO_DEFAULT", 02B_ESCENARIOS!$A$4:$A$11, 0), MATCH("Base", 02B_ESCENARIOS!$B$3:$D$3, 0)), IF(VLOOKUP(A149,04_PROYECTOS!$A:$N,4,FALSE)="Publico_&lt;10M",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VLOOKUP(A149,04_PROYECTOS!$A:$N,10,FALSE))</f>
        <v/>
      </c>
      <c r="I149">
        <f>ROUNDUP(H149/30,0)</f>
        <v/>
      </c>
      <c r="J149">
        <f>EDATE(C149,I149)</f>
        <v/>
      </c>
      <c r="K149">
        <f>G149</f>
        <v/>
      </c>
    </row>
    <row r="150">
      <c r="E150">
        <f>D150*VLOOKUP(A150,04_PROYECTOS!$A:$N,5,FALSE)*(INDEX(02B_ESCENARIOS!$B$4:$D$11, MATCH("MULT_PRECIO", 02B_ESCENARIOS!$A$4:$A$11, 0), MATCH("Base", 02B_ESCENARIOS!$B$3:$D$3, 0)))*INDEX(02B_ESCENARIOS!$B$15:$D$19, MATCH(VLOOKUP(A150,04_PROYECTOS!$A:$N,9,FALSE), 02B_ESCENARIOS!$A$15:$A$19, 0), MATCH("Base", 02B_ESCENARIOS!$B$14:$D$14, 0))</f>
        <v/>
      </c>
      <c r="F150">
        <f>E150*VLOOKUP(A150,04_PROYECTOS!$A:$N,6,FALSE)</f>
        <v/>
      </c>
      <c r="G150">
        <f>E150+F150</f>
        <v/>
      </c>
      <c r="H150">
        <f>IF(VLOOKUP(A150,04_PROYECTOS!$A:$N,10,FALSE)="", IF(VLOOKUP(A150,04_PROYECTOS!$A:$N,4,FALSE)="Privado", INDEX(02B_ESCENARIOS!$B$4:$D$11, MATCH("DSO_PRIVADO_DEFAULT", 02B_ESCENARIOS!$A$4:$A$11, 0), MATCH("Base", 02B_ESCENARIOS!$B$3:$D$3, 0)), IF(VLOOKUP(A150,04_PROYECTOS!$A:$N,4,FALSE)="Publico_&lt;10M",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VLOOKUP(A150,04_PROYECTOS!$A:$N,10,FALSE))</f>
        <v/>
      </c>
      <c r="I150">
        <f>ROUNDUP(H150/30,0)</f>
        <v/>
      </c>
      <c r="J150">
        <f>EDATE(C150,I150)</f>
        <v/>
      </c>
      <c r="K150">
        <f>G150</f>
        <v/>
      </c>
    </row>
    <row r="151">
      <c r="E151">
        <f>D151*VLOOKUP(A151,04_PROYECTOS!$A:$N,5,FALSE)*(INDEX(02B_ESCENARIOS!$B$4:$D$11, MATCH("MULT_PRECIO", 02B_ESCENARIOS!$A$4:$A$11, 0), MATCH("Base", 02B_ESCENARIOS!$B$3:$D$3, 0)))*INDEX(02B_ESCENARIOS!$B$15:$D$19, MATCH(VLOOKUP(A151,04_PROYECTOS!$A:$N,9,FALSE), 02B_ESCENARIOS!$A$15:$A$19, 0), MATCH("Base", 02B_ESCENARIOS!$B$14:$D$14, 0))</f>
        <v/>
      </c>
      <c r="F151">
        <f>E151*VLOOKUP(A151,04_PROYECTOS!$A:$N,6,FALSE)</f>
        <v/>
      </c>
      <c r="G151">
        <f>E151+F151</f>
        <v/>
      </c>
      <c r="H151">
        <f>IF(VLOOKUP(A151,04_PROYECTOS!$A:$N,10,FALSE)="", IF(VLOOKUP(A151,04_PROYECTOS!$A:$N,4,FALSE)="Privado", INDEX(02B_ESCENARIOS!$B$4:$D$11, MATCH("DSO_PRIVADO_DEFAULT", 02B_ESCENARIOS!$A$4:$A$11, 0), MATCH("Base", 02B_ESCENARIOS!$B$3:$D$3, 0)), IF(VLOOKUP(A151,04_PROYECTOS!$A:$N,4,FALSE)="Publico_&lt;10M",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VLOOKUP(A151,04_PROYECTOS!$A:$N,10,FALSE))</f>
        <v/>
      </c>
      <c r="I151">
        <f>ROUNDUP(H151/30,0)</f>
        <v/>
      </c>
      <c r="J151">
        <f>EDATE(C151,I151)</f>
        <v/>
      </c>
      <c r="K151">
        <f>G151</f>
        <v/>
      </c>
    </row>
    <row r="152">
      <c r="E152">
        <f>D152*VLOOKUP(A152,04_PROYECTOS!$A:$N,5,FALSE)*(INDEX(02B_ESCENARIOS!$B$4:$D$11, MATCH("MULT_PRECIO", 02B_ESCENARIOS!$A$4:$A$11, 0), MATCH("Base", 02B_ESCENARIOS!$B$3:$D$3, 0)))*INDEX(02B_ESCENARIOS!$B$15:$D$19, MATCH(VLOOKUP(A152,04_PROYECTOS!$A:$N,9,FALSE), 02B_ESCENARIOS!$A$15:$A$19, 0), MATCH("Base", 02B_ESCENARIOS!$B$14:$D$14, 0))</f>
        <v/>
      </c>
      <c r="F152">
        <f>E152*VLOOKUP(A152,04_PROYECTOS!$A:$N,6,FALSE)</f>
        <v/>
      </c>
      <c r="G152">
        <f>E152+F152</f>
        <v/>
      </c>
      <c r="H152">
        <f>IF(VLOOKUP(A152,04_PROYECTOS!$A:$N,10,FALSE)="", IF(VLOOKUP(A152,04_PROYECTOS!$A:$N,4,FALSE)="Privado", INDEX(02B_ESCENARIOS!$B$4:$D$11, MATCH("DSO_PRIVADO_DEFAULT", 02B_ESCENARIOS!$A$4:$A$11, 0), MATCH("Base", 02B_ESCENARIOS!$B$3:$D$3, 0)), IF(VLOOKUP(A152,04_PROYECTOS!$A:$N,4,FALSE)="Publico_&lt;10M",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VLOOKUP(A152,04_PROYECTOS!$A:$N,10,FALSE))</f>
        <v/>
      </c>
      <c r="I152">
        <f>ROUNDUP(H152/30,0)</f>
        <v/>
      </c>
      <c r="J152">
        <f>EDATE(C152,I152)</f>
        <v/>
      </c>
      <c r="K152">
        <f>G152</f>
        <v/>
      </c>
    </row>
    <row r="153">
      <c r="E153">
        <f>D153*VLOOKUP(A153,04_PROYECTOS!$A:$N,5,FALSE)*(INDEX(02B_ESCENARIOS!$B$4:$D$11, MATCH("MULT_PRECIO", 02B_ESCENARIOS!$A$4:$A$11, 0), MATCH("Base", 02B_ESCENARIOS!$B$3:$D$3, 0)))*INDEX(02B_ESCENARIOS!$B$15:$D$19, MATCH(VLOOKUP(A153,04_PROYECTOS!$A:$N,9,FALSE), 02B_ESCENARIOS!$A$15:$A$19, 0), MATCH("Base", 02B_ESCENARIOS!$B$14:$D$14, 0))</f>
        <v/>
      </c>
      <c r="F153">
        <f>E153*VLOOKUP(A153,04_PROYECTOS!$A:$N,6,FALSE)</f>
        <v/>
      </c>
      <c r="G153">
        <f>E153+F153</f>
        <v/>
      </c>
      <c r="H153">
        <f>IF(VLOOKUP(A153,04_PROYECTOS!$A:$N,10,FALSE)="", IF(VLOOKUP(A153,04_PROYECTOS!$A:$N,4,FALSE)="Privado", INDEX(02B_ESCENARIOS!$B$4:$D$11, MATCH("DSO_PRIVADO_DEFAULT", 02B_ESCENARIOS!$A$4:$A$11, 0), MATCH("Base", 02B_ESCENARIOS!$B$3:$D$3, 0)), IF(VLOOKUP(A153,04_PROYECTOS!$A:$N,4,FALSE)="Publico_&lt;10M",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VLOOKUP(A153,04_PROYECTOS!$A:$N,10,FALSE))</f>
        <v/>
      </c>
      <c r="I153">
        <f>ROUNDUP(H153/30,0)</f>
        <v/>
      </c>
      <c r="J153">
        <f>EDATE(C153,I153)</f>
        <v/>
      </c>
      <c r="K153">
        <f>G153</f>
        <v/>
      </c>
    </row>
    <row r="154">
      <c r="E154">
        <f>D154*VLOOKUP(A154,04_PROYECTOS!$A:$N,5,FALSE)*(INDEX(02B_ESCENARIOS!$B$4:$D$11, MATCH("MULT_PRECIO", 02B_ESCENARIOS!$A$4:$A$11, 0), MATCH("Base", 02B_ESCENARIOS!$B$3:$D$3, 0)))*INDEX(02B_ESCENARIOS!$B$15:$D$19, MATCH(VLOOKUP(A154,04_PROYECTOS!$A:$N,9,FALSE), 02B_ESCENARIOS!$A$15:$A$19, 0), MATCH("Base", 02B_ESCENARIOS!$B$14:$D$14, 0))</f>
        <v/>
      </c>
      <c r="F154">
        <f>E154*VLOOKUP(A154,04_PROYECTOS!$A:$N,6,FALSE)</f>
        <v/>
      </c>
      <c r="G154">
        <f>E154+F154</f>
        <v/>
      </c>
      <c r="H154">
        <f>IF(VLOOKUP(A154,04_PROYECTOS!$A:$N,10,FALSE)="", IF(VLOOKUP(A154,04_PROYECTOS!$A:$N,4,FALSE)="Privado", INDEX(02B_ESCENARIOS!$B$4:$D$11, MATCH("DSO_PRIVADO_DEFAULT", 02B_ESCENARIOS!$A$4:$A$11, 0), MATCH("Base", 02B_ESCENARIOS!$B$3:$D$3, 0)), IF(VLOOKUP(A154,04_PROYECTOS!$A:$N,4,FALSE)="Publico_&lt;10M",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VLOOKUP(A154,04_PROYECTOS!$A:$N,10,FALSE))</f>
        <v/>
      </c>
      <c r="I154">
        <f>ROUNDUP(H154/30,0)</f>
        <v/>
      </c>
      <c r="J154">
        <f>EDATE(C154,I154)</f>
        <v/>
      </c>
      <c r="K154">
        <f>G154</f>
        <v/>
      </c>
    </row>
    <row r="155">
      <c r="E155">
        <f>D155*VLOOKUP(A155,04_PROYECTOS!$A:$N,5,FALSE)*(INDEX(02B_ESCENARIOS!$B$4:$D$11, MATCH("MULT_PRECIO", 02B_ESCENARIOS!$A$4:$A$11, 0), MATCH("Base", 02B_ESCENARIOS!$B$3:$D$3, 0)))*INDEX(02B_ESCENARIOS!$B$15:$D$19, MATCH(VLOOKUP(A155,04_PROYECTOS!$A:$N,9,FALSE), 02B_ESCENARIOS!$A$15:$A$19, 0), MATCH("Base", 02B_ESCENARIOS!$B$14:$D$14, 0))</f>
        <v/>
      </c>
      <c r="F155">
        <f>E155*VLOOKUP(A155,04_PROYECTOS!$A:$N,6,FALSE)</f>
        <v/>
      </c>
      <c r="G155">
        <f>E155+F155</f>
        <v/>
      </c>
      <c r="H155">
        <f>IF(VLOOKUP(A155,04_PROYECTOS!$A:$N,10,FALSE)="", IF(VLOOKUP(A155,04_PROYECTOS!$A:$N,4,FALSE)="Privado", INDEX(02B_ESCENARIOS!$B$4:$D$11, MATCH("DSO_PRIVADO_DEFAULT", 02B_ESCENARIOS!$A$4:$A$11, 0), MATCH("Base", 02B_ESCENARIOS!$B$3:$D$3, 0)), IF(VLOOKUP(A155,04_PROYECTOS!$A:$N,4,FALSE)="Publico_&lt;10M",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VLOOKUP(A155,04_PROYECTOS!$A:$N,10,FALSE))</f>
        <v/>
      </c>
      <c r="I155">
        <f>ROUNDUP(H155/30,0)</f>
        <v/>
      </c>
      <c r="J155">
        <f>EDATE(C155,I155)</f>
        <v/>
      </c>
      <c r="K155">
        <f>G155</f>
        <v/>
      </c>
    </row>
    <row r="156">
      <c r="E156">
        <f>D156*VLOOKUP(A156,04_PROYECTOS!$A:$N,5,FALSE)*(INDEX(02B_ESCENARIOS!$B$4:$D$11, MATCH("MULT_PRECIO", 02B_ESCENARIOS!$A$4:$A$11, 0), MATCH("Base", 02B_ESCENARIOS!$B$3:$D$3, 0)))*INDEX(02B_ESCENARIOS!$B$15:$D$19, MATCH(VLOOKUP(A156,04_PROYECTOS!$A:$N,9,FALSE), 02B_ESCENARIOS!$A$15:$A$19, 0), MATCH("Base", 02B_ESCENARIOS!$B$14:$D$14, 0))</f>
        <v/>
      </c>
      <c r="F156">
        <f>E156*VLOOKUP(A156,04_PROYECTOS!$A:$N,6,FALSE)</f>
        <v/>
      </c>
      <c r="G156">
        <f>E156+F156</f>
        <v/>
      </c>
      <c r="H156">
        <f>IF(VLOOKUP(A156,04_PROYECTOS!$A:$N,10,FALSE)="", IF(VLOOKUP(A156,04_PROYECTOS!$A:$N,4,FALSE)="Privado", INDEX(02B_ESCENARIOS!$B$4:$D$11, MATCH("DSO_PRIVADO_DEFAULT", 02B_ESCENARIOS!$A$4:$A$11, 0), MATCH("Base", 02B_ESCENARIOS!$B$3:$D$3, 0)), IF(VLOOKUP(A156,04_PROYECTOS!$A:$N,4,FALSE)="Publico_&lt;10M",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VLOOKUP(A156,04_PROYECTOS!$A:$N,10,FALSE))</f>
        <v/>
      </c>
      <c r="I156">
        <f>ROUNDUP(H156/30,0)</f>
        <v/>
      </c>
      <c r="J156">
        <f>EDATE(C156,I156)</f>
        <v/>
      </c>
      <c r="K156">
        <f>G156</f>
        <v/>
      </c>
    </row>
    <row r="157">
      <c r="E157">
        <f>D157*VLOOKUP(A157,04_PROYECTOS!$A:$N,5,FALSE)*(INDEX(02B_ESCENARIOS!$B$4:$D$11, MATCH("MULT_PRECIO", 02B_ESCENARIOS!$A$4:$A$11, 0), MATCH("Base", 02B_ESCENARIOS!$B$3:$D$3, 0)))*INDEX(02B_ESCENARIOS!$B$15:$D$19, MATCH(VLOOKUP(A157,04_PROYECTOS!$A:$N,9,FALSE), 02B_ESCENARIOS!$A$15:$A$19, 0), MATCH("Base", 02B_ESCENARIOS!$B$14:$D$14, 0))</f>
        <v/>
      </c>
      <c r="F157">
        <f>E157*VLOOKUP(A157,04_PROYECTOS!$A:$N,6,FALSE)</f>
        <v/>
      </c>
      <c r="G157">
        <f>E157+F157</f>
        <v/>
      </c>
      <c r="H157">
        <f>IF(VLOOKUP(A157,04_PROYECTOS!$A:$N,10,FALSE)="", IF(VLOOKUP(A157,04_PROYECTOS!$A:$N,4,FALSE)="Privado", INDEX(02B_ESCENARIOS!$B$4:$D$11, MATCH("DSO_PRIVADO_DEFAULT", 02B_ESCENARIOS!$A$4:$A$11, 0), MATCH("Base", 02B_ESCENARIOS!$B$3:$D$3, 0)), IF(VLOOKUP(A157,04_PROYECTOS!$A:$N,4,FALSE)="Publico_&lt;10M",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VLOOKUP(A157,04_PROYECTOS!$A:$N,10,FALSE))</f>
        <v/>
      </c>
      <c r="I157">
        <f>ROUNDUP(H157/30,0)</f>
        <v/>
      </c>
      <c r="J157">
        <f>EDATE(C157,I157)</f>
        <v/>
      </c>
      <c r="K157">
        <f>G157</f>
        <v/>
      </c>
    </row>
    <row r="158">
      <c r="E158">
        <f>D158*VLOOKUP(A158,04_PROYECTOS!$A:$N,5,FALSE)*(INDEX(02B_ESCENARIOS!$B$4:$D$11, MATCH("MULT_PRECIO", 02B_ESCENARIOS!$A$4:$A$11, 0), MATCH("Base", 02B_ESCENARIOS!$B$3:$D$3, 0)))*INDEX(02B_ESCENARIOS!$B$15:$D$19, MATCH(VLOOKUP(A158,04_PROYECTOS!$A:$N,9,FALSE), 02B_ESCENARIOS!$A$15:$A$19, 0), MATCH("Base", 02B_ESCENARIOS!$B$14:$D$14, 0))</f>
        <v/>
      </c>
      <c r="F158">
        <f>E158*VLOOKUP(A158,04_PROYECTOS!$A:$N,6,FALSE)</f>
        <v/>
      </c>
      <c r="G158">
        <f>E158+F158</f>
        <v/>
      </c>
      <c r="H158">
        <f>IF(VLOOKUP(A158,04_PROYECTOS!$A:$N,10,FALSE)="", IF(VLOOKUP(A158,04_PROYECTOS!$A:$N,4,FALSE)="Privado", INDEX(02B_ESCENARIOS!$B$4:$D$11, MATCH("DSO_PRIVADO_DEFAULT", 02B_ESCENARIOS!$A$4:$A$11, 0), MATCH("Base", 02B_ESCENARIOS!$B$3:$D$3, 0)), IF(VLOOKUP(A158,04_PROYECTOS!$A:$N,4,FALSE)="Publico_&lt;10M",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VLOOKUP(A158,04_PROYECTOS!$A:$N,10,FALSE))</f>
        <v/>
      </c>
      <c r="I158">
        <f>ROUNDUP(H158/30,0)</f>
        <v/>
      </c>
      <c r="J158">
        <f>EDATE(C158,I158)</f>
        <v/>
      </c>
      <c r="K158">
        <f>G158</f>
        <v/>
      </c>
    </row>
    <row r="159">
      <c r="E159">
        <f>D159*VLOOKUP(A159,04_PROYECTOS!$A:$N,5,FALSE)*(INDEX(02B_ESCENARIOS!$B$4:$D$11, MATCH("MULT_PRECIO", 02B_ESCENARIOS!$A$4:$A$11, 0), MATCH("Base", 02B_ESCENARIOS!$B$3:$D$3, 0)))*INDEX(02B_ESCENARIOS!$B$15:$D$19, MATCH(VLOOKUP(A159,04_PROYECTOS!$A:$N,9,FALSE), 02B_ESCENARIOS!$A$15:$A$19, 0), MATCH("Base", 02B_ESCENARIOS!$B$14:$D$14, 0))</f>
        <v/>
      </c>
      <c r="F159">
        <f>E159*VLOOKUP(A159,04_PROYECTOS!$A:$N,6,FALSE)</f>
        <v/>
      </c>
      <c r="G159">
        <f>E159+F159</f>
        <v/>
      </c>
      <c r="H159">
        <f>IF(VLOOKUP(A159,04_PROYECTOS!$A:$N,10,FALSE)="", IF(VLOOKUP(A159,04_PROYECTOS!$A:$N,4,FALSE)="Privado", INDEX(02B_ESCENARIOS!$B$4:$D$11, MATCH("DSO_PRIVADO_DEFAULT", 02B_ESCENARIOS!$A$4:$A$11, 0), MATCH("Base", 02B_ESCENARIOS!$B$3:$D$3, 0)), IF(VLOOKUP(A159,04_PROYECTOS!$A:$N,4,FALSE)="Publico_&lt;10M",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VLOOKUP(A159,04_PROYECTOS!$A:$N,10,FALSE))</f>
        <v/>
      </c>
      <c r="I159">
        <f>ROUNDUP(H159/30,0)</f>
        <v/>
      </c>
      <c r="J159">
        <f>EDATE(C159,I159)</f>
        <v/>
      </c>
      <c r="K159">
        <f>G159</f>
        <v/>
      </c>
    </row>
    <row r="160">
      <c r="E160">
        <f>D160*VLOOKUP(A160,04_PROYECTOS!$A:$N,5,FALSE)*(INDEX(02B_ESCENARIOS!$B$4:$D$11, MATCH("MULT_PRECIO", 02B_ESCENARIOS!$A$4:$A$11, 0), MATCH("Base", 02B_ESCENARIOS!$B$3:$D$3, 0)))*INDEX(02B_ESCENARIOS!$B$15:$D$19, MATCH(VLOOKUP(A160,04_PROYECTOS!$A:$N,9,FALSE), 02B_ESCENARIOS!$A$15:$A$19, 0), MATCH("Base", 02B_ESCENARIOS!$B$14:$D$14, 0))</f>
        <v/>
      </c>
      <c r="F160">
        <f>E160*VLOOKUP(A160,04_PROYECTOS!$A:$N,6,FALSE)</f>
        <v/>
      </c>
      <c r="G160">
        <f>E160+F160</f>
        <v/>
      </c>
      <c r="H160">
        <f>IF(VLOOKUP(A160,04_PROYECTOS!$A:$N,10,FALSE)="", IF(VLOOKUP(A160,04_PROYECTOS!$A:$N,4,FALSE)="Privado", INDEX(02B_ESCENARIOS!$B$4:$D$11, MATCH("DSO_PRIVADO_DEFAULT", 02B_ESCENARIOS!$A$4:$A$11, 0), MATCH("Base", 02B_ESCENARIOS!$B$3:$D$3, 0)), IF(VLOOKUP(A160,04_PROYECTOS!$A:$N,4,FALSE)="Publico_&lt;10M",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VLOOKUP(A160,04_PROYECTOS!$A:$N,10,FALSE))</f>
        <v/>
      </c>
      <c r="I160">
        <f>ROUNDUP(H160/30,0)</f>
        <v/>
      </c>
      <c r="J160">
        <f>EDATE(C160,I160)</f>
        <v/>
      </c>
      <c r="K160">
        <f>G160</f>
        <v/>
      </c>
    </row>
    <row r="161">
      <c r="E161">
        <f>D161*VLOOKUP(A161,04_PROYECTOS!$A:$N,5,FALSE)*(INDEX(02B_ESCENARIOS!$B$4:$D$11, MATCH("MULT_PRECIO", 02B_ESCENARIOS!$A$4:$A$11, 0), MATCH("Base", 02B_ESCENARIOS!$B$3:$D$3, 0)))*INDEX(02B_ESCENARIOS!$B$15:$D$19, MATCH(VLOOKUP(A161,04_PROYECTOS!$A:$N,9,FALSE), 02B_ESCENARIOS!$A$15:$A$19, 0), MATCH("Base", 02B_ESCENARIOS!$B$14:$D$14, 0))</f>
        <v/>
      </c>
      <c r="F161">
        <f>E161*VLOOKUP(A161,04_PROYECTOS!$A:$N,6,FALSE)</f>
        <v/>
      </c>
      <c r="G161">
        <f>E161+F161</f>
        <v/>
      </c>
      <c r="H161">
        <f>IF(VLOOKUP(A161,04_PROYECTOS!$A:$N,10,FALSE)="", IF(VLOOKUP(A161,04_PROYECTOS!$A:$N,4,FALSE)="Privado", INDEX(02B_ESCENARIOS!$B$4:$D$11, MATCH("DSO_PRIVADO_DEFAULT", 02B_ESCENARIOS!$A$4:$A$11, 0), MATCH("Base", 02B_ESCENARIOS!$B$3:$D$3, 0)), IF(VLOOKUP(A161,04_PROYECTOS!$A:$N,4,FALSE)="Publico_&lt;10M",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VLOOKUP(A161,04_PROYECTOS!$A:$N,10,FALSE))</f>
        <v/>
      </c>
      <c r="I161">
        <f>ROUNDUP(H161/30,0)</f>
        <v/>
      </c>
      <c r="J161">
        <f>EDATE(C161,I161)</f>
        <v/>
      </c>
      <c r="K161">
        <f>G161</f>
        <v/>
      </c>
    </row>
    <row r="162">
      <c r="E162">
        <f>D162*VLOOKUP(A162,04_PROYECTOS!$A:$N,5,FALSE)*(INDEX(02B_ESCENARIOS!$B$4:$D$11, MATCH("MULT_PRECIO", 02B_ESCENARIOS!$A$4:$A$11, 0), MATCH("Base", 02B_ESCENARIOS!$B$3:$D$3, 0)))*INDEX(02B_ESCENARIOS!$B$15:$D$19, MATCH(VLOOKUP(A162,04_PROYECTOS!$A:$N,9,FALSE), 02B_ESCENARIOS!$A$15:$A$19, 0), MATCH("Base", 02B_ESCENARIOS!$B$14:$D$14, 0))</f>
        <v/>
      </c>
      <c r="F162">
        <f>E162*VLOOKUP(A162,04_PROYECTOS!$A:$N,6,FALSE)</f>
        <v/>
      </c>
      <c r="G162">
        <f>E162+F162</f>
        <v/>
      </c>
      <c r="H162">
        <f>IF(VLOOKUP(A162,04_PROYECTOS!$A:$N,10,FALSE)="", IF(VLOOKUP(A162,04_PROYECTOS!$A:$N,4,FALSE)="Privado", INDEX(02B_ESCENARIOS!$B$4:$D$11, MATCH("DSO_PRIVADO_DEFAULT", 02B_ESCENARIOS!$A$4:$A$11, 0), MATCH("Base", 02B_ESCENARIOS!$B$3:$D$3, 0)), IF(VLOOKUP(A162,04_PROYECTOS!$A:$N,4,FALSE)="Publico_&lt;10M",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VLOOKUP(A162,04_PROYECTOS!$A:$N,10,FALSE))</f>
        <v/>
      </c>
      <c r="I162">
        <f>ROUNDUP(H162/30,0)</f>
        <v/>
      </c>
      <c r="J162">
        <f>EDATE(C162,I162)</f>
        <v/>
      </c>
      <c r="K162">
        <f>G162</f>
        <v/>
      </c>
    </row>
    <row r="163">
      <c r="E163">
        <f>D163*VLOOKUP(A163,04_PROYECTOS!$A:$N,5,FALSE)*(INDEX(02B_ESCENARIOS!$B$4:$D$11, MATCH("MULT_PRECIO", 02B_ESCENARIOS!$A$4:$A$11, 0), MATCH("Base", 02B_ESCENARIOS!$B$3:$D$3, 0)))*INDEX(02B_ESCENARIOS!$B$15:$D$19, MATCH(VLOOKUP(A163,04_PROYECTOS!$A:$N,9,FALSE), 02B_ESCENARIOS!$A$15:$A$19, 0), MATCH("Base", 02B_ESCENARIOS!$B$14:$D$14, 0))</f>
        <v/>
      </c>
      <c r="F163">
        <f>E163*VLOOKUP(A163,04_PROYECTOS!$A:$N,6,FALSE)</f>
        <v/>
      </c>
      <c r="G163">
        <f>E163+F163</f>
        <v/>
      </c>
      <c r="H163">
        <f>IF(VLOOKUP(A163,04_PROYECTOS!$A:$N,10,FALSE)="", IF(VLOOKUP(A163,04_PROYECTOS!$A:$N,4,FALSE)="Privado", INDEX(02B_ESCENARIOS!$B$4:$D$11, MATCH("DSO_PRIVADO_DEFAULT", 02B_ESCENARIOS!$A$4:$A$11, 0), MATCH("Base", 02B_ESCENARIOS!$B$3:$D$3, 0)), IF(VLOOKUP(A163,04_PROYECTOS!$A:$N,4,FALSE)="Publico_&lt;10M",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VLOOKUP(A163,04_PROYECTOS!$A:$N,10,FALSE))</f>
        <v/>
      </c>
      <c r="I163">
        <f>ROUNDUP(H163/30,0)</f>
        <v/>
      </c>
      <c r="J163">
        <f>EDATE(C163,I163)</f>
        <v/>
      </c>
      <c r="K163">
        <f>G163</f>
        <v/>
      </c>
    </row>
    <row r="164">
      <c r="E164">
        <f>D164*VLOOKUP(A164,04_PROYECTOS!$A:$N,5,FALSE)*(INDEX(02B_ESCENARIOS!$B$4:$D$11, MATCH("MULT_PRECIO", 02B_ESCENARIOS!$A$4:$A$11, 0), MATCH("Base", 02B_ESCENARIOS!$B$3:$D$3, 0)))*INDEX(02B_ESCENARIOS!$B$15:$D$19, MATCH(VLOOKUP(A164,04_PROYECTOS!$A:$N,9,FALSE), 02B_ESCENARIOS!$A$15:$A$19, 0), MATCH("Base", 02B_ESCENARIOS!$B$14:$D$14, 0))</f>
        <v/>
      </c>
      <c r="F164">
        <f>E164*VLOOKUP(A164,04_PROYECTOS!$A:$N,6,FALSE)</f>
        <v/>
      </c>
      <c r="G164">
        <f>E164+F164</f>
        <v/>
      </c>
      <c r="H164">
        <f>IF(VLOOKUP(A164,04_PROYECTOS!$A:$N,10,FALSE)="", IF(VLOOKUP(A164,04_PROYECTOS!$A:$N,4,FALSE)="Privado", INDEX(02B_ESCENARIOS!$B$4:$D$11, MATCH("DSO_PRIVADO_DEFAULT", 02B_ESCENARIOS!$A$4:$A$11, 0), MATCH("Base", 02B_ESCENARIOS!$B$3:$D$3, 0)), IF(VLOOKUP(A164,04_PROYECTOS!$A:$N,4,FALSE)="Publico_&lt;10M",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VLOOKUP(A164,04_PROYECTOS!$A:$N,10,FALSE))</f>
        <v/>
      </c>
      <c r="I164">
        <f>ROUNDUP(H164/30,0)</f>
        <v/>
      </c>
      <c r="J164">
        <f>EDATE(C164,I164)</f>
        <v/>
      </c>
      <c r="K164">
        <f>G164</f>
        <v/>
      </c>
    </row>
    <row r="165">
      <c r="E165">
        <f>D165*VLOOKUP(A165,04_PROYECTOS!$A:$N,5,FALSE)*(INDEX(02B_ESCENARIOS!$B$4:$D$11, MATCH("MULT_PRECIO", 02B_ESCENARIOS!$A$4:$A$11, 0), MATCH("Base", 02B_ESCENARIOS!$B$3:$D$3, 0)))*INDEX(02B_ESCENARIOS!$B$15:$D$19, MATCH(VLOOKUP(A165,04_PROYECTOS!$A:$N,9,FALSE), 02B_ESCENARIOS!$A$15:$A$19, 0), MATCH("Base", 02B_ESCENARIOS!$B$14:$D$14, 0))</f>
        <v/>
      </c>
      <c r="F165">
        <f>E165*VLOOKUP(A165,04_PROYECTOS!$A:$N,6,FALSE)</f>
        <v/>
      </c>
      <c r="G165">
        <f>E165+F165</f>
        <v/>
      </c>
      <c r="H165">
        <f>IF(VLOOKUP(A165,04_PROYECTOS!$A:$N,10,FALSE)="", IF(VLOOKUP(A165,04_PROYECTOS!$A:$N,4,FALSE)="Privado", INDEX(02B_ESCENARIOS!$B$4:$D$11, MATCH("DSO_PRIVADO_DEFAULT", 02B_ESCENARIOS!$A$4:$A$11, 0), MATCH("Base", 02B_ESCENARIOS!$B$3:$D$3, 0)), IF(VLOOKUP(A165,04_PROYECTOS!$A:$N,4,FALSE)="Publico_&lt;10M",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VLOOKUP(A165,04_PROYECTOS!$A:$N,10,FALSE))</f>
        <v/>
      </c>
      <c r="I165">
        <f>ROUNDUP(H165/30,0)</f>
        <v/>
      </c>
      <c r="J165">
        <f>EDATE(C165,I165)</f>
        <v/>
      </c>
      <c r="K165">
        <f>G165</f>
        <v/>
      </c>
    </row>
    <row r="166">
      <c r="E166">
        <f>D166*VLOOKUP(A166,04_PROYECTOS!$A:$N,5,FALSE)*(INDEX(02B_ESCENARIOS!$B$4:$D$11, MATCH("MULT_PRECIO", 02B_ESCENARIOS!$A$4:$A$11, 0), MATCH("Base", 02B_ESCENARIOS!$B$3:$D$3, 0)))*INDEX(02B_ESCENARIOS!$B$15:$D$19, MATCH(VLOOKUP(A166,04_PROYECTOS!$A:$N,9,FALSE), 02B_ESCENARIOS!$A$15:$A$19, 0), MATCH("Base", 02B_ESCENARIOS!$B$14:$D$14, 0))</f>
        <v/>
      </c>
      <c r="F166">
        <f>E166*VLOOKUP(A166,04_PROYECTOS!$A:$N,6,FALSE)</f>
        <v/>
      </c>
      <c r="G166">
        <f>E166+F166</f>
        <v/>
      </c>
      <c r="H166">
        <f>IF(VLOOKUP(A166,04_PROYECTOS!$A:$N,10,FALSE)="", IF(VLOOKUP(A166,04_PROYECTOS!$A:$N,4,FALSE)="Privado", INDEX(02B_ESCENARIOS!$B$4:$D$11, MATCH("DSO_PRIVADO_DEFAULT", 02B_ESCENARIOS!$A$4:$A$11, 0), MATCH("Base", 02B_ESCENARIOS!$B$3:$D$3, 0)), IF(VLOOKUP(A166,04_PROYECTOS!$A:$N,4,FALSE)="Publico_&lt;10M",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VLOOKUP(A166,04_PROYECTOS!$A:$N,10,FALSE))</f>
        <v/>
      </c>
      <c r="I166">
        <f>ROUNDUP(H166/30,0)</f>
        <v/>
      </c>
      <c r="J166">
        <f>EDATE(C166,I166)</f>
        <v/>
      </c>
      <c r="K166">
        <f>G166</f>
        <v/>
      </c>
    </row>
    <row r="167">
      <c r="E167">
        <f>D167*VLOOKUP(A167,04_PROYECTOS!$A:$N,5,FALSE)*(INDEX(02B_ESCENARIOS!$B$4:$D$11, MATCH("MULT_PRECIO", 02B_ESCENARIOS!$A$4:$A$11, 0), MATCH("Base", 02B_ESCENARIOS!$B$3:$D$3, 0)))*INDEX(02B_ESCENARIOS!$B$15:$D$19, MATCH(VLOOKUP(A167,04_PROYECTOS!$A:$N,9,FALSE), 02B_ESCENARIOS!$A$15:$A$19, 0), MATCH("Base", 02B_ESCENARIOS!$B$14:$D$14, 0))</f>
        <v/>
      </c>
      <c r="F167">
        <f>E167*VLOOKUP(A167,04_PROYECTOS!$A:$N,6,FALSE)</f>
        <v/>
      </c>
      <c r="G167">
        <f>E167+F167</f>
        <v/>
      </c>
      <c r="H167">
        <f>IF(VLOOKUP(A167,04_PROYECTOS!$A:$N,10,FALSE)="", IF(VLOOKUP(A167,04_PROYECTOS!$A:$N,4,FALSE)="Privado", INDEX(02B_ESCENARIOS!$B$4:$D$11, MATCH("DSO_PRIVADO_DEFAULT", 02B_ESCENARIOS!$A$4:$A$11, 0), MATCH("Base", 02B_ESCENARIOS!$B$3:$D$3, 0)), IF(VLOOKUP(A167,04_PROYECTOS!$A:$N,4,FALSE)="Publico_&lt;10M",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VLOOKUP(A167,04_PROYECTOS!$A:$N,10,FALSE))</f>
        <v/>
      </c>
      <c r="I167">
        <f>ROUNDUP(H167/30,0)</f>
        <v/>
      </c>
      <c r="J167">
        <f>EDATE(C167,I167)</f>
        <v/>
      </c>
      <c r="K167">
        <f>G167</f>
        <v/>
      </c>
    </row>
    <row r="168">
      <c r="E168">
        <f>D168*VLOOKUP(A168,04_PROYECTOS!$A:$N,5,FALSE)*(INDEX(02B_ESCENARIOS!$B$4:$D$11, MATCH("MULT_PRECIO", 02B_ESCENARIOS!$A$4:$A$11, 0), MATCH("Base", 02B_ESCENARIOS!$B$3:$D$3, 0)))*INDEX(02B_ESCENARIOS!$B$15:$D$19, MATCH(VLOOKUP(A168,04_PROYECTOS!$A:$N,9,FALSE), 02B_ESCENARIOS!$A$15:$A$19, 0), MATCH("Base", 02B_ESCENARIOS!$B$14:$D$14, 0))</f>
        <v/>
      </c>
      <c r="F168">
        <f>E168*VLOOKUP(A168,04_PROYECTOS!$A:$N,6,FALSE)</f>
        <v/>
      </c>
      <c r="G168">
        <f>E168+F168</f>
        <v/>
      </c>
      <c r="H168">
        <f>IF(VLOOKUP(A168,04_PROYECTOS!$A:$N,10,FALSE)="", IF(VLOOKUP(A168,04_PROYECTOS!$A:$N,4,FALSE)="Privado", INDEX(02B_ESCENARIOS!$B$4:$D$11, MATCH("DSO_PRIVADO_DEFAULT", 02B_ESCENARIOS!$A$4:$A$11, 0), MATCH("Base", 02B_ESCENARIOS!$B$3:$D$3, 0)), IF(VLOOKUP(A168,04_PROYECTOS!$A:$N,4,FALSE)="Publico_&lt;10M",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VLOOKUP(A168,04_PROYECTOS!$A:$N,10,FALSE))</f>
        <v/>
      </c>
      <c r="I168">
        <f>ROUNDUP(H168/30,0)</f>
        <v/>
      </c>
      <c r="J168">
        <f>EDATE(C168,I168)</f>
        <v/>
      </c>
      <c r="K168">
        <f>G168</f>
        <v/>
      </c>
    </row>
    <row r="169">
      <c r="E169">
        <f>D169*VLOOKUP(A169,04_PROYECTOS!$A:$N,5,FALSE)*(INDEX(02B_ESCENARIOS!$B$4:$D$11, MATCH("MULT_PRECIO", 02B_ESCENARIOS!$A$4:$A$11, 0), MATCH("Base", 02B_ESCENARIOS!$B$3:$D$3, 0)))*INDEX(02B_ESCENARIOS!$B$15:$D$19, MATCH(VLOOKUP(A169,04_PROYECTOS!$A:$N,9,FALSE), 02B_ESCENARIOS!$A$15:$A$19, 0), MATCH("Base", 02B_ESCENARIOS!$B$14:$D$14, 0))</f>
        <v/>
      </c>
      <c r="F169">
        <f>E169*VLOOKUP(A169,04_PROYECTOS!$A:$N,6,FALSE)</f>
        <v/>
      </c>
      <c r="G169">
        <f>E169+F169</f>
        <v/>
      </c>
      <c r="H169">
        <f>IF(VLOOKUP(A169,04_PROYECTOS!$A:$N,10,FALSE)="", IF(VLOOKUP(A169,04_PROYECTOS!$A:$N,4,FALSE)="Privado", INDEX(02B_ESCENARIOS!$B$4:$D$11, MATCH("DSO_PRIVADO_DEFAULT", 02B_ESCENARIOS!$A$4:$A$11, 0), MATCH("Base", 02B_ESCENARIOS!$B$3:$D$3, 0)), IF(VLOOKUP(A169,04_PROYECTOS!$A:$N,4,FALSE)="Publico_&lt;10M",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VLOOKUP(A169,04_PROYECTOS!$A:$N,10,FALSE))</f>
        <v/>
      </c>
      <c r="I169">
        <f>ROUNDUP(H169/30,0)</f>
        <v/>
      </c>
      <c r="J169">
        <f>EDATE(C169,I169)</f>
        <v/>
      </c>
      <c r="K169">
        <f>G169</f>
        <v/>
      </c>
    </row>
    <row r="170">
      <c r="E170">
        <f>D170*VLOOKUP(A170,04_PROYECTOS!$A:$N,5,FALSE)*(INDEX(02B_ESCENARIOS!$B$4:$D$11, MATCH("MULT_PRECIO", 02B_ESCENARIOS!$A$4:$A$11, 0), MATCH("Base", 02B_ESCENARIOS!$B$3:$D$3, 0)))*INDEX(02B_ESCENARIOS!$B$15:$D$19, MATCH(VLOOKUP(A170,04_PROYECTOS!$A:$N,9,FALSE), 02B_ESCENARIOS!$A$15:$A$19, 0), MATCH("Base", 02B_ESCENARIOS!$B$14:$D$14, 0))</f>
        <v/>
      </c>
      <c r="F170">
        <f>E170*VLOOKUP(A170,04_PROYECTOS!$A:$N,6,FALSE)</f>
        <v/>
      </c>
      <c r="G170">
        <f>E170+F170</f>
        <v/>
      </c>
      <c r="H170">
        <f>IF(VLOOKUP(A170,04_PROYECTOS!$A:$N,10,FALSE)="", IF(VLOOKUP(A170,04_PROYECTOS!$A:$N,4,FALSE)="Privado", INDEX(02B_ESCENARIOS!$B$4:$D$11, MATCH("DSO_PRIVADO_DEFAULT", 02B_ESCENARIOS!$A$4:$A$11, 0), MATCH("Base", 02B_ESCENARIOS!$B$3:$D$3, 0)), IF(VLOOKUP(A170,04_PROYECTOS!$A:$N,4,FALSE)="Publico_&lt;10M",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VLOOKUP(A170,04_PROYECTOS!$A:$N,10,FALSE))</f>
        <v/>
      </c>
      <c r="I170">
        <f>ROUNDUP(H170/30,0)</f>
        <v/>
      </c>
      <c r="J170">
        <f>EDATE(C170,I170)</f>
        <v/>
      </c>
      <c r="K170">
        <f>G170</f>
        <v/>
      </c>
    </row>
    <row r="171">
      <c r="E171">
        <f>D171*VLOOKUP(A171,04_PROYECTOS!$A:$N,5,FALSE)*(INDEX(02B_ESCENARIOS!$B$4:$D$11, MATCH("MULT_PRECIO", 02B_ESCENARIOS!$A$4:$A$11, 0), MATCH("Base", 02B_ESCENARIOS!$B$3:$D$3, 0)))*INDEX(02B_ESCENARIOS!$B$15:$D$19, MATCH(VLOOKUP(A171,04_PROYECTOS!$A:$N,9,FALSE), 02B_ESCENARIOS!$A$15:$A$19, 0), MATCH("Base", 02B_ESCENARIOS!$B$14:$D$14, 0))</f>
        <v/>
      </c>
      <c r="F171">
        <f>E171*VLOOKUP(A171,04_PROYECTOS!$A:$N,6,FALSE)</f>
        <v/>
      </c>
      <c r="G171">
        <f>E171+F171</f>
        <v/>
      </c>
      <c r="H171">
        <f>IF(VLOOKUP(A171,04_PROYECTOS!$A:$N,10,FALSE)="", IF(VLOOKUP(A171,04_PROYECTOS!$A:$N,4,FALSE)="Privado", INDEX(02B_ESCENARIOS!$B$4:$D$11, MATCH("DSO_PRIVADO_DEFAULT", 02B_ESCENARIOS!$A$4:$A$11, 0), MATCH("Base", 02B_ESCENARIOS!$B$3:$D$3, 0)), IF(VLOOKUP(A171,04_PROYECTOS!$A:$N,4,FALSE)="Publico_&lt;10M",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VLOOKUP(A171,04_PROYECTOS!$A:$N,10,FALSE))</f>
        <v/>
      </c>
      <c r="I171">
        <f>ROUNDUP(H171/30,0)</f>
        <v/>
      </c>
      <c r="J171">
        <f>EDATE(C171,I171)</f>
        <v/>
      </c>
      <c r="K171">
        <f>G171</f>
        <v/>
      </c>
    </row>
    <row r="172">
      <c r="E172">
        <f>D172*VLOOKUP(A172,04_PROYECTOS!$A:$N,5,FALSE)*(INDEX(02B_ESCENARIOS!$B$4:$D$11, MATCH("MULT_PRECIO", 02B_ESCENARIOS!$A$4:$A$11, 0), MATCH("Base", 02B_ESCENARIOS!$B$3:$D$3, 0)))*INDEX(02B_ESCENARIOS!$B$15:$D$19, MATCH(VLOOKUP(A172,04_PROYECTOS!$A:$N,9,FALSE), 02B_ESCENARIOS!$A$15:$A$19, 0), MATCH("Base", 02B_ESCENARIOS!$B$14:$D$14, 0))</f>
        <v/>
      </c>
      <c r="F172">
        <f>E172*VLOOKUP(A172,04_PROYECTOS!$A:$N,6,FALSE)</f>
        <v/>
      </c>
      <c r="G172">
        <f>E172+F172</f>
        <v/>
      </c>
      <c r="H172">
        <f>IF(VLOOKUP(A172,04_PROYECTOS!$A:$N,10,FALSE)="", IF(VLOOKUP(A172,04_PROYECTOS!$A:$N,4,FALSE)="Privado", INDEX(02B_ESCENARIOS!$B$4:$D$11, MATCH("DSO_PRIVADO_DEFAULT", 02B_ESCENARIOS!$A$4:$A$11, 0), MATCH("Base", 02B_ESCENARIOS!$B$3:$D$3, 0)), IF(VLOOKUP(A172,04_PROYECTOS!$A:$N,4,FALSE)="Publico_&lt;10M",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VLOOKUP(A172,04_PROYECTOS!$A:$N,10,FALSE))</f>
        <v/>
      </c>
      <c r="I172">
        <f>ROUNDUP(H172/30,0)</f>
        <v/>
      </c>
      <c r="J172">
        <f>EDATE(C172,I172)</f>
        <v/>
      </c>
      <c r="K172">
        <f>G172</f>
        <v/>
      </c>
    </row>
    <row r="173">
      <c r="E173">
        <f>D173*VLOOKUP(A173,04_PROYECTOS!$A:$N,5,FALSE)*(INDEX(02B_ESCENARIOS!$B$4:$D$11, MATCH("MULT_PRECIO", 02B_ESCENARIOS!$A$4:$A$11, 0), MATCH("Base", 02B_ESCENARIOS!$B$3:$D$3, 0)))*INDEX(02B_ESCENARIOS!$B$15:$D$19, MATCH(VLOOKUP(A173,04_PROYECTOS!$A:$N,9,FALSE), 02B_ESCENARIOS!$A$15:$A$19, 0), MATCH("Base", 02B_ESCENARIOS!$B$14:$D$14, 0))</f>
        <v/>
      </c>
      <c r="F173">
        <f>E173*VLOOKUP(A173,04_PROYECTOS!$A:$N,6,FALSE)</f>
        <v/>
      </c>
      <c r="G173">
        <f>E173+F173</f>
        <v/>
      </c>
      <c r="H173">
        <f>IF(VLOOKUP(A173,04_PROYECTOS!$A:$N,10,FALSE)="", IF(VLOOKUP(A173,04_PROYECTOS!$A:$N,4,FALSE)="Privado", INDEX(02B_ESCENARIOS!$B$4:$D$11, MATCH("DSO_PRIVADO_DEFAULT", 02B_ESCENARIOS!$A$4:$A$11, 0), MATCH("Base", 02B_ESCENARIOS!$B$3:$D$3, 0)), IF(VLOOKUP(A173,04_PROYECTOS!$A:$N,4,FALSE)="Publico_&lt;10M",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VLOOKUP(A173,04_PROYECTOS!$A:$N,10,FALSE))</f>
        <v/>
      </c>
      <c r="I173">
        <f>ROUNDUP(H173/30,0)</f>
        <v/>
      </c>
      <c r="J173">
        <f>EDATE(C173,I173)</f>
        <v/>
      </c>
      <c r="K173">
        <f>G173</f>
        <v/>
      </c>
    </row>
    <row r="174">
      <c r="E174">
        <f>D174*VLOOKUP(A174,04_PROYECTOS!$A:$N,5,FALSE)*(INDEX(02B_ESCENARIOS!$B$4:$D$11, MATCH("MULT_PRECIO", 02B_ESCENARIOS!$A$4:$A$11, 0), MATCH("Base", 02B_ESCENARIOS!$B$3:$D$3, 0)))*INDEX(02B_ESCENARIOS!$B$15:$D$19, MATCH(VLOOKUP(A174,04_PROYECTOS!$A:$N,9,FALSE), 02B_ESCENARIOS!$A$15:$A$19, 0), MATCH("Base", 02B_ESCENARIOS!$B$14:$D$14, 0))</f>
        <v/>
      </c>
      <c r="F174">
        <f>E174*VLOOKUP(A174,04_PROYECTOS!$A:$N,6,FALSE)</f>
        <v/>
      </c>
      <c r="G174">
        <f>E174+F174</f>
        <v/>
      </c>
      <c r="H174">
        <f>IF(VLOOKUP(A174,04_PROYECTOS!$A:$N,10,FALSE)="", IF(VLOOKUP(A174,04_PROYECTOS!$A:$N,4,FALSE)="Privado", INDEX(02B_ESCENARIOS!$B$4:$D$11, MATCH("DSO_PRIVADO_DEFAULT", 02B_ESCENARIOS!$A$4:$A$11, 0), MATCH("Base", 02B_ESCENARIOS!$B$3:$D$3, 0)), IF(VLOOKUP(A174,04_PROYECTOS!$A:$N,4,FALSE)="Publico_&lt;10M",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VLOOKUP(A174,04_PROYECTOS!$A:$N,10,FALSE))</f>
        <v/>
      </c>
      <c r="I174">
        <f>ROUNDUP(H174/30,0)</f>
        <v/>
      </c>
      <c r="J174">
        <f>EDATE(C174,I174)</f>
        <v/>
      </c>
      <c r="K174">
        <f>G174</f>
        <v/>
      </c>
    </row>
    <row r="175">
      <c r="E175">
        <f>D175*VLOOKUP(A175,04_PROYECTOS!$A:$N,5,FALSE)*(INDEX(02B_ESCENARIOS!$B$4:$D$11, MATCH("MULT_PRECIO", 02B_ESCENARIOS!$A$4:$A$11, 0), MATCH("Base", 02B_ESCENARIOS!$B$3:$D$3, 0)))*INDEX(02B_ESCENARIOS!$B$15:$D$19, MATCH(VLOOKUP(A175,04_PROYECTOS!$A:$N,9,FALSE), 02B_ESCENARIOS!$A$15:$A$19, 0), MATCH("Base", 02B_ESCENARIOS!$B$14:$D$14, 0))</f>
        <v/>
      </c>
      <c r="F175">
        <f>E175*VLOOKUP(A175,04_PROYECTOS!$A:$N,6,FALSE)</f>
        <v/>
      </c>
      <c r="G175">
        <f>E175+F175</f>
        <v/>
      </c>
      <c r="H175">
        <f>IF(VLOOKUP(A175,04_PROYECTOS!$A:$N,10,FALSE)="", IF(VLOOKUP(A175,04_PROYECTOS!$A:$N,4,FALSE)="Privado", INDEX(02B_ESCENARIOS!$B$4:$D$11, MATCH("DSO_PRIVADO_DEFAULT", 02B_ESCENARIOS!$A$4:$A$11, 0), MATCH("Base", 02B_ESCENARIOS!$B$3:$D$3, 0)), IF(VLOOKUP(A175,04_PROYECTOS!$A:$N,4,FALSE)="Publico_&lt;10M",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VLOOKUP(A175,04_PROYECTOS!$A:$N,10,FALSE))</f>
        <v/>
      </c>
      <c r="I175">
        <f>ROUNDUP(H175/30,0)</f>
        <v/>
      </c>
      <c r="J175">
        <f>EDATE(C175,I175)</f>
        <v/>
      </c>
      <c r="K175">
        <f>G175</f>
        <v/>
      </c>
    </row>
    <row r="176">
      <c r="E176">
        <f>D176*VLOOKUP(A176,04_PROYECTOS!$A:$N,5,FALSE)*(INDEX(02B_ESCENARIOS!$B$4:$D$11, MATCH("MULT_PRECIO", 02B_ESCENARIOS!$A$4:$A$11, 0), MATCH("Base", 02B_ESCENARIOS!$B$3:$D$3, 0)))*INDEX(02B_ESCENARIOS!$B$15:$D$19, MATCH(VLOOKUP(A176,04_PROYECTOS!$A:$N,9,FALSE), 02B_ESCENARIOS!$A$15:$A$19, 0), MATCH("Base", 02B_ESCENARIOS!$B$14:$D$14, 0))</f>
        <v/>
      </c>
      <c r="F176">
        <f>E176*VLOOKUP(A176,04_PROYECTOS!$A:$N,6,FALSE)</f>
        <v/>
      </c>
      <c r="G176">
        <f>E176+F176</f>
        <v/>
      </c>
      <c r="H176">
        <f>IF(VLOOKUP(A176,04_PROYECTOS!$A:$N,10,FALSE)="", IF(VLOOKUP(A176,04_PROYECTOS!$A:$N,4,FALSE)="Privado", INDEX(02B_ESCENARIOS!$B$4:$D$11, MATCH("DSO_PRIVADO_DEFAULT", 02B_ESCENARIOS!$A$4:$A$11, 0), MATCH("Base", 02B_ESCENARIOS!$B$3:$D$3, 0)), IF(VLOOKUP(A176,04_PROYECTOS!$A:$N,4,FALSE)="Publico_&lt;10M",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VLOOKUP(A176,04_PROYECTOS!$A:$N,10,FALSE))</f>
        <v/>
      </c>
      <c r="I176">
        <f>ROUNDUP(H176/30,0)</f>
        <v/>
      </c>
      <c r="J176">
        <f>EDATE(C176,I176)</f>
        <v/>
      </c>
      <c r="K176">
        <f>G176</f>
        <v/>
      </c>
    </row>
    <row r="177">
      <c r="E177">
        <f>D177*VLOOKUP(A177,04_PROYECTOS!$A:$N,5,FALSE)*(INDEX(02B_ESCENARIOS!$B$4:$D$11, MATCH("MULT_PRECIO", 02B_ESCENARIOS!$A$4:$A$11, 0), MATCH("Base", 02B_ESCENARIOS!$B$3:$D$3, 0)))*INDEX(02B_ESCENARIOS!$B$15:$D$19, MATCH(VLOOKUP(A177,04_PROYECTOS!$A:$N,9,FALSE), 02B_ESCENARIOS!$A$15:$A$19, 0), MATCH("Base", 02B_ESCENARIOS!$B$14:$D$14, 0))</f>
        <v/>
      </c>
      <c r="F177">
        <f>E177*VLOOKUP(A177,04_PROYECTOS!$A:$N,6,FALSE)</f>
        <v/>
      </c>
      <c r="G177">
        <f>E177+F177</f>
        <v/>
      </c>
      <c r="H177">
        <f>IF(VLOOKUP(A177,04_PROYECTOS!$A:$N,10,FALSE)="", IF(VLOOKUP(A177,04_PROYECTOS!$A:$N,4,FALSE)="Privado", INDEX(02B_ESCENARIOS!$B$4:$D$11, MATCH("DSO_PRIVADO_DEFAULT", 02B_ESCENARIOS!$A$4:$A$11, 0), MATCH("Base", 02B_ESCENARIOS!$B$3:$D$3, 0)), IF(VLOOKUP(A177,04_PROYECTOS!$A:$N,4,FALSE)="Publico_&lt;10M",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VLOOKUP(A177,04_PROYECTOS!$A:$N,10,FALSE))</f>
        <v/>
      </c>
      <c r="I177">
        <f>ROUNDUP(H177/30,0)</f>
        <v/>
      </c>
      <c r="J177">
        <f>EDATE(C177,I177)</f>
        <v/>
      </c>
      <c r="K177">
        <f>G177</f>
        <v/>
      </c>
    </row>
    <row r="178">
      <c r="E178">
        <f>D178*VLOOKUP(A178,04_PROYECTOS!$A:$N,5,FALSE)*(INDEX(02B_ESCENARIOS!$B$4:$D$11, MATCH("MULT_PRECIO", 02B_ESCENARIOS!$A$4:$A$11, 0), MATCH("Base", 02B_ESCENARIOS!$B$3:$D$3, 0)))*INDEX(02B_ESCENARIOS!$B$15:$D$19, MATCH(VLOOKUP(A178,04_PROYECTOS!$A:$N,9,FALSE), 02B_ESCENARIOS!$A$15:$A$19, 0), MATCH("Base", 02B_ESCENARIOS!$B$14:$D$14, 0))</f>
        <v/>
      </c>
      <c r="F178">
        <f>E178*VLOOKUP(A178,04_PROYECTOS!$A:$N,6,FALSE)</f>
        <v/>
      </c>
      <c r="G178">
        <f>E178+F178</f>
        <v/>
      </c>
      <c r="H178">
        <f>IF(VLOOKUP(A178,04_PROYECTOS!$A:$N,10,FALSE)="", IF(VLOOKUP(A178,04_PROYECTOS!$A:$N,4,FALSE)="Privado", INDEX(02B_ESCENARIOS!$B$4:$D$11, MATCH("DSO_PRIVADO_DEFAULT", 02B_ESCENARIOS!$A$4:$A$11, 0), MATCH("Base", 02B_ESCENARIOS!$B$3:$D$3, 0)), IF(VLOOKUP(A178,04_PROYECTOS!$A:$N,4,FALSE)="Publico_&lt;10M",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VLOOKUP(A178,04_PROYECTOS!$A:$N,10,FALSE))</f>
        <v/>
      </c>
      <c r="I178">
        <f>ROUNDUP(H178/30,0)</f>
        <v/>
      </c>
      <c r="J178">
        <f>EDATE(C178,I178)</f>
        <v/>
      </c>
      <c r="K178">
        <f>G178</f>
        <v/>
      </c>
    </row>
    <row r="179">
      <c r="E179">
        <f>D179*VLOOKUP(A179,04_PROYECTOS!$A:$N,5,FALSE)*(INDEX(02B_ESCENARIOS!$B$4:$D$11, MATCH("MULT_PRECIO", 02B_ESCENARIOS!$A$4:$A$11, 0), MATCH("Base", 02B_ESCENARIOS!$B$3:$D$3, 0)))*INDEX(02B_ESCENARIOS!$B$15:$D$19, MATCH(VLOOKUP(A179,04_PROYECTOS!$A:$N,9,FALSE), 02B_ESCENARIOS!$A$15:$A$19, 0), MATCH("Base", 02B_ESCENARIOS!$B$14:$D$14, 0))</f>
        <v/>
      </c>
      <c r="F179">
        <f>E179*VLOOKUP(A179,04_PROYECTOS!$A:$N,6,FALSE)</f>
        <v/>
      </c>
      <c r="G179">
        <f>E179+F179</f>
        <v/>
      </c>
      <c r="H179">
        <f>IF(VLOOKUP(A179,04_PROYECTOS!$A:$N,10,FALSE)="", IF(VLOOKUP(A179,04_PROYECTOS!$A:$N,4,FALSE)="Privado", INDEX(02B_ESCENARIOS!$B$4:$D$11, MATCH("DSO_PRIVADO_DEFAULT", 02B_ESCENARIOS!$A$4:$A$11, 0), MATCH("Base", 02B_ESCENARIOS!$B$3:$D$3, 0)), IF(VLOOKUP(A179,04_PROYECTOS!$A:$N,4,FALSE)="Publico_&lt;10M",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VLOOKUP(A179,04_PROYECTOS!$A:$N,10,FALSE))</f>
        <v/>
      </c>
      <c r="I179">
        <f>ROUNDUP(H179/30,0)</f>
        <v/>
      </c>
      <c r="J179">
        <f>EDATE(C179,I179)</f>
        <v/>
      </c>
      <c r="K179">
        <f>G179</f>
        <v/>
      </c>
    </row>
    <row r="180">
      <c r="E180">
        <f>D180*VLOOKUP(A180,04_PROYECTOS!$A:$N,5,FALSE)*(INDEX(02B_ESCENARIOS!$B$4:$D$11, MATCH("MULT_PRECIO", 02B_ESCENARIOS!$A$4:$A$11, 0), MATCH("Base", 02B_ESCENARIOS!$B$3:$D$3, 0)))*INDEX(02B_ESCENARIOS!$B$15:$D$19, MATCH(VLOOKUP(A180,04_PROYECTOS!$A:$N,9,FALSE), 02B_ESCENARIOS!$A$15:$A$19, 0), MATCH("Base", 02B_ESCENARIOS!$B$14:$D$14, 0))</f>
        <v/>
      </c>
      <c r="F180">
        <f>E180*VLOOKUP(A180,04_PROYECTOS!$A:$N,6,FALSE)</f>
        <v/>
      </c>
      <c r="G180">
        <f>E180+F180</f>
        <v/>
      </c>
      <c r="H180">
        <f>IF(VLOOKUP(A180,04_PROYECTOS!$A:$N,10,FALSE)="", IF(VLOOKUP(A180,04_PROYECTOS!$A:$N,4,FALSE)="Privado", INDEX(02B_ESCENARIOS!$B$4:$D$11, MATCH("DSO_PRIVADO_DEFAULT", 02B_ESCENARIOS!$A$4:$A$11, 0), MATCH("Base", 02B_ESCENARIOS!$B$3:$D$3, 0)), IF(VLOOKUP(A180,04_PROYECTOS!$A:$N,4,FALSE)="Publico_&lt;10M",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VLOOKUP(A180,04_PROYECTOS!$A:$N,10,FALSE))</f>
        <v/>
      </c>
      <c r="I180">
        <f>ROUNDUP(H180/30,0)</f>
        <v/>
      </c>
      <c r="J180">
        <f>EDATE(C180,I180)</f>
        <v/>
      </c>
      <c r="K180">
        <f>G180</f>
        <v/>
      </c>
    </row>
    <row r="181">
      <c r="E181">
        <f>D181*VLOOKUP(A181,04_PROYECTOS!$A:$N,5,FALSE)*(INDEX(02B_ESCENARIOS!$B$4:$D$11, MATCH("MULT_PRECIO", 02B_ESCENARIOS!$A$4:$A$11, 0), MATCH("Base", 02B_ESCENARIOS!$B$3:$D$3, 0)))*INDEX(02B_ESCENARIOS!$B$15:$D$19, MATCH(VLOOKUP(A181,04_PROYECTOS!$A:$N,9,FALSE), 02B_ESCENARIOS!$A$15:$A$19, 0), MATCH("Base", 02B_ESCENARIOS!$B$14:$D$14, 0))</f>
        <v/>
      </c>
      <c r="F181">
        <f>E181*VLOOKUP(A181,04_PROYECTOS!$A:$N,6,FALSE)</f>
        <v/>
      </c>
      <c r="G181">
        <f>E181+F181</f>
        <v/>
      </c>
      <c r="H181">
        <f>IF(VLOOKUP(A181,04_PROYECTOS!$A:$N,10,FALSE)="", IF(VLOOKUP(A181,04_PROYECTOS!$A:$N,4,FALSE)="Privado", INDEX(02B_ESCENARIOS!$B$4:$D$11, MATCH("DSO_PRIVADO_DEFAULT", 02B_ESCENARIOS!$A$4:$A$11, 0), MATCH("Base", 02B_ESCENARIOS!$B$3:$D$3, 0)), IF(VLOOKUP(A181,04_PROYECTOS!$A:$N,4,FALSE)="Publico_&lt;10M",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VLOOKUP(A181,04_PROYECTOS!$A:$N,10,FALSE))</f>
        <v/>
      </c>
      <c r="I181">
        <f>ROUNDUP(H181/30,0)</f>
        <v/>
      </c>
      <c r="J181">
        <f>EDATE(C181,I181)</f>
        <v/>
      </c>
      <c r="K181">
        <f>G181</f>
        <v/>
      </c>
    </row>
    <row r="182">
      <c r="E182">
        <f>D182*VLOOKUP(A182,04_PROYECTOS!$A:$N,5,FALSE)*(INDEX(02B_ESCENARIOS!$B$4:$D$11, MATCH("MULT_PRECIO", 02B_ESCENARIOS!$A$4:$A$11, 0), MATCH("Base", 02B_ESCENARIOS!$B$3:$D$3, 0)))*INDEX(02B_ESCENARIOS!$B$15:$D$19, MATCH(VLOOKUP(A182,04_PROYECTOS!$A:$N,9,FALSE), 02B_ESCENARIOS!$A$15:$A$19, 0), MATCH("Base", 02B_ESCENARIOS!$B$14:$D$14, 0))</f>
        <v/>
      </c>
      <c r="F182">
        <f>E182*VLOOKUP(A182,04_PROYECTOS!$A:$N,6,FALSE)</f>
        <v/>
      </c>
      <c r="G182">
        <f>E182+F182</f>
        <v/>
      </c>
      <c r="H182">
        <f>IF(VLOOKUP(A182,04_PROYECTOS!$A:$N,10,FALSE)="", IF(VLOOKUP(A182,04_PROYECTOS!$A:$N,4,FALSE)="Privado", INDEX(02B_ESCENARIOS!$B$4:$D$11, MATCH("DSO_PRIVADO_DEFAULT", 02B_ESCENARIOS!$A$4:$A$11, 0), MATCH("Base", 02B_ESCENARIOS!$B$3:$D$3, 0)), IF(VLOOKUP(A182,04_PROYECTOS!$A:$N,4,FALSE)="Publico_&lt;10M",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VLOOKUP(A182,04_PROYECTOS!$A:$N,10,FALSE))</f>
        <v/>
      </c>
      <c r="I182">
        <f>ROUNDUP(H182/30,0)</f>
        <v/>
      </c>
      <c r="J182">
        <f>EDATE(C182,I182)</f>
        <v/>
      </c>
      <c r="K182">
        <f>G182</f>
        <v/>
      </c>
    </row>
    <row r="183">
      <c r="E183">
        <f>D183*VLOOKUP(A183,04_PROYECTOS!$A:$N,5,FALSE)*(INDEX(02B_ESCENARIOS!$B$4:$D$11, MATCH("MULT_PRECIO", 02B_ESCENARIOS!$A$4:$A$11, 0), MATCH("Base", 02B_ESCENARIOS!$B$3:$D$3, 0)))*INDEX(02B_ESCENARIOS!$B$15:$D$19, MATCH(VLOOKUP(A183,04_PROYECTOS!$A:$N,9,FALSE), 02B_ESCENARIOS!$A$15:$A$19, 0), MATCH("Base", 02B_ESCENARIOS!$B$14:$D$14, 0))</f>
        <v/>
      </c>
      <c r="F183">
        <f>E183*VLOOKUP(A183,04_PROYECTOS!$A:$N,6,FALSE)</f>
        <v/>
      </c>
      <c r="G183">
        <f>E183+F183</f>
        <v/>
      </c>
      <c r="H183">
        <f>IF(VLOOKUP(A183,04_PROYECTOS!$A:$N,10,FALSE)="", IF(VLOOKUP(A183,04_PROYECTOS!$A:$N,4,FALSE)="Privado", INDEX(02B_ESCENARIOS!$B$4:$D$11, MATCH("DSO_PRIVADO_DEFAULT", 02B_ESCENARIOS!$A$4:$A$11, 0), MATCH("Base", 02B_ESCENARIOS!$B$3:$D$3, 0)), IF(VLOOKUP(A183,04_PROYECTOS!$A:$N,4,FALSE)="Publico_&lt;10M",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VLOOKUP(A183,04_PROYECTOS!$A:$N,10,FALSE))</f>
        <v/>
      </c>
      <c r="I183">
        <f>ROUNDUP(H183/30,0)</f>
        <v/>
      </c>
      <c r="J183">
        <f>EDATE(C183,I183)</f>
        <v/>
      </c>
      <c r="K183">
        <f>G183</f>
        <v/>
      </c>
    </row>
    <row r="184">
      <c r="E184">
        <f>D184*VLOOKUP(A184,04_PROYECTOS!$A:$N,5,FALSE)*(INDEX(02B_ESCENARIOS!$B$4:$D$11, MATCH("MULT_PRECIO", 02B_ESCENARIOS!$A$4:$A$11, 0), MATCH("Base", 02B_ESCENARIOS!$B$3:$D$3, 0)))*INDEX(02B_ESCENARIOS!$B$15:$D$19, MATCH(VLOOKUP(A184,04_PROYECTOS!$A:$N,9,FALSE), 02B_ESCENARIOS!$A$15:$A$19, 0), MATCH("Base", 02B_ESCENARIOS!$B$14:$D$14, 0))</f>
        <v/>
      </c>
      <c r="F184">
        <f>E184*VLOOKUP(A184,04_PROYECTOS!$A:$N,6,FALSE)</f>
        <v/>
      </c>
      <c r="G184">
        <f>E184+F184</f>
        <v/>
      </c>
      <c r="H184">
        <f>IF(VLOOKUP(A184,04_PROYECTOS!$A:$N,10,FALSE)="", IF(VLOOKUP(A184,04_PROYECTOS!$A:$N,4,FALSE)="Privado", INDEX(02B_ESCENARIOS!$B$4:$D$11, MATCH("DSO_PRIVADO_DEFAULT", 02B_ESCENARIOS!$A$4:$A$11, 0), MATCH("Base", 02B_ESCENARIOS!$B$3:$D$3, 0)), IF(VLOOKUP(A184,04_PROYECTOS!$A:$N,4,FALSE)="Publico_&lt;10M",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VLOOKUP(A184,04_PROYECTOS!$A:$N,10,FALSE))</f>
        <v/>
      </c>
      <c r="I184">
        <f>ROUNDUP(H184/30,0)</f>
        <v/>
      </c>
      <c r="J184">
        <f>EDATE(C184,I184)</f>
        <v/>
      </c>
      <c r="K184">
        <f>G184</f>
        <v/>
      </c>
    </row>
    <row r="185">
      <c r="E185">
        <f>D185*VLOOKUP(A185,04_PROYECTOS!$A:$N,5,FALSE)*(INDEX(02B_ESCENARIOS!$B$4:$D$11, MATCH("MULT_PRECIO", 02B_ESCENARIOS!$A$4:$A$11, 0), MATCH("Base", 02B_ESCENARIOS!$B$3:$D$3, 0)))*INDEX(02B_ESCENARIOS!$B$15:$D$19, MATCH(VLOOKUP(A185,04_PROYECTOS!$A:$N,9,FALSE), 02B_ESCENARIOS!$A$15:$A$19, 0), MATCH("Base", 02B_ESCENARIOS!$B$14:$D$14, 0))</f>
        <v/>
      </c>
      <c r="F185">
        <f>E185*VLOOKUP(A185,04_PROYECTOS!$A:$N,6,FALSE)</f>
        <v/>
      </c>
      <c r="G185">
        <f>E185+F185</f>
        <v/>
      </c>
      <c r="H185">
        <f>IF(VLOOKUP(A185,04_PROYECTOS!$A:$N,10,FALSE)="", IF(VLOOKUP(A185,04_PROYECTOS!$A:$N,4,FALSE)="Privado", INDEX(02B_ESCENARIOS!$B$4:$D$11, MATCH("DSO_PRIVADO_DEFAULT", 02B_ESCENARIOS!$A$4:$A$11, 0), MATCH("Base", 02B_ESCENARIOS!$B$3:$D$3, 0)), IF(VLOOKUP(A185,04_PROYECTOS!$A:$N,4,FALSE)="Publico_&lt;10M",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VLOOKUP(A185,04_PROYECTOS!$A:$N,10,FALSE))</f>
        <v/>
      </c>
      <c r="I185">
        <f>ROUNDUP(H185/30,0)</f>
        <v/>
      </c>
      <c r="J185">
        <f>EDATE(C185,I185)</f>
        <v/>
      </c>
      <c r="K185">
        <f>G185</f>
        <v/>
      </c>
    </row>
    <row r="186">
      <c r="E186">
        <f>D186*VLOOKUP(A186,04_PROYECTOS!$A:$N,5,FALSE)*(INDEX(02B_ESCENARIOS!$B$4:$D$11, MATCH("MULT_PRECIO", 02B_ESCENARIOS!$A$4:$A$11, 0), MATCH("Base", 02B_ESCENARIOS!$B$3:$D$3, 0)))*INDEX(02B_ESCENARIOS!$B$15:$D$19, MATCH(VLOOKUP(A186,04_PROYECTOS!$A:$N,9,FALSE), 02B_ESCENARIOS!$A$15:$A$19, 0), MATCH("Base", 02B_ESCENARIOS!$B$14:$D$14, 0))</f>
        <v/>
      </c>
      <c r="F186">
        <f>E186*VLOOKUP(A186,04_PROYECTOS!$A:$N,6,FALSE)</f>
        <v/>
      </c>
      <c r="G186">
        <f>E186+F186</f>
        <v/>
      </c>
      <c r="H186">
        <f>IF(VLOOKUP(A186,04_PROYECTOS!$A:$N,10,FALSE)="", IF(VLOOKUP(A186,04_PROYECTOS!$A:$N,4,FALSE)="Privado", INDEX(02B_ESCENARIOS!$B$4:$D$11, MATCH("DSO_PRIVADO_DEFAULT", 02B_ESCENARIOS!$A$4:$A$11, 0), MATCH("Base", 02B_ESCENARIOS!$B$3:$D$3, 0)), IF(VLOOKUP(A186,04_PROYECTOS!$A:$N,4,FALSE)="Publico_&lt;10M",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VLOOKUP(A186,04_PROYECTOS!$A:$N,10,FALSE))</f>
        <v/>
      </c>
      <c r="I186">
        <f>ROUNDUP(H186/30,0)</f>
        <v/>
      </c>
      <c r="J186">
        <f>EDATE(C186,I186)</f>
        <v/>
      </c>
      <c r="K186">
        <f>G186</f>
        <v/>
      </c>
    </row>
    <row r="187">
      <c r="E187">
        <f>D187*VLOOKUP(A187,04_PROYECTOS!$A:$N,5,FALSE)*(INDEX(02B_ESCENARIOS!$B$4:$D$11, MATCH("MULT_PRECIO", 02B_ESCENARIOS!$A$4:$A$11, 0), MATCH("Base", 02B_ESCENARIOS!$B$3:$D$3, 0)))*INDEX(02B_ESCENARIOS!$B$15:$D$19, MATCH(VLOOKUP(A187,04_PROYECTOS!$A:$N,9,FALSE), 02B_ESCENARIOS!$A$15:$A$19, 0), MATCH("Base", 02B_ESCENARIOS!$B$14:$D$14, 0))</f>
        <v/>
      </c>
      <c r="F187">
        <f>E187*VLOOKUP(A187,04_PROYECTOS!$A:$N,6,FALSE)</f>
        <v/>
      </c>
      <c r="G187">
        <f>E187+F187</f>
        <v/>
      </c>
      <c r="H187">
        <f>IF(VLOOKUP(A187,04_PROYECTOS!$A:$N,10,FALSE)="", IF(VLOOKUP(A187,04_PROYECTOS!$A:$N,4,FALSE)="Privado", INDEX(02B_ESCENARIOS!$B$4:$D$11, MATCH("DSO_PRIVADO_DEFAULT", 02B_ESCENARIOS!$A$4:$A$11, 0), MATCH("Base", 02B_ESCENARIOS!$B$3:$D$3, 0)), IF(VLOOKUP(A187,04_PROYECTOS!$A:$N,4,FALSE)="Publico_&lt;10M",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VLOOKUP(A187,04_PROYECTOS!$A:$N,10,FALSE))</f>
        <v/>
      </c>
      <c r="I187">
        <f>ROUNDUP(H187/30,0)</f>
        <v/>
      </c>
      <c r="J187">
        <f>EDATE(C187,I187)</f>
        <v/>
      </c>
      <c r="K187">
        <f>G187</f>
        <v/>
      </c>
    </row>
    <row r="188">
      <c r="E188">
        <f>D188*VLOOKUP(A188,04_PROYECTOS!$A:$N,5,FALSE)*(INDEX(02B_ESCENARIOS!$B$4:$D$11, MATCH("MULT_PRECIO", 02B_ESCENARIOS!$A$4:$A$11, 0), MATCH("Base", 02B_ESCENARIOS!$B$3:$D$3, 0)))*INDEX(02B_ESCENARIOS!$B$15:$D$19, MATCH(VLOOKUP(A188,04_PROYECTOS!$A:$N,9,FALSE), 02B_ESCENARIOS!$A$15:$A$19, 0), MATCH("Base", 02B_ESCENARIOS!$B$14:$D$14, 0))</f>
        <v/>
      </c>
      <c r="F188">
        <f>E188*VLOOKUP(A188,04_PROYECTOS!$A:$N,6,FALSE)</f>
        <v/>
      </c>
      <c r="G188">
        <f>E188+F188</f>
        <v/>
      </c>
      <c r="H188">
        <f>IF(VLOOKUP(A188,04_PROYECTOS!$A:$N,10,FALSE)="", IF(VLOOKUP(A188,04_PROYECTOS!$A:$N,4,FALSE)="Privado", INDEX(02B_ESCENARIOS!$B$4:$D$11, MATCH("DSO_PRIVADO_DEFAULT", 02B_ESCENARIOS!$A$4:$A$11, 0), MATCH("Base", 02B_ESCENARIOS!$B$3:$D$3, 0)), IF(VLOOKUP(A188,04_PROYECTOS!$A:$N,4,FALSE)="Publico_&lt;10M",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VLOOKUP(A188,04_PROYECTOS!$A:$N,10,FALSE))</f>
        <v/>
      </c>
      <c r="I188">
        <f>ROUNDUP(H188/30,0)</f>
        <v/>
      </c>
      <c r="J188">
        <f>EDATE(C188,I188)</f>
        <v/>
      </c>
      <c r="K188">
        <f>G188</f>
        <v/>
      </c>
    </row>
    <row r="189">
      <c r="E189">
        <f>D189*VLOOKUP(A189,04_PROYECTOS!$A:$N,5,FALSE)*(INDEX(02B_ESCENARIOS!$B$4:$D$11, MATCH("MULT_PRECIO", 02B_ESCENARIOS!$A$4:$A$11, 0), MATCH("Base", 02B_ESCENARIOS!$B$3:$D$3, 0)))*INDEX(02B_ESCENARIOS!$B$15:$D$19, MATCH(VLOOKUP(A189,04_PROYECTOS!$A:$N,9,FALSE), 02B_ESCENARIOS!$A$15:$A$19, 0), MATCH("Base", 02B_ESCENARIOS!$B$14:$D$14, 0))</f>
        <v/>
      </c>
      <c r="F189">
        <f>E189*VLOOKUP(A189,04_PROYECTOS!$A:$N,6,FALSE)</f>
        <v/>
      </c>
      <c r="G189">
        <f>E189+F189</f>
        <v/>
      </c>
      <c r="H189">
        <f>IF(VLOOKUP(A189,04_PROYECTOS!$A:$N,10,FALSE)="", IF(VLOOKUP(A189,04_PROYECTOS!$A:$N,4,FALSE)="Privado", INDEX(02B_ESCENARIOS!$B$4:$D$11, MATCH("DSO_PRIVADO_DEFAULT", 02B_ESCENARIOS!$A$4:$A$11, 0), MATCH("Base", 02B_ESCENARIOS!$B$3:$D$3, 0)), IF(VLOOKUP(A189,04_PROYECTOS!$A:$N,4,FALSE)="Publico_&lt;10M",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VLOOKUP(A189,04_PROYECTOS!$A:$N,10,FALSE))</f>
        <v/>
      </c>
      <c r="I189">
        <f>ROUNDUP(H189/30,0)</f>
        <v/>
      </c>
      <c r="J189">
        <f>EDATE(C189,I189)</f>
        <v/>
      </c>
      <c r="K189">
        <f>G189</f>
        <v/>
      </c>
    </row>
    <row r="190">
      <c r="E190">
        <f>D190*VLOOKUP(A190,04_PROYECTOS!$A:$N,5,FALSE)*(INDEX(02B_ESCENARIOS!$B$4:$D$11, MATCH("MULT_PRECIO", 02B_ESCENARIOS!$A$4:$A$11, 0), MATCH("Base", 02B_ESCENARIOS!$B$3:$D$3, 0)))*INDEX(02B_ESCENARIOS!$B$15:$D$19, MATCH(VLOOKUP(A190,04_PROYECTOS!$A:$N,9,FALSE), 02B_ESCENARIOS!$A$15:$A$19, 0), MATCH("Base", 02B_ESCENARIOS!$B$14:$D$14, 0))</f>
        <v/>
      </c>
      <c r="F190">
        <f>E190*VLOOKUP(A190,04_PROYECTOS!$A:$N,6,FALSE)</f>
        <v/>
      </c>
      <c r="G190">
        <f>E190+F190</f>
        <v/>
      </c>
      <c r="H190">
        <f>IF(VLOOKUP(A190,04_PROYECTOS!$A:$N,10,FALSE)="", IF(VLOOKUP(A190,04_PROYECTOS!$A:$N,4,FALSE)="Privado", INDEX(02B_ESCENARIOS!$B$4:$D$11, MATCH("DSO_PRIVADO_DEFAULT", 02B_ESCENARIOS!$A$4:$A$11, 0), MATCH("Base", 02B_ESCENARIOS!$B$3:$D$3, 0)), IF(VLOOKUP(A190,04_PROYECTOS!$A:$N,4,FALSE)="Publico_&lt;10M",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VLOOKUP(A190,04_PROYECTOS!$A:$N,10,FALSE))</f>
        <v/>
      </c>
      <c r="I190">
        <f>ROUNDUP(H190/30,0)</f>
        <v/>
      </c>
      <c r="J190">
        <f>EDATE(C190,I190)</f>
        <v/>
      </c>
      <c r="K190">
        <f>G190</f>
        <v/>
      </c>
    </row>
    <row r="191">
      <c r="E191">
        <f>D191*VLOOKUP(A191,04_PROYECTOS!$A:$N,5,FALSE)*(INDEX(02B_ESCENARIOS!$B$4:$D$11, MATCH("MULT_PRECIO", 02B_ESCENARIOS!$A$4:$A$11, 0), MATCH("Base", 02B_ESCENARIOS!$B$3:$D$3, 0)))*INDEX(02B_ESCENARIOS!$B$15:$D$19, MATCH(VLOOKUP(A191,04_PROYECTOS!$A:$N,9,FALSE), 02B_ESCENARIOS!$A$15:$A$19, 0), MATCH("Base", 02B_ESCENARIOS!$B$14:$D$14, 0))</f>
        <v/>
      </c>
      <c r="F191">
        <f>E191*VLOOKUP(A191,04_PROYECTOS!$A:$N,6,FALSE)</f>
        <v/>
      </c>
      <c r="G191">
        <f>E191+F191</f>
        <v/>
      </c>
      <c r="H191">
        <f>IF(VLOOKUP(A191,04_PROYECTOS!$A:$N,10,FALSE)="", IF(VLOOKUP(A191,04_PROYECTOS!$A:$N,4,FALSE)="Privado", INDEX(02B_ESCENARIOS!$B$4:$D$11, MATCH("DSO_PRIVADO_DEFAULT", 02B_ESCENARIOS!$A$4:$A$11, 0), MATCH("Base", 02B_ESCENARIOS!$B$3:$D$3, 0)), IF(VLOOKUP(A191,04_PROYECTOS!$A:$N,4,FALSE)="Publico_&lt;10M",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VLOOKUP(A191,04_PROYECTOS!$A:$N,10,FALSE))</f>
        <v/>
      </c>
      <c r="I191">
        <f>ROUNDUP(H191/30,0)</f>
        <v/>
      </c>
      <c r="J191">
        <f>EDATE(C191,I191)</f>
        <v/>
      </c>
      <c r="K191">
        <f>G191</f>
        <v/>
      </c>
    </row>
    <row r="192">
      <c r="E192">
        <f>D192*VLOOKUP(A192,04_PROYECTOS!$A:$N,5,FALSE)*(INDEX(02B_ESCENARIOS!$B$4:$D$11, MATCH("MULT_PRECIO", 02B_ESCENARIOS!$A$4:$A$11, 0), MATCH("Base", 02B_ESCENARIOS!$B$3:$D$3, 0)))*INDEX(02B_ESCENARIOS!$B$15:$D$19, MATCH(VLOOKUP(A192,04_PROYECTOS!$A:$N,9,FALSE), 02B_ESCENARIOS!$A$15:$A$19, 0), MATCH("Base", 02B_ESCENARIOS!$B$14:$D$14, 0))</f>
        <v/>
      </c>
      <c r="F192">
        <f>E192*VLOOKUP(A192,04_PROYECTOS!$A:$N,6,FALSE)</f>
        <v/>
      </c>
      <c r="G192">
        <f>E192+F192</f>
        <v/>
      </c>
      <c r="H192">
        <f>IF(VLOOKUP(A192,04_PROYECTOS!$A:$N,10,FALSE)="", IF(VLOOKUP(A192,04_PROYECTOS!$A:$N,4,FALSE)="Privado", INDEX(02B_ESCENARIOS!$B$4:$D$11, MATCH("DSO_PRIVADO_DEFAULT", 02B_ESCENARIOS!$A$4:$A$11, 0), MATCH("Base", 02B_ESCENARIOS!$B$3:$D$3, 0)), IF(VLOOKUP(A192,04_PROYECTOS!$A:$N,4,FALSE)="Publico_&lt;10M",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VLOOKUP(A192,04_PROYECTOS!$A:$N,10,FALSE))</f>
        <v/>
      </c>
      <c r="I192">
        <f>ROUNDUP(H192/30,0)</f>
        <v/>
      </c>
      <c r="J192">
        <f>EDATE(C192,I192)</f>
        <v/>
      </c>
      <c r="K192">
        <f>G192</f>
        <v/>
      </c>
    </row>
    <row r="193">
      <c r="E193">
        <f>D193*VLOOKUP(A193,04_PROYECTOS!$A:$N,5,FALSE)*(INDEX(02B_ESCENARIOS!$B$4:$D$11, MATCH("MULT_PRECIO", 02B_ESCENARIOS!$A$4:$A$11, 0), MATCH("Base", 02B_ESCENARIOS!$B$3:$D$3, 0)))*INDEX(02B_ESCENARIOS!$B$15:$D$19, MATCH(VLOOKUP(A193,04_PROYECTOS!$A:$N,9,FALSE), 02B_ESCENARIOS!$A$15:$A$19, 0), MATCH("Base", 02B_ESCENARIOS!$B$14:$D$14, 0))</f>
        <v/>
      </c>
      <c r="F193">
        <f>E193*VLOOKUP(A193,04_PROYECTOS!$A:$N,6,FALSE)</f>
        <v/>
      </c>
      <c r="G193">
        <f>E193+F193</f>
        <v/>
      </c>
      <c r="H193">
        <f>IF(VLOOKUP(A193,04_PROYECTOS!$A:$N,10,FALSE)="", IF(VLOOKUP(A193,04_PROYECTOS!$A:$N,4,FALSE)="Privado", INDEX(02B_ESCENARIOS!$B$4:$D$11, MATCH("DSO_PRIVADO_DEFAULT", 02B_ESCENARIOS!$A$4:$A$11, 0), MATCH("Base", 02B_ESCENARIOS!$B$3:$D$3, 0)), IF(VLOOKUP(A193,04_PROYECTOS!$A:$N,4,FALSE)="Publico_&lt;10M",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VLOOKUP(A193,04_PROYECTOS!$A:$N,10,FALSE))</f>
        <v/>
      </c>
      <c r="I193">
        <f>ROUNDUP(H193/30,0)</f>
        <v/>
      </c>
      <c r="J193">
        <f>EDATE(C193,I193)</f>
        <v/>
      </c>
      <c r="K193">
        <f>G193</f>
        <v/>
      </c>
    </row>
    <row r="194">
      <c r="E194">
        <f>D194*VLOOKUP(A194,04_PROYECTOS!$A:$N,5,FALSE)*(INDEX(02B_ESCENARIOS!$B$4:$D$11, MATCH("MULT_PRECIO", 02B_ESCENARIOS!$A$4:$A$11, 0), MATCH("Base", 02B_ESCENARIOS!$B$3:$D$3, 0)))*INDEX(02B_ESCENARIOS!$B$15:$D$19, MATCH(VLOOKUP(A194,04_PROYECTOS!$A:$N,9,FALSE), 02B_ESCENARIOS!$A$15:$A$19, 0), MATCH("Base", 02B_ESCENARIOS!$B$14:$D$14, 0))</f>
        <v/>
      </c>
      <c r="F194">
        <f>E194*VLOOKUP(A194,04_PROYECTOS!$A:$N,6,FALSE)</f>
        <v/>
      </c>
      <c r="G194">
        <f>E194+F194</f>
        <v/>
      </c>
      <c r="H194">
        <f>IF(VLOOKUP(A194,04_PROYECTOS!$A:$N,10,FALSE)="", IF(VLOOKUP(A194,04_PROYECTOS!$A:$N,4,FALSE)="Privado", INDEX(02B_ESCENARIOS!$B$4:$D$11, MATCH("DSO_PRIVADO_DEFAULT", 02B_ESCENARIOS!$A$4:$A$11, 0), MATCH("Base", 02B_ESCENARIOS!$B$3:$D$3, 0)), IF(VLOOKUP(A194,04_PROYECTOS!$A:$N,4,FALSE)="Publico_&lt;10M",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VLOOKUP(A194,04_PROYECTOS!$A:$N,10,FALSE))</f>
        <v/>
      </c>
      <c r="I194">
        <f>ROUNDUP(H194/30,0)</f>
        <v/>
      </c>
      <c r="J194">
        <f>EDATE(C194,I194)</f>
        <v/>
      </c>
      <c r="K194">
        <f>G194</f>
        <v/>
      </c>
    </row>
    <row r="195">
      <c r="E195">
        <f>D195*VLOOKUP(A195,04_PROYECTOS!$A:$N,5,FALSE)*(INDEX(02B_ESCENARIOS!$B$4:$D$11, MATCH("MULT_PRECIO", 02B_ESCENARIOS!$A$4:$A$11, 0), MATCH("Base", 02B_ESCENARIOS!$B$3:$D$3, 0)))*INDEX(02B_ESCENARIOS!$B$15:$D$19, MATCH(VLOOKUP(A195,04_PROYECTOS!$A:$N,9,FALSE), 02B_ESCENARIOS!$A$15:$A$19, 0), MATCH("Base", 02B_ESCENARIOS!$B$14:$D$14, 0))</f>
        <v/>
      </c>
      <c r="F195">
        <f>E195*VLOOKUP(A195,04_PROYECTOS!$A:$N,6,FALSE)</f>
        <v/>
      </c>
      <c r="G195">
        <f>E195+F195</f>
        <v/>
      </c>
      <c r="H195">
        <f>IF(VLOOKUP(A195,04_PROYECTOS!$A:$N,10,FALSE)="", IF(VLOOKUP(A195,04_PROYECTOS!$A:$N,4,FALSE)="Privado", INDEX(02B_ESCENARIOS!$B$4:$D$11, MATCH("DSO_PRIVADO_DEFAULT", 02B_ESCENARIOS!$A$4:$A$11, 0), MATCH("Base", 02B_ESCENARIOS!$B$3:$D$3, 0)), IF(VLOOKUP(A195,04_PROYECTOS!$A:$N,4,FALSE)="Publico_&lt;10M",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VLOOKUP(A195,04_PROYECTOS!$A:$N,10,FALSE))</f>
        <v/>
      </c>
      <c r="I195">
        <f>ROUNDUP(H195/30,0)</f>
        <v/>
      </c>
      <c r="J195">
        <f>EDATE(C195,I195)</f>
        <v/>
      </c>
      <c r="K195">
        <f>G195</f>
        <v/>
      </c>
    </row>
    <row r="196">
      <c r="E196">
        <f>D196*VLOOKUP(A196,04_PROYECTOS!$A:$N,5,FALSE)*(INDEX(02B_ESCENARIOS!$B$4:$D$11, MATCH("MULT_PRECIO", 02B_ESCENARIOS!$A$4:$A$11, 0), MATCH("Base", 02B_ESCENARIOS!$B$3:$D$3, 0)))*INDEX(02B_ESCENARIOS!$B$15:$D$19, MATCH(VLOOKUP(A196,04_PROYECTOS!$A:$N,9,FALSE), 02B_ESCENARIOS!$A$15:$A$19, 0), MATCH("Base", 02B_ESCENARIOS!$B$14:$D$14, 0))</f>
        <v/>
      </c>
      <c r="F196">
        <f>E196*VLOOKUP(A196,04_PROYECTOS!$A:$N,6,FALSE)</f>
        <v/>
      </c>
      <c r="G196">
        <f>E196+F196</f>
        <v/>
      </c>
      <c r="H196">
        <f>IF(VLOOKUP(A196,04_PROYECTOS!$A:$N,10,FALSE)="", IF(VLOOKUP(A196,04_PROYECTOS!$A:$N,4,FALSE)="Privado", INDEX(02B_ESCENARIOS!$B$4:$D$11, MATCH("DSO_PRIVADO_DEFAULT", 02B_ESCENARIOS!$A$4:$A$11, 0), MATCH("Base", 02B_ESCENARIOS!$B$3:$D$3, 0)), IF(VLOOKUP(A196,04_PROYECTOS!$A:$N,4,FALSE)="Publico_&lt;10M",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VLOOKUP(A196,04_PROYECTOS!$A:$N,10,FALSE))</f>
        <v/>
      </c>
      <c r="I196">
        <f>ROUNDUP(H196/30,0)</f>
        <v/>
      </c>
      <c r="J196">
        <f>EDATE(C196,I196)</f>
        <v/>
      </c>
      <c r="K196">
        <f>G196</f>
        <v/>
      </c>
    </row>
    <row r="197">
      <c r="E197">
        <f>D197*VLOOKUP(A197,04_PROYECTOS!$A:$N,5,FALSE)*(INDEX(02B_ESCENARIOS!$B$4:$D$11, MATCH("MULT_PRECIO", 02B_ESCENARIOS!$A$4:$A$11, 0), MATCH("Base", 02B_ESCENARIOS!$B$3:$D$3, 0)))*INDEX(02B_ESCENARIOS!$B$15:$D$19, MATCH(VLOOKUP(A197,04_PROYECTOS!$A:$N,9,FALSE), 02B_ESCENARIOS!$A$15:$A$19, 0), MATCH("Base", 02B_ESCENARIOS!$B$14:$D$14, 0))</f>
        <v/>
      </c>
      <c r="F197">
        <f>E197*VLOOKUP(A197,04_PROYECTOS!$A:$N,6,FALSE)</f>
        <v/>
      </c>
      <c r="G197">
        <f>E197+F197</f>
        <v/>
      </c>
      <c r="H197">
        <f>IF(VLOOKUP(A197,04_PROYECTOS!$A:$N,10,FALSE)="", IF(VLOOKUP(A197,04_PROYECTOS!$A:$N,4,FALSE)="Privado", INDEX(02B_ESCENARIOS!$B$4:$D$11, MATCH("DSO_PRIVADO_DEFAULT", 02B_ESCENARIOS!$A$4:$A$11, 0), MATCH("Base", 02B_ESCENARIOS!$B$3:$D$3, 0)), IF(VLOOKUP(A197,04_PROYECTOS!$A:$N,4,FALSE)="Publico_&lt;10M",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VLOOKUP(A197,04_PROYECTOS!$A:$N,10,FALSE))</f>
        <v/>
      </c>
      <c r="I197">
        <f>ROUNDUP(H197/30,0)</f>
        <v/>
      </c>
      <c r="J197">
        <f>EDATE(C197,I197)</f>
        <v/>
      </c>
      <c r="K197">
        <f>G197</f>
        <v/>
      </c>
    </row>
    <row r="198">
      <c r="E198">
        <f>D198*VLOOKUP(A198,04_PROYECTOS!$A:$N,5,FALSE)*(INDEX(02B_ESCENARIOS!$B$4:$D$11, MATCH("MULT_PRECIO", 02B_ESCENARIOS!$A$4:$A$11, 0), MATCH("Base", 02B_ESCENARIOS!$B$3:$D$3, 0)))*INDEX(02B_ESCENARIOS!$B$15:$D$19, MATCH(VLOOKUP(A198,04_PROYECTOS!$A:$N,9,FALSE), 02B_ESCENARIOS!$A$15:$A$19, 0), MATCH("Base", 02B_ESCENARIOS!$B$14:$D$14, 0))</f>
        <v/>
      </c>
      <c r="F198">
        <f>E198*VLOOKUP(A198,04_PROYECTOS!$A:$N,6,FALSE)</f>
        <v/>
      </c>
      <c r="G198">
        <f>E198+F198</f>
        <v/>
      </c>
      <c r="H198">
        <f>IF(VLOOKUP(A198,04_PROYECTOS!$A:$N,10,FALSE)="", IF(VLOOKUP(A198,04_PROYECTOS!$A:$N,4,FALSE)="Privado", INDEX(02B_ESCENARIOS!$B$4:$D$11, MATCH("DSO_PRIVADO_DEFAULT", 02B_ESCENARIOS!$A$4:$A$11, 0), MATCH("Base", 02B_ESCENARIOS!$B$3:$D$3, 0)), IF(VLOOKUP(A198,04_PROYECTOS!$A:$N,4,FALSE)="Publico_&lt;10M",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VLOOKUP(A198,04_PROYECTOS!$A:$N,10,FALSE))</f>
        <v/>
      </c>
      <c r="I198">
        <f>ROUNDUP(H198/30,0)</f>
        <v/>
      </c>
      <c r="J198">
        <f>EDATE(C198,I198)</f>
        <v/>
      </c>
      <c r="K198">
        <f>G198</f>
        <v/>
      </c>
    </row>
    <row r="199">
      <c r="E199">
        <f>D199*VLOOKUP(A199,04_PROYECTOS!$A:$N,5,FALSE)*(INDEX(02B_ESCENARIOS!$B$4:$D$11, MATCH("MULT_PRECIO", 02B_ESCENARIOS!$A$4:$A$11, 0), MATCH("Base", 02B_ESCENARIOS!$B$3:$D$3, 0)))*INDEX(02B_ESCENARIOS!$B$15:$D$19, MATCH(VLOOKUP(A199,04_PROYECTOS!$A:$N,9,FALSE), 02B_ESCENARIOS!$A$15:$A$19, 0), MATCH("Base", 02B_ESCENARIOS!$B$14:$D$14, 0))</f>
        <v/>
      </c>
      <c r="F199">
        <f>E199*VLOOKUP(A199,04_PROYECTOS!$A:$N,6,FALSE)</f>
        <v/>
      </c>
      <c r="G199">
        <f>E199+F199</f>
        <v/>
      </c>
      <c r="H199">
        <f>IF(VLOOKUP(A199,04_PROYECTOS!$A:$N,10,FALSE)="", IF(VLOOKUP(A199,04_PROYECTOS!$A:$N,4,FALSE)="Privado", INDEX(02B_ESCENARIOS!$B$4:$D$11, MATCH("DSO_PRIVADO_DEFAULT", 02B_ESCENARIOS!$A$4:$A$11, 0), MATCH("Base", 02B_ESCENARIOS!$B$3:$D$3, 0)), IF(VLOOKUP(A199,04_PROYECTOS!$A:$N,4,FALSE)="Publico_&lt;10M",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VLOOKUP(A199,04_PROYECTOS!$A:$N,10,FALSE))</f>
        <v/>
      </c>
      <c r="I199">
        <f>ROUNDUP(H199/30,0)</f>
        <v/>
      </c>
      <c r="J199">
        <f>EDATE(C199,I199)</f>
        <v/>
      </c>
      <c r="K199">
        <f>G199</f>
        <v/>
      </c>
    </row>
    <row r="200">
      <c r="E200">
        <f>D200*VLOOKUP(A200,04_PROYECTOS!$A:$N,5,FALSE)*(INDEX(02B_ESCENARIOS!$B$4:$D$11, MATCH("MULT_PRECIO", 02B_ESCENARIOS!$A$4:$A$11, 0), MATCH("Base", 02B_ESCENARIOS!$B$3:$D$3, 0)))*INDEX(02B_ESCENARIOS!$B$15:$D$19, MATCH(VLOOKUP(A200,04_PROYECTOS!$A:$N,9,FALSE), 02B_ESCENARIOS!$A$15:$A$19, 0), MATCH("Base", 02B_ESCENARIOS!$B$14:$D$14, 0))</f>
        <v/>
      </c>
      <c r="F200">
        <f>E200*VLOOKUP(A200,04_PROYECTOS!$A:$N,6,FALSE)</f>
        <v/>
      </c>
      <c r="G200">
        <f>E200+F200</f>
        <v/>
      </c>
      <c r="H200">
        <f>IF(VLOOKUP(A200,04_PROYECTOS!$A:$N,10,FALSE)="", IF(VLOOKUP(A200,04_PROYECTOS!$A:$N,4,FALSE)="Privado", INDEX(02B_ESCENARIOS!$B$4:$D$11, MATCH("DSO_PRIVADO_DEFAULT", 02B_ESCENARIOS!$A$4:$A$11, 0), MATCH("Base", 02B_ESCENARIOS!$B$3:$D$3, 0)), IF(VLOOKUP(A200,04_PROYECTOS!$A:$N,4,FALSE)="Publico_&lt;10M",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VLOOKUP(A200,04_PROYECTOS!$A:$N,10,FALSE))</f>
        <v/>
      </c>
      <c r="I200">
        <f>ROUNDUP(H200/30,0)</f>
        <v/>
      </c>
      <c r="J200">
        <f>EDATE(C200,I200)</f>
        <v/>
      </c>
      <c r="K200">
        <f>G200</f>
        <v/>
      </c>
    </row>
    <row r="201">
      <c r="E201">
        <f>D201*VLOOKUP(A201,04_PROYECTOS!$A:$N,5,FALSE)*(INDEX(02B_ESCENARIOS!$B$4:$D$11, MATCH("MULT_PRECIO", 02B_ESCENARIOS!$A$4:$A$11, 0), MATCH("Base", 02B_ESCENARIOS!$B$3:$D$3, 0)))*INDEX(02B_ESCENARIOS!$B$15:$D$19, MATCH(VLOOKUP(A201,04_PROYECTOS!$A:$N,9,FALSE), 02B_ESCENARIOS!$A$15:$A$19, 0), MATCH("Base", 02B_ESCENARIOS!$B$14:$D$14, 0))</f>
        <v/>
      </c>
      <c r="F201">
        <f>E201*VLOOKUP(A201,04_PROYECTOS!$A:$N,6,FALSE)</f>
        <v/>
      </c>
      <c r="G201">
        <f>E201+F201</f>
        <v/>
      </c>
      <c r="H201">
        <f>IF(VLOOKUP(A201,04_PROYECTOS!$A:$N,10,FALSE)="", IF(VLOOKUP(A201,04_PROYECTOS!$A:$N,4,FALSE)="Privado", INDEX(02B_ESCENARIOS!$B$4:$D$11, MATCH("DSO_PRIVADO_DEFAULT", 02B_ESCENARIOS!$A$4:$A$11, 0), MATCH("Base", 02B_ESCENARIOS!$B$3:$D$3, 0)), IF(VLOOKUP(A201,04_PROYECTOS!$A:$N,4,FALSE)="Publico_&lt;10M",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VLOOKUP(A201,04_PROYECTOS!$A:$N,10,FALSE))</f>
        <v/>
      </c>
      <c r="I201">
        <f>ROUNDUP(H201/30,0)</f>
        <v/>
      </c>
      <c r="J201">
        <f>EDATE(C201,I201)</f>
        <v/>
      </c>
      <c r="K201">
        <f>G201</f>
        <v/>
      </c>
    </row>
    <row r="202">
      <c r="E202">
        <f>D202*VLOOKUP(A202,04_PROYECTOS!$A:$N,5,FALSE)*(INDEX(02B_ESCENARIOS!$B$4:$D$11, MATCH("MULT_PRECIO", 02B_ESCENARIOS!$A$4:$A$11, 0), MATCH("Base", 02B_ESCENARIOS!$B$3:$D$3, 0)))*INDEX(02B_ESCENARIOS!$B$15:$D$19, MATCH(VLOOKUP(A202,04_PROYECTOS!$A:$N,9,FALSE), 02B_ESCENARIOS!$A$15:$A$19, 0), MATCH("Base", 02B_ESCENARIOS!$B$14:$D$14, 0))</f>
        <v/>
      </c>
      <c r="F202">
        <f>E202*VLOOKUP(A202,04_PROYECTOS!$A:$N,6,FALSE)</f>
        <v/>
      </c>
      <c r="G202">
        <f>E202+F202</f>
        <v/>
      </c>
      <c r="H202">
        <f>IF(VLOOKUP(A202,04_PROYECTOS!$A:$N,10,FALSE)="", IF(VLOOKUP(A202,04_PROYECTOS!$A:$N,4,FALSE)="Privado", INDEX(02B_ESCENARIOS!$B$4:$D$11, MATCH("DSO_PRIVADO_DEFAULT", 02B_ESCENARIOS!$A$4:$A$11, 0), MATCH("Base", 02B_ESCENARIOS!$B$3:$D$3, 0)), IF(VLOOKUP(A202,04_PROYECTOS!$A:$N,4,FALSE)="Publico_&lt;10M",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VLOOKUP(A202,04_PROYECTOS!$A:$N,10,FALSE))</f>
        <v/>
      </c>
      <c r="I202">
        <f>ROUNDUP(H202/30,0)</f>
        <v/>
      </c>
      <c r="J202">
        <f>EDATE(C202,I202)</f>
        <v/>
      </c>
      <c r="K202">
        <f>G202</f>
        <v/>
      </c>
    </row>
    <row r="203">
      <c r="E203">
        <f>D203*VLOOKUP(A203,04_PROYECTOS!$A:$N,5,FALSE)*(INDEX(02B_ESCENARIOS!$B$4:$D$11, MATCH("MULT_PRECIO", 02B_ESCENARIOS!$A$4:$A$11, 0), MATCH("Base", 02B_ESCENARIOS!$B$3:$D$3, 0)))*INDEX(02B_ESCENARIOS!$B$15:$D$19, MATCH(VLOOKUP(A203,04_PROYECTOS!$A:$N,9,FALSE), 02B_ESCENARIOS!$A$15:$A$19, 0), MATCH("Base", 02B_ESCENARIOS!$B$14:$D$14, 0))</f>
        <v/>
      </c>
      <c r="F203">
        <f>E203*VLOOKUP(A203,04_PROYECTOS!$A:$N,6,FALSE)</f>
        <v/>
      </c>
      <c r="G203">
        <f>E203+F203</f>
        <v/>
      </c>
      <c r="H203">
        <f>IF(VLOOKUP(A203,04_PROYECTOS!$A:$N,10,FALSE)="", IF(VLOOKUP(A203,04_PROYECTOS!$A:$N,4,FALSE)="Privado", INDEX(02B_ESCENARIOS!$B$4:$D$11, MATCH("DSO_PRIVADO_DEFAULT", 02B_ESCENARIOS!$A$4:$A$11, 0), MATCH("Base", 02B_ESCENARIOS!$B$3:$D$3, 0)), IF(VLOOKUP(A203,04_PROYECTOS!$A:$N,4,FALSE)="Publico_&lt;10M",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VLOOKUP(A203,04_PROYECTOS!$A:$N,10,FALSE))</f>
        <v/>
      </c>
      <c r="I203">
        <f>ROUNDUP(H203/30,0)</f>
        <v/>
      </c>
      <c r="J203">
        <f>EDATE(C203,I203)</f>
        <v/>
      </c>
      <c r="K203">
        <f>G203</f>
        <v/>
      </c>
    </row>
    <row r="204">
      <c r="E204">
        <f>D204*VLOOKUP(A204,04_PROYECTOS!$A:$N,5,FALSE)*(INDEX(02B_ESCENARIOS!$B$4:$D$11, MATCH("MULT_PRECIO", 02B_ESCENARIOS!$A$4:$A$11, 0), MATCH("Base", 02B_ESCENARIOS!$B$3:$D$3, 0)))*INDEX(02B_ESCENARIOS!$B$15:$D$19, MATCH(VLOOKUP(A204,04_PROYECTOS!$A:$N,9,FALSE), 02B_ESCENARIOS!$A$15:$A$19, 0), MATCH("Base", 02B_ESCENARIOS!$B$14:$D$14, 0))</f>
        <v/>
      </c>
      <c r="F204">
        <f>E204*VLOOKUP(A204,04_PROYECTOS!$A:$N,6,FALSE)</f>
        <v/>
      </c>
      <c r="G204">
        <f>E204+F204</f>
        <v/>
      </c>
      <c r="H204">
        <f>IF(VLOOKUP(A204,04_PROYECTOS!$A:$N,10,FALSE)="", IF(VLOOKUP(A204,04_PROYECTOS!$A:$N,4,FALSE)="Privado", INDEX(02B_ESCENARIOS!$B$4:$D$11, MATCH("DSO_PRIVADO_DEFAULT", 02B_ESCENARIOS!$A$4:$A$11, 0), MATCH("Base", 02B_ESCENARIOS!$B$3:$D$3, 0)), IF(VLOOKUP(A204,04_PROYECTOS!$A:$N,4,FALSE)="Publico_&lt;10M",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VLOOKUP(A204,04_PROYECTOS!$A:$N,10,FALSE))</f>
        <v/>
      </c>
      <c r="I204">
        <f>ROUNDUP(H204/30,0)</f>
        <v/>
      </c>
      <c r="J204">
        <f>EDATE(C204,I204)</f>
        <v/>
      </c>
      <c r="K204">
        <f>G204</f>
        <v/>
      </c>
    </row>
    <row r="205">
      <c r="E205">
        <f>D205*VLOOKUP(A205,04_PROYECTOS!$A:$N,5,FALSE)*(INDEX(02B_ESCENARIOS!$B$4:$D$11, MATCH("MULT_PRECIO", 02B_ESCENARIOS!$A$4:$A$11, 0), MATCH("Base", 02B_ESCENARIOS!$B$3:$D$3, 0)))*INDEX(02B_ESCENARIOS!$B$15:$D$19, MATCH(VLOOKUP(A205,04_PROYECTOS!$A:$N,9,FALSE), 02B_ESCENARIOS!$A$15:$A$19, 0), MATCH("Base", 02B_ESCENARIOS!$B$14:$D$14, 0))</f>
        <v/>
      </c>
      <c r="F205">
        <f>E205*VLOOKUP(A205,04_PROYECTOS!$A:$N,6,FALSE)</f>
        <v/>
      </c>
      <c r="G205">
        <f>E205+F205</f>
        <v/>
      </c>
      <c r="H205">
        <f>IF(VLOOKUP(A205,04_PROYECTOS!$A:$N,10,FALSE)="", IF(VLOOKUP(A205,04_PROYECTOS!$A:$N,4,FALSE)="Privado", INDEX(02B_ESCENARIOS!$B$4:$D$11, MATCH("DSO_PRIVADO_DEFAULT", 02B_ESCENARIOS!$A$4:$A$11, 0), MATCH("Base", 02B_ESCENARIOS!$B$3:$D$3, 0)), IF(VLOOKUP(A205,04_PROYECTOS!$A:$N,4,FALSE)="Publico_&lt;10M",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VLOOKUP(A205,04_PROYECTOS!$A:$N,10,FALSE))</f>
        <v/>
      </c>
      <c r="I205">
        <f>ROUNDUP(H205/30,0)</f>
        <v/>
      </c>
      <c r="J205">
        <f>EDATE(C205,I205)</f>
        <v/>
      </c>
      <c r="K205">
        <f>G205</f>
        <v/>
      </c>
    </row>
    <row r="206">
      <c r="E206">
        <f>D206*VLOOKUP(A206,04_PROYECTOS!$A:$N,5,FALSE)*(INDEX(02B_ESCENARIOS!$B$4:$D$11, MATCH("MULT_PRECIO", 02B_ESCENARIOS!$A$4:$A$11, 0), MATCH("Base", 02B_ESCENARIOS!$B$3:$D$3, 0)))*INDEX(02B_ESCENARIOS!$B$15:$D$19, MATCH(VLOOKUP(A206,04_PROYECTOS!$A:$N,9,FALSE), 02B_ESCENARIOS!$A$15:$A$19, 0), MATCH("Base", 02B_ESCENARIOS!$B$14:$D$14, 0))</f>
        <v/>
      </c>
      <c r="F206">
        <f>E206*VLOOKUP(A206,04_PROYECTOS!$A:$N,6,FALSE)</f>
        <v/>
      </c>
      <c r="G206">
        <f>E206+F206</f>
        <v/>
      </c>
      <c r="H206">
        <f>IF(VLOOKUP(A206,04_PROYECTOS!$A:$N,10,FALSE)="", IF(VLOOKUP(A206,04_PROYECTOS!$A:$N,4,FALSE)="Privado", INDEX(02B_ESCENARIOS!$B$4:$D$11, MATCH("DSO_PRIVADO_DEFAULT", 02B_ESCENARIOS!$A$4:$A$11, 0), MATCH("Base", 02B_ESCENARIOS!$B$3:$D$3, 0)), IF(VLOOKUP(A206,04_PROYECTOS!$A:$N,4,FALSE)="Publico_&lt;10M",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VLOOKUP(A206,04_PROYECTOS!$A:$N,10,FALSE))</f>
        <v/>
      </c>
      <c r="I206">
        <f>ROUNDUP(H206/30,0)</f>
        <v/>
      </c>
      <c r="J206">
        <f>EDATE(C206,I206)</f>
        <v/>
      </c>
      <c r="K206">
        <f>G206</f>
        <v/>
      </c>
    </row>
    <row r="207">
      <c r="E207">
        <f>D207*VLOOKUP(A207,04_PROYECTOS!$A:$N,5,FALSE)*(INDEX(02B_ESCENARIOS!$B$4:$D$11, MATCH("MULT_PRECIO", 02B_ESCENARIOS!$A$4:$A$11, 0), MATCH("Base", 02B_ESCENARIOS!$B$3:$D$3, 0)))*INDEX(02B_ESCENARIOS!$B$15:$D$19, MATCH(VLOOKUP(A207,04_PROYECTOS!$A:$N,9,FALSE), 02B_ESCENARIOS!$A$15:$A$19, 0), MATCH("Base", 02B_ESCENARIOS!$B$14:$D$14, 0))</f>
        <v/>
      </c>
      <c r="F207">
        <f>E207*VLOOKUP(A207,04_PROYECTOS!$A:$N,6,FALSE)</f>
        <v/>
      </c>
      <c r="G207">
        <f>E207+F207</f>
        <v/>
      </c>
      <c r="H207">
        <f>IF(VLOOKUP(A207,04_PROYECTOS!$A:$N,10,FALSE)="", IF(VLOOKUP(A207,04_PROYECTOS!$A:$N,4,FALSE)="Privado", INDEX(02B_ESCENARIOS!$B$4:$D$11, MATCH("DSO_PRIVADO_DEFAULT", 02B_ESCENARIOS!$A$4:$A$11, 0), MATCH("Base", 02B_ESCENARIOS!$B$3:$D$3, 0)), IF(VLOOKUP(A207,04_PROYECTOS!$A:$N,4,FALSE)="Publico_&lt;10M",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VLOOKUP(A207,04_PROYECTOS!$A:$N,10,FALSE))</f>
        <v/>
      </c>
      <c r="I207">
        <f>ROUNDUP(H207/30,0)</f>
        <v/>
      </c>
      <c r="J207">
        <f>EDATE(C207,I207)</f>
        <v/>
      </c>
      <c r="K207">
        <f>G207</f>
        <v/>
      </c>
    </row>
    <row r="208">
      <c r="E208">
        <f>D208*VLOOKUP(A208,04_PROYECTOS!$A:$N,5,FALSE)*(INDEX(02B_ESCENARIOS!$B$4:$D$11, MATCH("MULT_PRECIO", 02B_ESCENARIOS!$A$4:$A$11, 0), MATCH("Base", 02B_ESCENARIOS!$B$3:$D$3, 0)))*INDEX(02B_ESCENARIOS!$B$15:$D$19, MATCH(VLOOKUP(A208,04_PROYECTOS!$A:$N,9,FALSE), 02B_ESCENARIOS!$A$15:$A$19, 0), MATCH("Base", 02B_ESCENARIOS!$B$14:$D$14, 0))</f>
        <v/>
      </c>
      <c r="F208">
        <f>E208*VLOOKUP(A208,04_PROYECTOS!$A:$N,6,FALSE)</f>
        <v/>
      </c>
      <c r="G208">
        <f>E208+F208</f>
        <v/>
      </c>
      <c r="H208">
        <f>IF(VLOOKUP(A208,04_PROYECTOS!$A:$N,10,FALSE)="", IF(VLOOKUP(A208,04_PROYECTOS!$A:$N,4,FALSE)="Privado", INDEX(02B_ESCENARIOS!$B$4:$D$11, MATCH("DSO_PRIVADO_DEFAULT", 02B_ESCENARIOS!$A$4:$A$11, 0), MATCH("Base", 02B_ESCENARIOS!$B$3:$D$3, 0)), IF(VLOOKUP(A208,04_PROYECTOS!$A:$N,4,FALSE)="Publico_&lt;10M",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VLOOKUP(A208,04_PROYECTOS!$A:$N,10,FALSE))</f>
        <v/>
      </c>
      <c r="I208">
        <f>ROUNDUP(H208/30,0)</f>
        <v/>
      </c>
      <c r="J208">
        <f>EDATE(C208,I208)</f>
        <v/>
      </c>
      <c r="K208">
        <f>G208</f>
        <v/>
      </c>
    </row>
    <row r="209">
      <c r="E209">
        <f>D209*VLOOKUP(A209,04_PROYECTOS!$A:$N,5,FALSE)*(INDEX(02B_ESCENARIOS!$B$4:$D$11, MATCH("MULT_PRECIO", 02B_ESCENARIOS!$A$4:$A$11, 0), MATCH("Base", 02B_ESCENARIOS!$B$3:$D$3, 0)))*INDEX(02B_ESCENARIOS!$B$15:$D$19, MATCH(VLOOKUP(A209,04_PROYECTOS!$A:$N,9,FALSE), 02B_ESCENARIOS!$A$15:$A$19, 0), MATCH("Base", 02B_ESCENARIOS!$B$14:$D$14, 0))</f>
        <v/>
      </c>
      <c r="F209">
        <f>E209*VLOOKUP(A209,04_PROYECTOS!$A:$N,6,FALSE)</f>
        <v/>
      </c>
      <c r="G209">
        <f>E209+F209</f>
        <v/>
      </c>
      <c r="H209">
        <f>IF(VLOOKUP(A209,04_PROYECTOS!$A:$N,10,FALSE)="", IF(VLOOKUP(A209,04_PROYECTOS!$A:$N,4,FALSE)="Privado", INDEX(02B_ESCENARIOS!$B$4:$D$11, MATCH("DSO_PRIVADO_DEFAULT", 02B_ESCENARIOS!$A$4:$A$11, 0), MATCH("Base", 02B_ESCENARIOS!$B$3:$D$3, 0)), IF(VLOOKUP(A209,04_PROYECTOS!$A:$N,4,FALSE)="Publico_&lt;10M",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VLOOKUP(A209,04_PROYECTOS!$A:$N,10,FALSE))</f>
        <v/>
      </c>
      <c r="I209">
        <f>ROUNDUP(H209/30,0)</f>
        <v/>
      </c>
      <c r="J209">
        <f>EDATE(C209,I209)</f>
        <v/>
      </c>
      <c r="K209">
        <f>G209</f>
        <v/>
      </c>
    </row>
    <row r="210">
      <c r="E210">
        <f>D210*VLOOKUP(A210,04_PROYECTOS!$A:$N,5,FALSE)*(INDEX(02B_ESCENARIOS!$B$4:$D$11, MATCH("MULT_PRECIO", 02B_ESCENARIOS!$A$4:$A$11, 0), MATCH("Base", 02B_ESCENARIOS!$B$3:$D$3, 0)))*INDEX(02B_ESCENARIOS!$B$15:$D$19, MATCH(VLOOKUP(A210,04_PROYECTOS!$A:$N,9,FALSE), 02B_ESCENARIOS!$A$15:$A$19, 0), MATCH("Base", 02B_ESCENARIOS!$B$14:$D$14, 0))</f>
        <v/>
      </c>
      <c r="F210">
        <f>E210*VLOOKUP(A210,04_PROYECTOS!$A:$N,6,FALSE)</f>
        <v/>
      </c>
      <c r="G210">
        <f>E210+F210</f>
        <v/>
      </c>
      <c r="H210">
        <f>IF(VLOOKUP(A210,04_PROYECTOS!$A:$N,10,FALSE)="", IF(VLOOKUP(A210,04_PROYECTOS!$A:$N,4,FALSE)="Privado", INDEX(02B_ESCENARIOS!$B$4:$D$11, MATCH("DSO_PRIVADO_DEFAULT", 02B_ESCENARIOS!$A$4:$A$11, 0), MATCH("Base", 02B_ESCENARIOS!$B$3:$D$3, 0)), IF(VLOOKUP(A210,04_PROYECTOS!$A:$N,4,FALSE)="Publico_&lt;10M",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VLOOKUP(A210,04_PROYECTOS!$A:$N,10,FALSE))</f>
        <v/>
      </c>
      <c r="I210">
        <f>ROUNDUP(H210/30,0)</f>
        <v/>
      </c>
      <c r="J210">
        <f>EDATE(C210,I210)</f>
        <v/>
      </c>
      <c r="K210">
        <f>G210</f>
        <v/>
      </c>
    </row>
    <row r="211">
      <c r="E211">
        <f>D211*VLOOKUP(A211,04_PROYECTOS!$A:$N,5,FALSE)*(INDEX(02B_ESCENARIOS!$B$4:$D$11, MATCH("MULT_PRECIO", 02B_ESCENARIOS!$A$4:$A$11, 0), MATCH("Base", 02B_ESCENARIOS!$B$3:$D$3, 0)))*INDEX(02B_ESCENARIOS!$B$15:$D$19, MATCH(VLOOKUP(A211,04_PROYECTOS!$A:$N,9,FALSE), 02B_ESCENARIOS!$A$15:$A$19, 0), MATCH("Base", 02B_ESCENARIOS!$B$14:$D$14, 0))</f>
        <v/>
      </c>
      <c r="F211">
        <f>E211*VLOOKUP(A211,04_PROYECTOS!$A:$N,6,FALSE)</f>
        <v/>
      </c>
      <c r="G211">
        <f>E211+F211</f>
        <v/>
      </c>
      <c r="H211">
        <f>IF(VLOOKUP(A211,04_PROYECTOS!$A:$N,10,FALSE)="", IF(VLOOKUP(A211,04_PROYECTOS!$A:$N,4,FALSE)="Privado", INDEX(02B_ESCENARIOS!$B$4:$D$11, MATCH("DSO_PRIVADO_DEFAULT", 02B_ESCENARIOS!$A$4:$A$11, 0), MATCH("Base", 02B_ESCENARIOS!$B$3:$D$3, 0)), IF(VLOOKUP(A211,04_PROYECTOS!$A:$N,4,FALSE)="Publico_&lt;10M",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VLOOKUP(A211,04_PROYECTOS!$A:$N,10,FALSE))</f>
        <v/>
      </c>
      <c r="I211">
        <f>ROUNDUP(H211/30,0)</f>
        <v/>
      </c>
      <c r="J211">
        <f>EDATE(C211,I211)</f>
        <v/>
      </c>
      <c r="K211">
        <f>G211</f>
        <v/>
      </c>
    </row>
    <row r="212">
      <c r="E212">
        <f>D212*VLOOKUP(A212,04_PROYECTOS!$A:$N,5,FALSE)*(INDEX(02B_ESCENARIOS!$B$4:$D$11, MATCH("MULT_PRECIO", 02B_ESCENARIOS!$A$4:$A$11, 0), MATCH("Base", 02B_ESCENARIOS!$B$3:$D$3, 0)))*INDEX(02B_ESCENARIOS!$B$15:$D$19, MATCH(VLOOKUP(A212,04_PROYECTOS!$A:$N,9,FALSE), 02B_ESCENARIOS!$A$15:$A$19, 0), MATCH("Base", 02B_ESCENARIOS!$B$14:$D$14, 0))</f>
        <v/>
      </c>
      <c r="F212">
        <f>E212*VLOOKUP(A212,04_PROYECTOS!$A:$N,6,FALSE)</f>
        <v/>
      </c>
      <c r="G212">
        <f>E212+F212</f>
        <v/>
      </c>
      <c r="H212">
        <f>IF(VLOOKUP(A212,04_PROYECTOS!$A:$N,10,FALSE)="", IF(VLOOKUP(A212,04_PROYECTOS!$A:$N,4,FALSE)="Privado", INDEX(02B_ESCENARIOS!$B$4:$D$11, MATCH("DSO_PRIVADO_DEFAULT", 02B_ESCENARIOS!$A$4:$A$11, 0), MATCH("Base", 02B_ESCENARIOS!$B$3:$D$3, 0)), IF(VLOOKUP(A212,04_PROYECTOS!$A:$N,4,FALSE)="Publico_&lt;10M",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VLOOKUP(A212,04_PROYECTOS!$A:$N,10,FALSE))</f>
        <v/>
      </c>
      <c r="I212">
        <f>ROUNDUP(H212/30,0)</f>
        <v/>
      </c>
      <c r="J212">
        <f>EDATE(C212,I212)</f>
        <v/>
      </c>
      <c r="K212">
        <f>G212</f>
        <v/>
      </c>
    </row>
    <row r="213">
      <c r="E213">
        <f>D213*VLOOKUP(A213,04_PROYECTOS!$A:$N,5,FALSE)*(INDEX(02B_ESCENARIOS!$B$4:$D$11, MATCH("MULT_PRECIO", 02B_ESCENARIOS!$A$4:$A$11, 0), MATCH("Base", 02B_ESCENARIOS!$B$3:$D$3, 0)))*INDEX(02B_ESCENARIOS!$B$15:$D$19, MATCH(VLOOKUP(A213,04_PROYECTOS!$A:$N,9,FALSE), 02B_ESCENARIOS!$A$15:$A$19, 0), MATCH("Base", 02B_ESCENARIOS!$B$14:$D$14, 0))</f>
        <v/>
      </c>
      <c r="F213">
        <f>E213*VLOOKUP(A213,04_PROYECTOS!$A:$N,6,FALSE)</f>
        <v/>
      </c>
      <c r="G213">
        <f>E213+F213</f>
        <v/>
      </c>
      <c r="H213">
        <f>IF(VLOOKUP(A213,04_PROYECTOS!$A:$N,10,FALSE)="", IF(VLOOKUP(A213,04_PROYECTOS!$A:$N,4,FALSE)="Privado", INDEX(02B_ESCENARIOS!$B$4:$D$11, MATCH("DSO_PRIVADO_DEFAULT", 02B_ESCENARIOS!$A$4:$A$11, 0), MATCH("Base", 02B_ESCENARIOS!$B$3:$D$3, 0)), IF(VLOOKUP(A213,04_PROYECTOS!$A:$N,4,FALSE)="Publico_&lt;10M",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VLOOKUP(A213,04_PROYECTOS!$A:$N,10,FALSE))</f>
        <v/>
      </c>
      <c r="I213">
        <f>ROUNDUP(H213/30,0)</f>
        <v/>
      </c>
      <c r="J213">
        <f>EDATE(C213,I213)</f>
        <v/>
      </c>
      <c r="K213">
        <f>G213</f>
        <v/>
      </c>
    </row>
    <row r="214">
      <c r="E214">
        <f>D214*VLOOKUP(A214,04_PROYECTOS!$A:$N,5,FALSE)*(INDEX(02B_ESCENARIOS!$B$4:$D$11, MATCH("MULT_PRECIO", 02B_ESCENARIOS!$A$4:$A$11, 0), MATCH("Base", 02B_ESCENARIOS!$B$3:$D$3, 0)))*INDEX(02B_ESCENARIOS!$B$15:$D$19, MATCH(VLOOKUP(A214,04_PROYECTOS!$A:$N,9,FALSE), 02B_ESCENARIOS!$A$15:$A$19, 0), MATCH("Base", 02B_ESCENARIOS!$B$14:$D$14, 0))</f>
        <v/>
      </c>
      <c r="F214">
        <f>E214*VLOOKUP(A214,04_PROYECTOS!$A:$N,6,FALSE)</f>
        <v/>
      </c>
      <c r="G214">
        <f>E214+F214</f>
        <v/>
      </c>
      <c r="H214">
        <f>IF(VLOOKUP(A214,04_PROYECTOS!$A:$N,10,FALSE)="", IF(VLOOKUP(A214,04_PROYECTOS!$A:$N,4,FALSE)="Privado", INDEX(02B_ESCENARIOS!$B$4:$D$11, MATCH("DSO_PRIVADO_DEFAULT", 02B_ESCENARIOS!$A$4:$A$11, 0), MATCH("Base", 02B_ESCENARIOS!$B$3:$D$3, 0)), IF(VLOOKUP(A214,04_PROYECTOS!$A:$N,4,FALSE)="Publico_&lt;10M",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VLOOKUP(A214,04_PROYECTOS!$A:$N,10,FALSE))</f>
        <v/>
      </c>
      <c r="I214">
        <f>ROUNDUP(H214/30,0)</f>
        <v/>
      </c>
      <c r="J214">
        <f>EDATE(C214,I214)</f>
        <v/>
      </c>
      <c r="K214">
        <f>G214</f>
        <v/>
      </c>
    </row>
    <row r="215">
      <c r="E215">
        <f>D215*VLOOKUP(A215,04_PROYECTOS!$A:$N,5,FALSE)*(INDEX(02B_ESCENARIOS!$B$4:$D$11, MATCH("MULT_PRECIO", 02B_ESCENARIOS!$A$4:$A$11, 0), MATCH("Base", 02B_ESCENARIOS!$B$3:$D$3, 0)))*INDEX(02B_ESCENARIOS!$B$15:$D$19, MATCH(VLOOKUP(A215,04_PROYECTOS!$A:$N,9,FALSE), 02B_ESCENARIOS!$A$15:$A$19, 0), MATCH("Base", 02B_ESCENARIOS!$B$14:$D$14, 0))</f>
        <v/>
      </c>
      <c r="F215">
        <f>E215*VLOOKUP(A215,04_PROYECTOS!$A:$N,6,FALSE)</f>
        <v/>
      </c>
      <c r="G215">
        <f>E215+F215</f>
        <v/>
      </c>
      <c r="H215">
        <f>IF(VLOOKUP(A215,04_PROYECTOS!$A:$N,10,FALSE)="", IF(VLOOKUP(A215,04_PROYECTOS!$A:$N,4,FALSE)="Privado", INDEX(02B_ESCENARIOS!$B$4:$D$11, MATCH("DSO_PRIVADO_DEFAULT", 02B_ESCENARIOS!$A$4:$A$11, 0), MATCH("Base", 02B_ESCENARIOS!$B$3:$D$3, 0)), IF(VLOOKUP(A215,04_PROYECTOS!$A:$N,4,FALSE)="Publico_&lt;10M",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VLOOKUP(A215,04_PROYECTOS!$A:$N,10,FALSE))</f>
        <v/>
      </c>
      <c r="I215">
        <f>ROUNDUP(H215/30,0)</f>
        <v/>
      </c>
      <c r="J215">
        <f>EDATE(C215,I215)</f>
        <v/>
      </c>
      <c r="K215">
        <f>G215</f>
        <v/>
      </c>
    </row>
    <row r="216">
      <c r="E216">
        <f>D216*VLOOKUP(A216,04_PROYECTOS!$A:$N,5,FALSE)*(INDEX(02B_ESCENARIOS!$B$4:$D$11, MATCH("MULT_PRECIO", 02B_ESCENARIOS!$A$4:$A$11, 0), MATCH("Base", 02B_ESCENARIOS!$B$3:$D$3, 0)))*INDEX(02B_ESCENARIOS!$B$15:$D$19, MATCH(VLOOKUP(A216,04_PROYECTOS!$A:$N,9,FALSE), 02B_ESCENARIOS!$A$15:$A$19, 0), MATCH("Base", 02B_ESCENARIOS!$B$14:$D$14, 0))</f>
        <v/>
      </c>
      <c r="F216">
        <f>E216*VLOOKUP(A216,04_PROYECTOS!$A:$N,6,FALSE)</f>
        <v/>
      </c>
      <c r="G216">
        <f>E216+F216</f>
        <v/>
      </c>
      <c r="H216">
        <f>IF(VLOOKUP(A216,04_PROYECTOS!$A:$N,10,FALSE)="", IF(VLOOKUP(A216,04_PROYECTOS!$A:$N,4,FALSE)="Privado", INDEX(02B_ESCENARIOS!$B$4:$D$11, MATCH("DSO_PRIVADO_DEFAULT", 02B_ESCENARIOS!$A$4:$A$11, 0), MATCH("Base", 02B_ESCENARIOS!$B$3:$D$3, 0)), IF(VLOOKUP(A216,04_PROYECTOS!$A:$N,4,FALSE)="Publico_&lt;10M",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VLOOKUP(A216,04_PROYECTOS!$A:$N,10,FALSE))</f>
        <v/>
      </c>
      <c r="I216">
        <f>ROUNDUP(H216/30,0)</f>
        <v/>
      </c>
      <c r="J216">
        <f>EDATE(C216,I216)</f>
        <v/>
      </c>
      <c r="K216">
        <f>G216</f>
        <v/>
      </c>
    </row>
    <row r="217">
      <c r="E217">
        <f>D217*VLOOKUP(A217,04_PROYECTOS!$A:$N,5,FALSE)*(INDEX(02B_ESCENARIOS!$B$4:$D$11, MATCH("MULT_PRECIO", 02B_ESCENARIOS!$A$4:$A$11, 0), MATCH("Base", 02B_ESCENARIOS!$B$3:$D$3, 0)))*INDEX(02B_ESCENARIOS!$B$15:$D$19, MATCH(VLOOKUP(A217,04_PROYECTOS!$A:$N,9,FALSE), 02B_ESCENARIOS!$A$15:$A$19, 0), MATCH("Base", 02B_ESCENARIOS!$B$14:$D$14, 0))</f>
        <v/>
      </c>
      <c r="F217">
        <f>E217*VLOOKUP(A217,04_PROYECTOS!$A:$N,6,FALSE)</f>
        <v/>
      </c>
      <c r="G217">
        <f>E217+F217</f>
        <v/>
      </c>
      <c r="H217">
        <f>IF(VLOOKUP(A217,04_PROYECTOS!$A:$N,10,FALSE)="", IF(VLOOKUP(A217,04_PROYECTOS!$A:$N,4,FALSE)="Privado", INDEX(02B_ESCENARIOS!$B$4:$D$11, MATCH("DSO_PRIVADO_DEFAULT", 02B_ESCENARIOS!$A$4:$A$11, 0), MATCH("Base", 02B_ESCENARIOS!$B$3:$D$3, 0)), IF(VLOOKUP(A217,04_PROYECTOS!$A:$N,4,FALSE)="Publico_&lt;10M",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VLOOKUP(A217,04_PROYECTOS!$A:$N,10,FALSE))</f>
        <v/>
      </c>
      <c r="I217">
        <f>ROUNDUP(H217/30,0)</f>
        <v/>
      </c>
      <c r="J217">
        <f>EDATE(C217,I217)</f>
        <v/>
      </c>
      <c r="K217">
        <f>G217</f>
        <v/>
      </c>
    </row>
    <row r="218">
      <c r="E218">
        <f>D218*VLOOKUP(A218,04_PROYECTOS!$A:$N,5,FALSE)*(INDEX(02B_ESCENARIOS!$B$4:$D$11, MATCH("MULT_PRECIO", 02B_ESCENARIOS!$A$4:$A$11, 0), MATCH("Base", 02B_ESCENARIOS!$B$3:$D$3, 0)))*INDEX(02B_ESCENARIOS!$B$15:$D$19, MATCH(VLOOKUP(A218,04_PROYECTOS!$A:$N,9,FALSE), 02B_ESCENARIOS!$A$15:$A$19, 0), MATCH("Base", 02B_ESCENARIOS!$B$14:$D$14, 0))</f>
        <v/>
      </c>
      <c r="F218">
        <f>E218*VLOOKUP(A218,04_PROYECTOS!$A:$N,6,FALSE)</f>
        <v/>
      </c>
      <c r="G218">
        <f>E218+F218</f>
        <v/>
      </c>
      <c r="H218">
        <f>IF(VLOOKUP(A218,04_PROYECTOS!$A:$N,10,FALSE)="", IF(VLOOKUP(A218,04_PROYECTOS!$A:$N,4,FALSE)="Privado", INDEX(02B_ESCENARIOS!$B$4:$D$11, MATCH("DSO_PRIVADO_DEFAULT", 02B_ESCENARIOS!$A$4:$A$11, 0), MATCH("Base", 02B_ESCENARIOS!$B$3:$D$3, 0)), IF(VLOOKUP(A218,04_PROYECTOS!$A:$N,4,FALSE)="Publico_&lt;10M",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VLOOKUP(A218,04_PROYECTOS!$A:$N,10,FALSE))</f>
        <v/>
      </c>
      <c r="I218">
        <f>ROUNDUP(H218/30,0)</f>
        <v/>
      </c>
      <c r="J218">
        <f>EDATE(C218,I218)</f>
        <v/>
      </c>
      <c r="K218">
        <f>G218</f>
        <v/>
      </c>
    </row>
    <row r="219">
      <c r="E219">
        <f>D219*VLOOKUP(A219,04_PROYECTOS!$A:$N,5,FALSE)*(INDEX(02B_ESCENARIOS!$B$4:$D$11, MATCH("MULT_PRECIO", 02B_ESCENARIOS!$A$4:$A$11, 0), MATCH("Base", 02B_ESCENARIOS!$B$3:$D$3, 0)))*INDEX(02B_ESCENARIOS!$B$15:$D$19, MATCH(VLOOKUP(A219,04_PROYECTOS!$A:$N,9,FALSE), 02B_ESCENARIOS!$A$15:$A$19, 0), MATCH("Base", 02B_ESCENARIOS!$B$14:$D$14, 0))</f>
        <v/>
      </c>
      <c r="F219">
        <f>E219*VLOOKUP(A219,04_PROYECTOS!$A:$N,6,FALSE)</f>
        <v/>
      </c>
      <c r="G219">
        <f>E219+F219</f>
        <v/>
      </c>
      <c r="H219">
        <f>IF(VLOOKUP(A219,04_PROYECTOS!$A:$N,10,FALSE)="", IF(VLOOKUP(A219,04_PROYECTOS!$A:$N,4,FALSE)="Privado", INDEX(02B_ESCENARIOS!$B$4:$D$11, MATCH("DSO_PRIVADO_DEFAULT", 02B_ESCENARIOS!$A$4:$A$11, 0), MATCH("Base", 02B_ESCENARIOS!$B$3:$D$3, 0)), IF(VLOOKUP(A219,04_PROYECTOS!$A:$N,4,FALSE)="Publico_&lt;10M",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VLOOKUP(A219,04_PROYECTOS!$A:$N,10,FALSE))</f>
        <v/>
      </c>
      <c r="I219">
        <f>ROUNDUP(H219/30,0)</f>
        <v/>
      </c>
      <c r="J219">
        <f>EDATE(C219,I219)</f>
        <v/>
      </c>
      <c r="K219">
        <f>G219</f>
        <v/>
      </c>
    </row>
    <row r="220">
      <c r="E220">
        <f>D220*VLOOKUP(A220,04_PROYECTOS!$A:$N,5,FALSE)*(INDEX(02B_ESCENARIOS!$B$4:$D$11, MATCH("MULT_PRECIO", 02B_ESCENARIOS!$A$4:$A$11, 0), MATCH("Base", 02B_ESCENARIOS!$B$3:$D$3, 0)))*INDEX(02B_ESCENARIOS!$B$15:$D$19, MATCH(VLOOKUP(A220,04_PROYECTOS!$A:$N,9,FALSE), 02B_ESCENARIOS!$A$15:$A$19, 0), MATCH("Base", 02B_ESCENARIOS!$B$14:$D$14, 0))</f>
        <v/>
      </c>
      <c r="F220">
        <f>E220*VLOOKUP(A220,04_PROYECTOS!$A:$N,6,FALSE)</f>
        <v/>
      </c>
      <c r="G220">
        <f>E220+F220</f>
        <v/>
      </c>
      <c r="H220">
        <f>IF(VLOOKUP(A220,04_PROYECTOS!$A:$N,10,FALSE)="", IF(VLOOKUP(A220,04_PROYECTOS!$A:$N,4,FALSE)="Privado", INDEX(02B_ESCENARIOS!$B$4:$D$11, MATCH("DSO_PRIVADO_DEFAULT", 02B_ESCENARIOS!$A$4:$A$11, 0), MATCH("Base", 02B_ESCENARIOS!$B$3:$D$3, 0)), IF(VLOOKUP(A220,04_PROYECTOS!$A:$N,4,FALSE)="Publico_&lt;10M",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VLOOKUP(A220,04_PROYECTOS!$A:$N,10,FALSE))</f>
        <v/>
      </c>
      <c r="I220">
        <f>ROUNDUP(H220/30,0)</f>
        <v/>
      </c>
      <c r="J220">
        <f>EDATE(C220,I220)</f>
        <v/>
      </c>
      <c r="K220">
        <f>G220</f>
        <v/>
      </c>
    </row>
    <row r="221">
      <c r="E221">
        <f>D221*VLOOKUP(A221,04_PROYECTOS!$A:$N,5,FALSE)*(INDEX(02B_ESCENARIOS!$B$4:$D$11, MATCH("MULT_PRECIO", 02B_ESCENARIOS!$A$4:$A$11, 0), MATCH("Base", 02B_ESCENARIOS!$B$3:$D$3, 0)))*INDEX(02B_ESCENARIOS!$B$15:$D$19, MATCH(VLOOKUP(A221,04_PROYECTOS!$A:$N,9,FALSE), 02B_ESCENARIOS!$A$15:$A$19, 0), MATCH("Base", 02B_ESCENARIOS!$B$14:$D$14, 0))</f>
        <v/>
      </c>
      <c r="F221">
        <f>E221*VLOOKUP(A221,04_PROYECTOS!$A:$N,6,FALSE)</f>
        <v/>
      </c>
      <c r="G221">
        <f>E221+F221</f>
        <v/>
      </c>
      <c r="H221">
        <f>IF(VLOOKUP(A221,04_PROYECTOS!$A:$N,10,FALSE)="", IF(VLOOKUP(A221,04_PROYECTOS!$A:$N,4,FALSE)="Privado", INDEX(02B_ESCENARIOS!$B$4:$D$11, MATCH("DSO_PRIVADO_DEFAULT", 02B_ESCENARIOS!$A$4:$A$11, 0), MATCH("Base", 02B_ESCENARIOS!$B$3:$D$3, 0)), IF(VLOOKUP(A221,04_PROYECTOS!$A:$N,4,FALSE)="Publico_&lt;10M",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VLOOKUP(A221,04_PROYECTOS!$A:$N,10,FALSE))</f>
        <v/>
      </c>
      <c r="I221">
        <f>ROUNDUP(H221/30,0)</f>
        <v/>
      </c>
      <c r="J221">
        <f>EDATE(C221,I221)</f>
        <v/>
      </c>
      <c r="K221">
        <f>G221</f>
        <v/>
      </c>
    </row>
    <row r="222">
      <c r="E222">
        <f>D222*VLOOKUP(A222,04_PROYECTOS!$A:$N,5,FALSE)*(INDEX(02B_ESCENARIOS!$B$4:$D$11, MATCH("MULT_PRECIO", 02B_ESCENARIOS!$A$4:$A$11, 0), MATCH("Base", 02B_ESCENARIOS!$B$3:$D$3, 0)))*INDEX(02B_ESCENARIOS!$B$15:$D$19, MATCH(VLOOKUP(A222,04_PROYECTOS!$A:$N,9,FALSE), 02B_ESCENARIOS!$A$15:$A$19, 0), MATCH("Base", 02B_ESCENARIOS!$B$14:$D$14, 0))</f>
        <v/>
      </c>
      <c r="F222">
        <f>E222*VLOOKUP(A222,04_PROYECTOS!$A:$N,6,FALSE)</f>
        <v/>
      </c>
      <c r="G222">
        <f>E222+F222</f>
        <v/>
      </c>
      <c r="H222">
        <f>IF(VLOOKUP(A222,04_PROYECTOS!$A:$N,10,FALSE)="", IF(VLOOKUP(A222,04_PROYECTOS!$A:$N,4,FALSE)="Privado", INDEX(02B_ESCENARIOS!$B$4:$D$11, MATCH("DSO_PRIVADO_DEFAULT", 02B_ESCENARIOS!$A$4:$A$11, 0), MATCH("Base", 02B_ESCENARIOS!$B$3:$D$3, 0)), IF(VLOOKUP(A222,04_PROYECTOS!$A:$N,4,FALSE)="Publico_&lt;10M",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VLOOKUP(A222,04_PROYECTOS!$A:$N,10,FALSE))</f>
        <v/>
      </c>
      <c r="I222">
        <f>ROUNDUP(H222/30,0)</f>
        <v/>
      </c>
      <c r="J222">
        <f>EDATE(C222,I222)</f>
        <v/>
      </c>
      <c r="K222">
        <f>G222</f>
        <v/>
      </c>
    </row>
    <row r="223">
      <c r="E223">
        <f>D223*VLOOKUP(A223,04_PROYECTOS!$A:$N,5,FALSE)*(INDEX(02B_ESCENARIOS!$B$4:$D$11, MATCH("MULT_PRECIO", 02B_ESCENARIOS!$A$4:$A$11, 0), MATCH("Base", 02B_ESCENARIOS!$B$3:$D$3, 0)))*INDEX(02B_ESCENARIOS!$B$15:$D$19, MATCH(VLOOKUP(A223,04_PROYECTOS!$A:$N,9,FALSE), 02B_ESCENARIOS!$A$15:$A$19, 0), MATCH("Base", 02B_ESCENARIOS!$B$14:$D$14, 0))</f>
        <v/>
      </c>
      <c r="F223">
        <f>E223*VLOOKUP(A223,04_PROYECTOS!$A:$N,6,FALSE)</f>
        <v/>
      </c>
      <c r="G223">
        <f>E223+F223</f>
        <v/>
      </c>
      <c r="H223">
        <f>IF(VLOOKUP(A223,04_PROYECTOS!$A:$N,10,FALSE)="", IF(VLOOKUP(A223,04_PROYECTOS!$A:$N,4,FALSE)="Privado", INDEX(02B_ESCENARIOS!$B$4:$D$11, MATCH("DSO_PRIVADO_DEFAULT", 02B_ESCENARIOS!$A$4:$A$11, 0), MATCH("Base", 02B_ESCENARIOS!$B$3:$D$3, 0)), IF(VLOOKUP(A223,04_PROYECTOS!$A:$N,4,FALSE)="Publico_&lt;10M",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VLOOKUP(A223,04_PROYECTOS!$A:$N,10,FALSE))</f>
        <v/>
      </c>
      <c r="I223">
        <f>ROUNDUP(H223/30,0)</f>
        <v/>
      </c>
      <c r="J223">
        <f>EDATE(C223,I223)</f>
        <v/>
      </c>
      <c r="K223">
        <f>G223</f>
        <v/>
      </c>
    </row>
    <row r="224">
      <c r="E224">
        <f>D224*VLOOKUP(A224,04_PROYECTOS!$A:$N,5,FALSE)*(INDEX(02B_ESCENARIOS!$B$4:$D$11, MATCH("MULT_PRECIO", 02B_ESCENARIOS!$A$4:$A$11, 0), MATCH("Base", 02B_ESCENARIOS!$B$3:$D$3, 0)))*INDEX(02B_ESCENARIOS!$B$15:$D$19, MATCH(VLOOKUP(A224,04_PROYECTOS!$A:$N,9,FALSE), 02B_ESCENARIOS!$A$15:$A$19, 0), MATCH("Base", 02B_ESCENARIOS!$B$14:$D$14, 0))</f>
        <v/>
      </c>
      <c r="F224">
        <f>E224*VLOOKUP(A224,04_PROYECTOS!$A:$N,6,FALSE)</f>
        <v/>
      </c>
      <c r="G224">
        <f>E224+F224</f>
        <v/>
      </c>
      <c r="H224">
        <f>IF(VLOOKUP(A224,04_PROYECTOS!$A:$N,10,FALSE)="", IF(VLOOKUP(A224,04_PROYECTOS!$A:$N,4,FALSE)="Privado", INDEX(02B_ESCENARIOS!$B$4:$D$11, MATCH("DSO_PRIVADO_DEFAULT", 02B_ESCENARIOS!$A$4:$A$11, 0), MATCH("Base", 02B_ESCENARIOS!$B$3:$D$3, 0)), IF(VLOOKUP(A224,04_PROYECTOS!$A:$N,4,FALSE)="Publico_&lt;10M",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VLOOKUP(A224,04_PROYECTOS!$A:$N,10,FALSE))</f>
        <v/>
      </c>
      <c r="I224">
        <f>ROUNDUP(H224/30,0)</f>
        <v/>
      </c>
      <c r="J224">
        <f>EDATE(C224,I224)</f>
        <v/>
      </c>
      <c r="K224">
        <f>G224</f>
        <v/>
      </c>
    </row>
    <row r="225">
      <c r="E225">
        <f>D225*VLOOKUP(A225,04_PROYECTOS!$A:$N,5,FALSE)*(INDEX(02B_ESCENARIOS!$B$4:$D$11, MATCH("MULT_PRECIO", 02B_ESCENARIOS!$A$4:$A$11, 0), MATCH("Base", 02B_ESCENARIOS!$B$3:$D$3, 0)))*INDEX(02B_ESCENARIOS!$B$15:$D$19, MATCH(VLOOKUP(A225,04_PROYECTOS!$A:$N,9,FALSE), 02B_ESCENARIOS!$A$15:$A$19, 0), MATCH("Base", 02B_ESCENARIOS!$B$14:$D$14, 0))</f>
        <v/>
      </c>
      <c r="F225">
        <f>E225*VLOOKUP(A225,04_PROYECTOS!$A:$N,6,FALSE)</f>
        <v/>
      </c>
      <c r="G225">
        <f>E225+F225</f>
        <v/>
      </c>
      <c r="H225">
        <f>IF(VLOOKUP(A225,04_PROYECTOS!$A:$N,10,FALSE)="", IF(VLOOKUP(A225,04_PROYECTOS!$A:$N,4,FALSE)="Privado", INDEX(02B_ESCENARIOS!$B$4:$D$11, MATCH("DSO_PRIVADO_DEFAULT", 02B_ESCENARIOS!$A$4:$A$11, 0), MATCH("Base", 02B_ESCENARIOS!$B$3:$D$3, 0)), IF(VLOOKUP(A225,04_PROYECTOS!$A:$N,4,FALSE)="Publico_&lt;10M",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VLOOKUP(A225,04_PROYECTOS!$A:$N,10,FALSE))</f>
        <v/>
      </c>
      <c r="I225">
        <f>ROUNDUP(H225/30,0)</f>
        <v/>
      </c>
      <c r="J225">
        <f>EDATE(C225,I225)</f>
        <v/>
      </c>
      <c r="K225">
        <f>G225</f>
        <v/>
      </c>
    </row>
    <row r="226">
      <c r="E226">
        <f>D226*VLOOKUP(A226,04_PROYECTOS!$A:$N,5,FALSE)*(INDEX(02B_ESCENARIOS!$B$4:$D$11, MATCH("MULT_PRECIO", 02B_ESCENARIOS!$A$4:$A$11, 0), MATCH("Base", 02B_ESCENARIOS!$B$3:$D$3, 0)))*INDEX(02B_ESCENARIOS!$B$15:$D$19, MATCH(VLOOKUP(A226,04_PROYECTOS!$A:$N,9,FALSE), 02B_ESCENARIOS!$A$15:$A$19, 0), MATCH("Base", 02B_ESCENARIOS!$B$14:$D$14, 0))</f>
        <v/>
      </c>
      <c r="F226">
        <f>E226*VLOOKUP(A226,04_PROYECTOS!$A:$N,6,FALSE)</f>
        <v/>
      </c>
      <c r="G226">
        <f>E226+F226</f>
        <v/>
      </c>
      <c r="H226">
        <f>IF(VLOOKUP(A226,04_PROYECTOS!$A:$N,10,FALSE)="", IF(VLOOKUP(A226,04_PROYECTOS!$A:$N,4,FALSE)="Privado", INDEX(02B_ESCENARIOS!$B$4:$D$11, MATCH("DSO_PRIVADO_DEFAULT", 02B_ESCENARIOS!$A$4:$A$11, 0), MATCH("Base", 02B_ESCENARIOS!$B$3:$D$3, 0)), IF(VLOOKUP(A226,04_PROYECTOS!$A:$N,4,FALSE)="Publico_&lt;10M",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VLOOKUP(A226,04_PROYECTOS!$A:$N,10,FALSE))</f>
        <v/>
      </c>
      <c r="I226">
        <f>ROUNDUP(H226/30,0)</f>
        <v/>
      </c>
      <c r="J226">
        <f>EDATE(C226,I226)</f>
        <v/>
      </c>
      <c r="K226">
        <f>G226</f>
        <v/>
      </c>
    </row>
    <row r="227">
      <c r="E227">
        <f>D227*VLOOKUP(A227,04_PROYECTOS!$A:$N,5,FALSE)*(INDEX(02B_ESCENARIOS!$B$4:$D$11, MATCH("MULT_PRECIO", 02B_ESCENARIOS!$A$4:$A$11, 0), MATCH("Base", 02B_ESCENARIOS!$B$3:$D$3, 0)))*INDEX(02B_ESCENARIOS!$B$15:$D$19, MATCH(VLOOKUP(A227,04_PROYECTOS!$A:$N,9,FALSE), 02B_ESCENARIOS!$A$15:$A$19, 0), MATCH("Base", 02B_ESCENARIOS!$B$14:$D$14, 0))</f>
        <v/>
      </c>
      <c r="F227">
        <f>E227*VLOOKUP(A227,04_PROYECTOS!$A:$N,6,FALSE)</f>
        <v/>
      </c>
      <c r="G227">
        <f>E227+F227</f>
        <v/>
      </c>
      <c r="H227">
        <f>IF(VLOOKUP(A227,04_PROYECTOS!$A:$N,10,FALSE)="", IF(VLOOKUP(A227,04_PROYECTOS!$A:$N,4,FALSE)="Privado", INDEX(02B_ESCENARIOS!$B$4:$D$11, MATCH("DSO_PRIVADO_DEFAULT", 02B_ESCENARIOS!$A$4:$A$11, 0), MATCH("Base", 02B_ESCENARIOS!$B$3:$D$3, 0)), IF(VLOOKUP(A227,04_PROYECTOS!$A:$N,4,FALSE)="Publico_&lt;10M",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VLOOKUP(A227,04_PROYECTOS!$A:$N,10,FALSE))</f>
        <v/>
      </c>
      <c r="I227">
        <f>ROUNDUP(H227/30,0)</f>
        <v/>
      </c>
      <c r="J227">
        <f>EDATE(C227,I227)</f>
        <v/>
      </c>
      <c r="K227">
        <f>G227</f>
        <v/>
      </c>
    </row>
    <row r="228">
      <c r="E228">
        <f>D228*VLOOKUP(A228,04_PROYECTOS!$A:$N,5,FALSE)*(INDEX(02B_ESCENARIOS!$B$4:$D$11, MATCH("MULT_PRECIO", 02B_ESCENARIOS!$A$4:$A$11, 0), MATCH("Base", 02B_ESCENARIOS!$B$3:$D$3, 0)))*INDEX(02B_ESCENARIOS!$B$15:$D$19, MATCH(VLOOKUP(A228,04_PROYECTOS!$A:$N,9,FALSE), 02B_ESCENARIOS!$A$15:$A$19, 0), MATCH("Base", 02B_ESCENARIOS!$B$14:$D$14, 0))</f>
        <v/>
      </c>
      <c r="F228">
        <f>E228*VLOOKUP(A228,04_PROYECTOS!$A:$N,6,FALSE)</f>
        <v/>
      </c>
      <c r="G228">
        <f>E228+F228</f>
        <v/>
      </c>
      <c r="H228">
        <f>IF(VLOOKUP(A228,04_PROYECTOS!$A:$N,10,FALSE)="", IF(VLOOKUP(A228,04_PROYECTOS!$A:$N,4,FALSE)="Privado", INDEX(02B_ESCENARIOS!$B$4:$D$11, MATCH("DSO_PRIVADO_DEFAULT", 02B_ESCENARIOS!$A$4:$A$11, 0), MATCH("Base", 02B_ESCENARIOS!$B$3:$D$3, 0)), IF(VLOOKUP(A228,04_PROYECTOS!$A:$N,4,FALSE)="Publico_&lt;10M",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VLOOKUP(A228,04_PROYECTOS!$A:$N,10,FALSE))</f>
        <v/>
      </c>
      <c r="I228">
        <f>ROUNDUP(H228/30,0)</f>
        <v/>
      </c>
      <c r="J228">
        <f>EDATE(C228,I228)</f>
        <v/>
      </c>
      <c r="K228">
        <f>G228</f>
        <v/>
      </c>
    </row>
    <row r="229">
      <c r="E229">
        <f>D229*VLOOKUP(A229,04_PROYECTOS!$A:$N,5,FALSE)*(INDEX(02B_ESCENARIOS!$B$4:$D$11, MATCH("MULT_PRECIO", 02B_ESCENARIOS!$A$4:$A$11, 0), MATCH("Base", 02B_ESCENARIOS!$B$3:$D$3, 0)))*INDEX(02B_ESCENARIOS!$B$15:$D$19, MATCH(VLOOKUP(A229,04_PROYECTOS!$A:$N,9,FALSE), 02B_ESCENARIOS!$A$15:$A$19, 0), MATCH("Base", 02B_ESCENARIOS!$B$14:$D$14, 0))</f>
        <v/>
      </c>
      <c r="F229">
        <f>E229*VLOOKUP(A229,04_PROYECTOS!$A:$N,6,FALSE)</f>
        <v/>
      </c>
      <c r="G229">
        <f>E229+F229</f>
        <v/>
      </c>
      <c r="H229">
        <f>IF(VLOOKUP(A229,04_PROYECTOS!$A:$N,10,FALSE)="", IF(VLOOKUP(A229,04_PROYECTOS!$A:$N,4,FALSE)="Privado", INDEX(02B_ESCENARIOS!$B$4:$D$11, MATCH("DSO_PRIVADO_DEFAULT", 02B_ESCENARIOS!$A$4:$A$11, 0), MATCH("Base", 02B_ESCENARIOS!$B$3:$D$3, 0)), IF(VLOOKUP(A229,04_PROYECTOS!$A:$N,4,FALSE)="Publico_&lt;10M",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VLOOKUP(A229,04_PROYECTOS!$A:$N,10,FALSE))</f>
        <v/>
      </c>
      <c r="I229">
        <f>ROUNDUP(H229/30,0)</f>
        <v/>
      </c>
      <c r="J229">
        <f>EDATE(C229,I229)</f>
        <v/>
      </c>
      <c r="K229">
        <f>G229</f>
        <v/>
      </c>
    </row>
    <row r="230">
      <c r="E230">
        <f>D230*VLOOKUP(A230,04_PROYECTOS!$A:$N,5,FALSE)*(INDEX(02B_ESCENARIOS!$B$4:$D$11, MATCH("MULT_PRECIO", 02B_ESCENARIOS!$A$4:$A$11, 0), MATCH("Base", 02B_ESCENARIOS!$B$3:$D$3, 0)))*INDEX(02B_ESCENARIOS!$B$15:$D$19, MATCH(VLOOKUP(A230,04_PROYECTOS!$A:$N,9,FALSE), 02B_ESCENARIOS!$A$15:$A$19, 0), MATCH("Base", 02B_ESCENARIOS!$B$14:$D$14, 0))</f>
        <v/>
      </c>
      <c r="F230">
        <f>E230*VLOOKUP(A230,04_PROYECTOS!$A:$N,6,FALSE)</f>
        <v/>
      </c>
      <c r="G230">
        <f>E230+F230</f>
        <v/>
      </c>
      <c r="H230">
        <f>IF(VLOOKUP(A230,04_PROYECTOS!$A:$N,10,FALSE)="", IF(VLOOKUP(A230,04_PROYECTOS!$A:$N,4,FALSE)="Privado", INDEX(02B_ESCENARIOS!$B$4:$D$11, MATCH("DSO_PRIVADO_DEFAULT", 02B_ESCENARIOS!$A$4:$A$11, 0), MATCH("Base", 02B_ESCENARIOS!$B$3:$D$3, 0)), IF(VLOOKUP(A230,04_PROYECTOS!$A:$N,4,FALSE)="Publico_&lt;10M",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VLOOKUP(A230,04_PROYECTOS!$A:$N,10,FALSE))</f>
        <v/>
      </c>
      <c r="I230">
        <f>ROUNDUP(H230/30,0)</f>
        <v/>
      </c>
      <c r="J230">
        <f>EDATE(C230,I230)</f>
        <v/>
      </c>
      <c r="K230">
        <f>G230</f>
        <v/>
      </c>
    </row>
    <row r="231">
      <c r="E231">
        <f>D231*VLOOKUP(A231,04_PROYECTOS!$A:$N,5,FALSE)*(INDEX(02B_ESCENARIOS!$B$4:$D$11, MATCH("MULT_PRECIO", 02B_ESCENARIOS!$A$4:$A$11, 0), MATCH("Base", 02B_ESCENARIOS!$B$3:$D$3, 0)))*INDEX(02B_ESCENARIOS!$B$15:$D$19, MATCH(VLOOKUP(A231,04_PROYECTOS!$A:$N,9,FALSE), 02B_ESCENARIOS!$A$15:$A$19, 0), MATCH("Base", 02B_ESCENARIOS!$B$14:$D$14, 0))</f>
        <v/>
      </c>
      <c r="F231">
        <f>E231*VLOOKUP(A231,04_PROYECTOS!$A:$N,6,FALSE)</f>
        <v/>
      </c>
      <c r="G231">
        <f>E231+F231</f>
        <v/>
      </c>
      <c r="H231">
        <f>IF(VLOOKUP(A231,04_PROYECTOS!$A:$N,10,FALSE)="", IF(VLOOKUP(A231,04_PROYECTOS!$A:$N,4,FALSE)="Privado", INDEX(02B_ESCENARIOS!$B$4:$D$11, MATCH("DSO_PRIVADO_DEFAULT", 02B_ESCENARIOS!$A$4:$A$11, 0), MATCH("Base", 02B_ESCENARIOS!$B$3:$D$3, 0)), IF(VLOOKUP(A231,04_PROYECTOS!$A:$N,4,FALSE)="Publico_&lt;10M",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VLOOKUP(A231,04_PROYECTOS!$A:$N,10,FALSE))</f>
        <v/>
      </c>
      <c r="I231">
        <f>ROUNDUP(H231/30,0)</f>
        <v/>
      </c>
      <c r="J231">
        <f>EDATE(C231,I231)</f>
        <v/>
      </c>
      <c r="K231">
        <f>G231</f>
        <v/>
      </c>
    </row>
    <row r="232">
      <c r="E232">
        <f>D232*VLOOKUP(A232,04_PROYECTOS!$A:$N,5,FALSE)*(INDEX(02B_ESCENARIOS!$B$4:$D$11, MATCH("MULT_PRECIO", 02B_ESCENARIOS!$A$4:$A$11, 0), MATCH("Base", 02B_ESCENARIOS!$B$3:$D$3, 0)))*INDEX(02B_ESCENARIOS!$B$15:$D$19, MATCH(VLOOKUP(A232,04_PROYECTOS!$A:$N,9,FALSE), 02B_ESCENARIOS!$A$15:$A$19, 0), MATCH("Base", 02B_ESCENARIOS!$B$14:$D$14, 0))</f>
        <v/>
      </c>
      <c r="F232">
        <f>E232*VLOOKUP(A232,04_PROYECTOS!$A:$N,6,FALSE)</f>
        <v/>
      </c>
      <c r="G232">
        <f>E232+F232</f>
        <v/>
      </c>
      <c r="H232">
        <f>IF(VLOOKUP(A232,04_PROYECTOS!$A:$N,10,FALSE)="", IF(VLOOKUP(A232,04_PROYECTOS!$A:$N,4,FALSE)="Privado", INDEX(02B_ESCENARIOS!$B$4:$D$11, MATCH("DSO_PRIVADO_DEFAULT", 02B_ESCENARIOS!$A$4:$A$11, 0), MATCH("Base", 02B_ESCENARIOS!$B$3:$D$3, 0)), IF(VLOOKUP(A232,04_PROYECTOS!$A:$N,4,FALSE)="Publico_&lt;10M",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VLOOKUP(A232,04_PROYECTOS!$A:$N,10,FALSE))</f>
        <v/>
      </c>
      <c r="I232">
        <f>ROUNDUP(H232/30,0)</f>
        <v/>
      </c>
      <c r="J232">
        <f>EDATE(C232,I232)</f>
        <v/>
      </c>
      <c r="K232">
        <f>G232</f>
        <v/>
      </c>
    </row>
    <row r="233">
      <c r="E233">
        <f>D233*VLOOKUP(A233,04_PROYECTOS!$A:$N,5,FALSE)*(INDEX(02B_ESCENARIOS!$B$4:$D$11, MATCH("MULT_PRECIO", 02B_ESCENARIOS!$A$4:$A$11, 0), MATCH("Base", 02B_ESCENARIOS!$B$3:$D$3, 0)))*INDEX(02B_ESCENARIOS!$B$15:$D$19, MATCH(VLOOKUP(A233,04_PROYECTOS!$A:$N,9,FALSE), 02B_ESCENARIOS!$A$15:$A$19, 0), MATCH("Base", 02B_ESCENARIOS!$B$14:$D$14, 0))</f>
        <v/>
      </c>
      <c r="F233">
        <f>E233*VLOOKUP(A233,04_PROYECTOS!$A:$N,6,FALSE)</f>
        <v/>
      </c>
      <c r="G233">
        <f>E233+F233</f>
        <v/>
      </c>
      <c r="H233">
        <f>IF(VLOOKUP(A233,04_PROYECTOS!$A:$N,10,FALSE)="", IF(VLOOKUP(A233,04_PROYECTOS!$A:$N,4,FALSE)="Privado", INDEX(02B_ESCENARIOS!$B$4:$D$11, MATCH("DSO_PRIVADO_DEFAULT", 02B_ESCENARIOS!$A$4:$A$11, 0), MATCH("Base", 02B_ESCENARIOS!$B$3:$D$3, 0)), IF(VLOOKUP(A233,04_PROYECTOS!$A:$N,4,FALSE)="Publico_&lt;10M",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VLOOKUP(A233,04_PROYECTOS!$A:$N,10,FALSE))</f>
        <v/>
      </c>
      <c r="I233">
        <f>ROUNDUP(H233/30,0)</f>
        <v/>
      </c>
      <c r="J233">
        <f>EDATE(C233,I233)</f>
        <v/>
      </c>
      <c r="K233">
        <f>G233</f>
        <v/>
      </c>
    </row>
    <row r="234">
      <c r="E234">
        <f>D234*VLOOKUP(A234,04_PROYECTOS!$A:$N,5,FALSE)*(INDEX(02B_ESCENARIOS!$B$4:$D$11, MATCH("MULT_PRECIO", 02B_ESCENARIOS!$A$4:$A$11, 0), MATCH("Base", 02B_ESCENARIOS!$B$3:$D$3, 0)))*INDEX(02B_ESCENARIOS!$B$15:$D$19, MATCH(VLOOKUP(A234,04_PROYECTOS!$A:$N,9,FALSE), 02B_ESCENARIOS!$A$15:$A$19, 0), MATCH("Base", 02B_ESCENARIOS!$B$14:$D$14, 0))</f>
        <v/>
      </c>
      <c r="F234">
        <f>E234*VLOOKUP(A234,04_PROYECTOS!$A:$N,6,FALSE)</f>
        <v/>
      </c>
      <c r="G234">
        <f>E234+F234</f>
        <v/>
      </c>
      <c r="H234">
        <f>IF(VLOOKUP(A234,04_PROYECTOS!$A:$N,10,FALSE)="", IF(VLOOKUP(A234,04_PROYECTOS!$A:$N,4,FALSE)="Privado", INDEX(02B_ESCENARIOS!$B$4:$D$11, MATCH("DSO_PRIVADO_DEFAULT", 02B_ESCENARIOS!$A$4:$A$11, 0), MATCH("Base", 02B_ESCENARIOS!$B$3:$D$3, 0)), IF(VLOOKUP(A234,04_PROYECTOS!$A:$N,4,FALSE)="Publico_&lt;10M",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VLOOKUP(A234,04_PROYECTOS!$A:$N,10,FALSE))</f>
        <v/>
      </c>
      <c r="I234">
        <f>ROUNDUP(H234/30,0)</f>
        <v/>
      </c>
      <c r="J234">
        <f>EDATE(C234,I234)</f>
        <v/>
      </c>
      <c r="K234">
        <f>G234</f>
        <v/>
      </c>
    </row>
    <row r="235">
      <c r="E235">
        <f>D235*VLOOKUP(A235,04_PROYECTOS!$A:$N,5,FALSE)*(INDEX(02B_ESCENARIOS!$B$4:$D$11, MATCH("MULT_PRECIO", 02B_ESCENARIOS!$A$4:$A$11, 0), MATCH("Base", 02B_ESCENARIOS!$B$3:$D$3, 0)))*INDEX(02B_ESCENARIOS!$B$15:$D$19, MATCH(VLOOKUP(A235,04_PROYECTOS!$A:$N,9,FALSE), 02B_ESCENARIOS!$A$15:$A$19, 0), MATCH("Base", 02B_ESCENARIOS!$B$14:$D$14, 0))</f>
        <v/>
      </c>
      <c r="F235">
        <f>E235*VLOOKUP(A235,04_PROYECTOS!$A:$N,6,FALSE)</f>
        <v/>
      </c>
      <c r="G235">
        <f>E235+F235</f>
        <v/>
      </c>
      <c r="H235">
        <f>IF(VLOOKUP(A235,04_PROYECTOS!$A:$N,10,FALSE)="", IF(VLOOKUP(A235,04_PROYECTOS!$A:$N,4,FALSE)="Privado", INDEX(02B_ESCENARIOS!$B$4:$D$11, MATCH("DSO_PRIVADO_DEFAULT", 02B_ESCENARIOS!$A$4:$A$11, 0), MATCH("Base", 02B_ESCENARIOS!$B$3:$D$3, 0)), IF(VLOOKUP(A235,04_PROYECTOS!$A:$N,4,FALSE)="Publico_&lt;10M",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VLOOKUP(A235,04_PROYECTOS!$A:$N,10,FALSE))</f>
        <v/>
      </c>
      <c r="I235">
        <f>ROUNDUP(H235/30,0)</f>
        <v/>
      </c>
      <c r="J235">
        <f>EDATE(C235,I235)</f>
        <v/>
      </c>
      <c r="K235">
        <f>G235</f>
        <v/>
      </c>
    </row>
    <row r="236">
      <c r="E236">
        <f>D236*VLOOKUP(A236,04_PROYECTOS!$A:$N,5,FALSE)*(INDEX(02B_ESCENARIOS!$B$4:$D$11, MATCH("MULT_PRECIO", 02B_ESCENARIOS!$A$4:$A$11, 0), MATCH("Base", 02B_ESCENARIOS!$B$3:$D$3, 0)))*INDEX(02B_ESCENARIOS!$B$15:$D$19, MATCH(VLOOKUP(A236,04_PROYECTOS!$A:$N,9,FALSE), 02B_ESCENARIOS!$A$15:$A$19, 0), MATCH("Base", 02B_ESCENARIOS!$B$14:$D$14, 0))</f>
        <v/>
      </c>
      <c r="F236">
        <f>E236*VLOOKUP(A236,04_PROYECTOS!$A:$N,6,FALSE)</f>
        <v/>
      </c>
      <c r="G236">
        <f>E236+F236</f>
        <v/>
      </c>
      <c r="H236">
        <f>IF(VLOOKUP(A236,04_PROYECTOS!$A:$N,10,FALSE)="", IF(VLOOKUP(A236,04_PROYECTOS!$A:$N,4,FALSE)="Privado", INDEX(02B_ESCENARIOS!$B$4:$D$11, MATCH("DSO_PRIVADO_DEFAULT", 02B_ESCENARIOS!$A$4:$A$11, 0), MATCH("Base", 02B_ESCENARIOS!$B$3:$D$3, 0)), IF(VLOOKUP(A236,04_PROYECTOS!$A:$N,4,FALSE)="Publico_&lt;10M",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VLOOKUP(A236,04_PROYECTOS!$A:$N,10,FALSE))</f>
        <v/>
      </c>
      <c r="I236">
        <f>ROUNDUP(H236/30,0)</f>
        <v/>
      </c>
      <c r="J236">
        <f>EDATE(C236,I236)</f>
        <v/>
      </c>
      <c r="K236">
        <f>G236</f>
        <v/>
      </c>
    </row>
    <row r="237">
      <c r="E237">
        <f>D237*VLOOKUP(A237,04_PROYECTOS!$A:$N,5,FALSE)*(INDEX(02B_ESCENARIOS!$B$4:$D$11, MATCH("MULT_PRECIO", 02B_ESCENARIOS!$A$4:$A$11, 0), MATCH("Base", 02B_ESCENARIOS!$B$3:$D$3, 0)))*INDEX(02B_ESCENARIOS!$B$15:$D$19, MATCH(VLOOKUP(A237,04_PROYECTOS!$A:$N,9,FALSE), 02B_ESCENARIOS!$A$15:$A$19, 0), MATCH("Base", 02B_ESCENARIOS!$B$14:$D$14, 0))</f>
        <v/>
      </c>
      <c r="F237">
        <f>E237*VLOOKUP(A237,04_PROYECTOS!$A:$N,6,FALSE)</f>
        <v/>
      </c>
      <c r="G237">
        <f>E237+F237</f>
        <v/>
      </c>
      <c r="H237">
        <f>IF(VLOOKUP(A237,04_PROYECTOS!$A:$N,10,FALSE)="", IF(VLOOKUP(A237,04_PROYECTOS!$A:$N,4,FALSE)="Privado", INDEX(02B_ESCENARIOS!$B$4:$D$11, MATCH("DSO_PRIVADO_DEFAULT", 02B_ESCENARIOS!$A$4:$A$11, 0), MATCH("Base", 02B_ESCENARIOS!$B$3:$D$3, 0)), IF(VLOOKUP(A237,04_PROYECTOS!$A:$N,4,FALSE)="Publico_&lt;10M",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VLOOKUP(A237,04_PROYECTOS!$A:$N,10,FALSE))</f>
        <v/>
      </c>
      <c r="I237">
        <f>ROUNDUP(H237/30,0)</f>
        <v/>
      </c>
      <c r="J237">
        <f>EDATE(C237,I237)</f>
        <v/>
      </c>
      <c r="K237">
        <f>G237</f>
        <v/>
      </c>
    </row>
    <row r="238">
      <c r="E238">
        <f>D238*VLOOKUP(A238,04_PROYECTOS!$A:$N,5,FALSE)*(INDEX(02B_ESCENARIOS!$B$4:$D$11, MATCH("MULT_PRECIO", 02B_ESCENARIOS!$A$4:$A$11, 0), MATCH("Base", 02B_ESCENARIOS!$B$3:$D$3, 0)))*INDEX(02B_ESCENARIOS!$B$15:$D$19, MATCH(VLOOKUP(A238,04_PROYECTOS!$A:$N,9,FALSE), 02B_ESCENARIOS!$A$15:$A$19, 0), MATCH("Base", 02B_ESCENARIOS!$B$14:$D$14, 0))</f>
        <v/>
      </c>
      <c r="F238">
        <f>E238*VLOOKUP(A238,04_PROYECTOS!$A:$N,6,FALSE)</f>
        <v/>
      </c>
      <c r="G238">
        <f>E238+F238</f>
        <v/>
      </c>
      <c r="H238">
        <f>IF(VLOOKUP(A238,04_PROYECTOS!$A:$N,10,FALSE)="", IF(VLOOKUP(A238,04_PROYECTOS!$A:$N,4,FALSE)="Privado", INDEX(02B_ESCENARIOS!$B$4:$D$11, MATCH("DSO_PRIVADO_DEFAULT", 02B_ESCENARIOS!$A$4:$A$11, 0), MATCH("Base", 02B_ESCENARIOS!$B$3:$D$3, 0)), IF(VLOOKUP(A238,04_PROYECTOS!$A:$N,4,FALSE)="Publico_&lt;10M",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VLOOKUP(A238,04_PROYECTOS!$A:$N,10,FALSE))</f>
        <v/>
      </c>
      <c r="I238">
        <f>ROUNDUP(H238/30,0)</f>
        <v/>
      </c>
      <c r="J238">
        <f>EDATE(C238,I238)</f>
        <v/>
      </c>
      <c r="K238">
        <f>G238</f>
        <v/>
      </c>
    </row>
    <row r="239">
      <c r="E239">
        <f>D239*VLOOKUP(A239,04_PROYECTOS!$A:$N,5,FALSE)*(INDEX(02B_ESCENARIOS!$B$4:$D$11, MATCH("MULT_PRECIO", 02B_ESCENARIOS!$A$4:$A$11, 0), MATCH("Base", 02B_ESCENARIOS!$B$3:$D$3, 0)))*INDEX(02B_ESCENARIOS!$B$15:$D$19, MATCH(VLOOKUP(A239,04_PROYECTOS!$A:$N,9,FALSE), 02B_ESCENARIOS!$A$15:$A$19, 0), MATCH("Base", 02B_ESCENARIOS!$B$14:$D$14, 0))</f>
        <v/>
      </c>
      <c r="F239">
        <f>E239*VLOOKUP(A239,04_PROYECTOS!$A:$N,6,FALSE)</f>
        <v/>
      </c>
      <c r="G239">
        <f>E239+F239</f>
        <v/>
      </c>
      <c r="H239">
        <f>IF(VLOOKUP(A239,04_PROYECTOS!$A:$N,10,FALSE)="", IF(VLOOKUP(A239,04_PROYECTOS!$A:$N,4,FALSE)="Privado", INDEX(02B_ESCENARIOS!$B$4:$D$11, MATCH("DSO_PRIVADO_DEFAULT", 02B_ESCENARIOS!$A$4:$A$11, 0), MATCH("Base", 02B_ESCENARIOS!$B$3:$D$3, 0)), IF(VLOOKUP(A239,04_PROYECTOS!$A:$N,4,FALSE)="Publico_&lt;10M",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VLOOKUP(A239,04_PROYECTOS!$A:$N,10,FALSE))</f>
        <v/>
      </c>
      <c r="I239">
        <f>ROUNDUP(H239/30,0)</f>
        <v/>
      </c>
      <c r="J239">
        <f>EDATE(C239,I239)</f>
        <v/>
      </c>
      <c r="K239">
        <f>G239</f>
        <v/>
      </c>
    </row>
    <row r="240">
      <c r="E240">
        <f>D240*VLOOKUP(A240,04_PROYECTOS!$A:$N,5,FALSE)*(INDEX(02B_ESCENARIOS!$B$4:$D$11, MATCH("MULT_PRECIO", 02B_ESCENARIOS!$A$4:$A$11, 0), MATCH("Base", 02B_ESCENARIOS!$B$3:$D$3, 0)))*INDEX(02B_ESCENARIOS!$B$15:$D$19, MATCH(VLOOKUP(A240,04_PROYECTOS!$A:$N,9,FALSE), 02B_ESCENARIOS!$A$15:$A$19, 0), MATCH("Base", 02B_ESCENARIOS!$B$14:$D$14, 0))</f>
        <v/>
      </c>
      <c r="F240">
        <f>E240*VLOOKUP(A240,04_PROYECTOS!$A:$N,6,FALSE)</f>
        <v/>
      </c>
      <c r="G240">
        <f>E240+F240</f>
        <v/>
      </c>
      <c r="H240">
        <f>IF(VLOOKUP(A240,04_PROYECTOS!$A:$N,10,FALSE)="", IF(VLOOKUP(A240,04_PROYECTOS!$A:$N,4,FALSE)="Privado", INDEX(02B_ESCENARIOS!$B$4:$D$11, MATCH("DSO_PRIVADO_DEFAULT", 02B_ESCENARIOS!$A$4:$A$11, 0), MATCH("Base", 02B_ESCENARIOS!$B$3:$D$3, 0)), IF(VLOOKUP(A240,04_PROYECTOS!$A:$N,4,FALSE)="Publico_&lt;10M",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VLOOKUP(A240,04_PROYECTOS!$A:$N,10,FALSE))</f>
        <v/>
      </c>
      <c r="I240">
        <f>ROUNDUP(H240/30,0)</f>
        <v/>
      </c>
      <c r="J240">
        <f>EDATE(C240,I240)</f>
        <v/>
      </c>
      <c r="K240">
        <f>G240</f>
        <v/>
      </c>
    </row>
    <row r="241">
      <c r="E241">
        <f>D241*VLOOKUP(A241,04_PROYECTOS!$A:$N,5,FALSE)*(INDEX(02B_ESCENARIOS!$B$4:$D$11, MATCH("MULT_PRECIO", 02B_ESCENARIOS!$A$4:$A$11, 0), MATCH("Base", 02B_ESCENARIOS!$B$3:$D$3, 0)))*INDEX(02B_ESCENARIOS!$B$15:$D$19, MATCH(VLOOKUP(A241,04_PROYECTOS!$A:$N,9,FALSE), 02B_ESCENARIOS!$A$15:$A$19, 0), MATCH("Base", 02B_ESCENARIOS!$B$14:$D$14, 0))</f>
        <v/>
      </c>
      <c r="F241">
        <f>E241*VLOOKUP(A241,04_PROYECTOS!$A:$N,6,FALSE)</f>
        <v/>
      </c>
      <c r="G241">
        <f>E241+F241</f>
        <v/>
      </c>
      <c r="H241">
        <f>IF(VLOOKUP(A241,04_PROYECTOS!$A:$N,10,FALSE)="", IF(VLOOKUP(A241,04_PROYECTOS!$A:$N,4,FALSE)="Privado", INDEX(02B_ESCENARIOS!$B$4:$D$11, MATCH("DSO_PRIVADO_DEFAULT", 02B_ESCENARIOS!$A$4:$A$11, 0), MATCH("Base", 02B_ESCENARIOS!$B$3:$D$3, 0)), IF(VLOOKUP(A241,04_PROYECTOS!$A:$N,4,FALSE)="Publico_&lt;10M",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VLOOKUP(A241,04_PROYECTOS!$A:$N,10,FALSE))</f>
        <v/>
      </c>
      <c r="I241">
        <f>ROUNDUP(H241/30,0)</f>
        <v/>
      </c>
      <c r="J241">
        <f>EDATE(C241,I241)</f>
        <v/>
      </c>
      <c r="K241">
        <f>G241</f>
        <v/>
      </c>
    </row>
    <row r="242">
      <c r="E242">
        <f>D242*VLOOKUP(A242,04_PROYECTOS!$A:$N,5,FALSE)*(INDEX(02B_ESCENARIOS!$B$4:$D$11, MATCH("MULT_PRECIO", 02B_ESCENARIOS!$A$4:$A$11, 0), MATCH("Base", 02B_ESCENARIOS!$B$3:$D$3, 0)))*INDEX(02B_ESCENARIOS!$B$15:$D$19, MATCH(VLOOKUP(A242,04_PROYECTOS!$A:$N,9,FALSE), 02B_ESCENARIOS!$A$15:$A$19, 0), MATCH("Base", 02B_ESCENARIOS!$B$14:$D$14, 0))</f>
        <v/>
      </c>
      <c r="F242">
        <f>E242*VLOOKUP(A242,04_PROYECTOS!$A:$N,6,FALSE)</f>
        <v/>
      </c>
      <c r="G242">
        <f>E242+F242</f>
        <v/>
      </c>
      <c r="H242">
        <f>IF(VLOOKUP(A242,04_PROYECTOS!$A:$N,10,FALSE)="", IF(VLOOKUP(A242,04_PROYECTOS!$A:$N,4,FALSE)="Privado", INDEX(02B_ESCENARIOS!$B$4:$D$11, MATCH("DSO_PRIVADO_DEFAULT", 02B_ESCENARIOS!$A$4:$A$11, 0), MATCH("Base", 02B_ESCENARIOS!$B$3:$D$3, 0)), IF(VLOOKUP(A242,04_PROYECTOS!$A:$N,4,FALSE)="Publico_&lt;10M",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VLOOKUP(A242,04_PROYECTOS!$A:$N,10,FALSE))</f>
        <v/>
      </c>
      <c r="I242">
        <f>ROUNDUP(H242/30,0)</f>
        <v/>
      </c>
      <c r="J242">
        <f>EDATE(C242,I242)</f>
        <v/>
      </c>
      <c r="K242">
        <f>G242</f>
        <v/>
      </c>
    </row>
    <row r="243">
      <c r="E243">
        <f>D243*VLOOKUP(A243,04_PROYECTOS!$A:$N,5,FALSE)*(INDEX(02B_ESCENARIOS!$B$4:$D$11, MATCH("MULT_PRECIO", 02B_ESCENARIOS!$A$4:$A$11, 0), MATCH("Base", 02B_ESCENARIOS!$B$3:$D$3, 0)))*INDEX(02B_ESCENARIOS!$B$15:$D$19, MATCH(VLOOKUP(A243,04_PROYECTOS!$A:$N,9,FALSE), 02B_ESCENARIOS!$A$15:$A$19, 0), MATCH("Base", 02B_ESCENARIOS!$B$14:$D$14, 0))</f>
        <v/>
      </c>
      <c r="F243">
        <f>E243*VLOOKUP(A243,04_PROYECTOS!$A:$N,6,FALSE)</f>
        <v/>
      </c>
      <c r="G243">
        <f>E243+F243</f>
        <v/>
      </c>
      <c r="H243">
        <f>IF(VLOOKUP(A243,04_PROYECTOS!$A:$N,10,FALSE)="", IF(VLOOKUP(A243,04_PROYECTOS!$A:$N,4,FALSE)="Privado", INDEX(02B_ESCENARIOS!$B$4:$D$11, MATCH("DSO_PRIVADO_DEFAULT", 02B_ESCENARIOS!$A$4:$A$11, 0), MATCH("Base", 02B_ESCENARIOS!$B$3:$D$3, 0)), IF(VLOOKUP(A243,04_PROYECTOS!$A:$N,4,FALSE)="Publico_&lt;10M",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VLOOKUP(A243,04_PROYECTOS!$A:$N,10,FALSE))</f>
        <v/>
      </c>
      <c r="I243">
        <f>ROUNDUP(H243/30,0)</f>
        <v/>
      </c>
      <c r="J243">
        <f>EDATE(C243,I243)</f>
        <v/>
      </c>
      <c r="K243">
        <f>G243</f>
        <v/>
      </c>
    </row>
    <row r="244">
      <c r="E244">
        <f>D244*VLOOKUP(A244,04_PROYECTOS!$A:$N,5,FALSE)*(INDEX(02B_ESCENARIOS!$B$4:$D$11, MATCH("MULT_PRECIO", 02B_ESCENARIOS!$A$4:$A$11, 0), MATCH("Base", 02B_ESCENARIOS!$B$3:$D$3, 0)))*INDEX(02B_ESCENARIOS!$B$15:$D$19, MATCH(VLOOKUP(A244,04_PROYECTOS!$A:$N,9,FALSE), 02B_ESCENARIOS!$A$15:$A$19, 0), MATCH("Base", 02B_ESCENARIOS!$B$14:$D$14, 0))</f>
        <v/>
      </c>
      <c r="F244">
        <f>E244*VLOOKUP(A244,04_PROYECTOS!$A:$N,6,FALSE)</f>
        <v/>
      </c>
      <c r="G244">
        <f>E244+F244</f>
        <v/>
      </c>
      <c r="H244">
        <f>IF(VLOOKUP(A244,04_PROYECTOS!$A:$N,10,FALSE)="", IF(VLOOKUP(A244,04_PROYECTOS!$A:$N,4,FALSE)="Privado", INDEX(02B_ESCENARIOS!$B$4:$D$11, MATCH("DSO_PRIVADO_DEFAULT", 02B_ESCENARIOS!$A$4:$A$11, 0), MATCH("Base", 02B_ESCENARIOS!$B$3:$D$3, 0)), IF(VLOOKUP(A244,04_PROYECTOS!$A:$N,4,FALSE)="Publico_&lt;10M",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VLOOKUP(A244,04_PROYECTOS!$A:$N,10,FALSE))</f>
        <v/>
      </c>
      <c r="I244">
        <f>ROUNDUP(H244/30,0)</f>
        <v/>
      </c>
      <c r="J244">
        <f>EDATE(C244,I244)</f>
        <v/>
      </c>
      <c r="K244">
        <f>G244</f>
        <v/>
      </c>
    </row>
    <row r="245">
      <c r="E245">
        <f>D245*VLOOKUP(A245,04_PROYECTOS!$A:$N,5,FALSE)*(INDEX(02B_ESCENARIOS!$B$4:$D$11, MATCH("MULT_PRECIO", 02B_ESCENARIOS!$A$4:$A$11, 0), MATCH("Base", 02B_ESCENARIOS!$B$3:$D$3, 0)))*INDEX(02B_ESCENARIOS!$B$15:$D$19, MATCH(VLOOKUP(A245,04_PROYECTOS!$A:$N,9,FALSE), 02B_ESCENARIOS!$A$15:$A$19, 0), MATCH("Base", 02B_ESCENARIOS!$B$14:$D$14, 0))</f>
        <v/>
      </c>
      <c r="F245">
        <f>E245*VLOOKUP(A245,04_PROYECTOS!$A:$N,6,FALSE)</f>
        <v/>
      </c>
      <c r="G245">
        <f>E245+F245</f>
        <v/>
      </c>
      <c r="H245">
        <f>IF(VLOOKUP(A245,04_PROYECTOS!$A:$N,10,FALSE)="", IF(VLOOKUP(A245,04_PROYECTOS!$A:$N,4,FALSE)="Privado", INDEX(02B_ESCENARIOS!$B$4:$D$11, MATCH("DSO_PRIVADO_DEFAULT", 02B_ESCENARIOS!$A$4:$A$11, 0), MATCH("Base", 02B_ESCENARIOS!$B$3:$D$3, 0)), IF(VLOOKUP(A245,04_PROYECTOS!$A:$N,4,FALSE)="Publico_&lt;10M",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VLOOKUP(A245,04_PROYECTOS!$A:$N,10,FALSE))</f>
        <v/>
      </c>
      <c r="I245">
        <f>ROUNDUP(H245/30,0)</f>
        <v/>
      </c>
      <c r="J245">
        <f>EDATE(C245,I245)</f>
        <v/>
      </c>
      <c r="K245">
        <f>G245</f>
        <v/>
      </c>
    </row>
    <row r="246">
      <c r="E246">
        <f>D246*VLOOKUP(A246,04_PROYECTOS!$A:$N,5,FALSE)*(INDEX(02B_ESCENARIOS!$B$4:$D$11, MATCH("MULT_PRECIO", 02B_ESCENARIOS!$A$4:$A$11, 0), MATCH("Base", 02B_ESCENARIOS!$B$3:$D$3, 0)))*INDEX(02B_ESCENARIOS!$B$15:$D$19, MATCH(VLOOKUP(A246,04_PROYECTOS!$A:$N,9,FALSE), 02B_ESCENARIOS!$A$15:$A$19, 0), MATCH("Base", 02B_ESCENARIOS!$B$14:$D$14, 0))</f>
        <v/>
      </c>
      <c r="F246">
        <f>E246*VLOOKUP(A246,04_PROYECTOS!$A:$N,6,FALSE)</f>
        <v/>
      </c>
      <c r="G246">
        <f>E246+F246</f>
        <v/>
      </c>
      <c r="H246">
        <f>IF(VLOOKUP(A246,04_PROYECTOS!$A:$N,10,FALSE)="", IF(VLOOKUP(A246,04_PROYECTOS!$A:$N,4,FALSE)="Privado", INDEX(02B_ESCENARIOS!$B$4:$D$11, MATCH("DSO_PRIVADO_DEFAULT", 02B_ESCENARIOS!$A$4:$A$11, 0), MATCH("Base", 02B_ESCENARIOS!$B$3:$D$3, 0)), IF(VLOOKUP(A246,04_PROYECTOS!$A:$N,4,FALSE)="Publico_&lt;10M",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VLOOKUP(A246,04_PROYECTOS!$A:$N,10,FALSE))</f>
        <v/>
      </c>
      <c r="I246">
        <f>ROUNDUP(H246/30,0)</f>
        <v/>
      </c>
      <c r="J246">
        <f>EDATE(C246,I246)</f>
        <v/>
      </c>
      <c r="K246">
        <f>G246</f>
        <v/>
      </c>
    </row>
    <row r="247">
      <c r="E247">
        <f>D247*VLOOKUP(A247,04_PROYECTOS!$A:$N,5,FALSE)*(INDEX(02B_ESCENARIOS!$B$4:$D$11, MATCH("MULT_PRECIO", 02B_ESCENARIOS!$A$4:$A$11, 0), MATCH("Base", 02B_ESCENARIOS!$B$3:$D$3, 0)))*INDEX(02B_ESCENARIOS!$B$15:$D$19, MATCH(VLOOKUP(A247,04_PROYECTOS!$A:$N,9,FALSE), 02B_ESCENARIOS!$A$15:$A$19, 0), MATCH("Base", 02B_ESCENARIOS!$B$14:$D$14, 0))</f>
        <v/>
      </c>
      <c r="F247">
        <f>E247*VLOOKUP(A247,04_PROYECTOS!$A:$N,6,FALSE)</f>
        <v/>
      </c>
      <c r="G247">
        <f>E247+F247</f>
        <v/>
      </c>
      <c r="H247">
        <f>IF(VLOOKUP(A247,04_PROYECTOS!$A:$N,10,FALSE)="", IF(VLOOKUP(A247,04_PROYECTOS!$A:$N,4,FALSE)="Privado", INDEX(02B_ESCENARIOS!$B$4:$D$11, MATCH("DSO_PRIVADO_DEFAULT", 02B_ESCENARIOS!$A$4:$A$11, 0), MATCH("Base", 02B_ESCENARIOS!$B$3:$D$3, 0)), IF(VLOOKUP(A247,04_PROYECTOS!$A:$N,4,FALSE)="Publico_&lt;10M",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VLOOKUP(A247,04_PROYECTOS!$A:$N,10,FALSE))</f>
        <v/>
      </c>
      <c r="I247">
        <f>ROUNDUP(H247/30,0)</f>
        <v/>
      </c>
      <c r="J247">
        <f>EDATE(C247,I247)</f>
        <v/>
      </c>
      <c r="K247">
        <f>G247</f>
        <v/>
      </c>
    </row>
    <row r="248">
      <c r="E248">
        <f>D248*VLOOKUP(A248,04_PROYECTOS!$A:$N,5,FALSE)*(INDEX(02B_ESCENARIOS!$B$4:$D$11, MATCH("MULT_PRECIO", 02B_ESCENARIOS!$A$4:$A$11, 0), MATCH("Base", 02B_ESCENARIOS!$B$3:$D$3, 0)))*INDEX(02B_ESCENARIOS!$B$15:$D$19, MATCH(VLOOKUP(A248,04_PROYECTOS!$A:$N,9,FALSE), 02B_ESCENARIOS!$A$15:$A$19, 0), MATCH("Base", 02B_ESCENARIOS!$B$14:$D$14, 0))</f>
        <v/>
      </c>
      <c r="F248">
        <f>E248*VLOOKUP(A248,04_PROYECTOS!$A:$N,6,FALSE)</f>
        <v/>
      </c>
      <c r="G248">
        <f>E248+F248</f>
        <v/>
      </c>
      <c r="H248">
        <f>IF(VLOOKUP(A248,04_PROYECTOS!$A:$N,10,FALSE)="", IF(VLOOKUP(A248,04_PROYECTOS!$A:$N,4,FALSE)="Privado", INDEX(02B_ESCENARIOS!$B$4:$D$11, MATCH("DSO_PRIVADO_DEFAULT", 02B_ESCENARIOS!$A$4:$A$11, 0), MATCH("Base", 02B_ESCENARIOS!$B$3:$D$3, 0)), IF(VLOOKUP(A248,04_PROYECTOS!$A:$N,4,FALSE)="Publico_&lt;10M",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VLOOKUP(A248,04_PROYECTOS!$A:$N,10,FALSE))</f>
        <v/>
      </c>
      <c r="I248">
        <f>ROUNDUP(H248/30,0)</f>
        <v/>
      </c>
      <c r="J248">
        <f>EDATE(C248,I248)</f>
        <v/>
      </c>
      <c r="K248">
        <f>G248</f>
        <v/>
      </c>
    </row>
    <row r="249">
      <c r="E249">
        <f>D249*VLOOKUP(A249,04_PROYECTOS!$A:$N,5,FALSE)*(INDEX(02B_ESCENARIOS!$B$4:$D$11, MATCH("MULT_PRECIO", 02B_ESCENARIOS!$A$4:$A$11, 0), MATCH("Base", 02B_ESCENARIOS!$B$3:$D$3, 0)))*INDEX(02B_ESCENARIOS!$B$15:$D$19, MATCH(VLOOKUP(A249,04_PROYECTOS!$A:$N,9,FALSE), 02B_ESCENARIOS!$A$15:$A$19, 0), MATCH("Base", 02B_ESCENARIOS!$B$14:$D$14, 0))</f>
        <v/>
      </c>
      <c r="F249">
        <f>E249*VLOOKUP(A249,04_PROYECTOS!$A:$N,6,FALSE)</f>
        <v/>
      </c>
      <c r="G249">
        <f>E249+F249</f>
        <v/>
      </c>
      <c r="H249">
        <f>IF(VLOOKUP(A249,04_PROYECTOS!$A:$N,10,FALSE)="", IF(VLOOKUP(A249,04_PROYECTOS!$A:$N,4,FALSE)="Privado", INDEX(02B_ESCENARIOS!$B$4:$D$11, MATCH("DSO_PRIVADO_DEFAULT", 02B_ESCENARIOS!$A$4:$A$11, 0), MATCH("Base", 02B_ESCENARIOS!$B$3:$D$3, 0)), IF(VLOOKUP(A249,04_PROYECTOS!$A:$N,4,FALSE)="Publico_&lt;10M",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VLOOKUP(A249,04_PROYECTOS!$A:$N,10,FALSE))</f>
        <v/>
      </c>
      <c r="I249">
        <f>ROUNDUP(H249/30,0)</f>
        <v/>
      </c>
      <c r="J249">
        <f>EDATE(C249,I249)</f>
        <v/>
      </c>
      <c r="K249">
        <f>G249</f>
        <v/>
      </c>
    </row>
    <row r="250">
      <c r="E250">
        <f>D250*VLOOKUP(A250,04_PROYECTOS!$A:$N,5,FALSE)*(INDEX(02B_ESCENARIOS!$B$4:$D$11, MATCH("MULT_PRECIO", 02B_ESCENARIOS!$A$4:$A$11, 0), MATCH("Base", 02B_ESCENARIOS!$B$3:$D$3, 0)))*INDEX(02B_ESCENARIOS!$B$15:$D$19, MATCH(VLOOKUP(A250,04_PROYECTOS!$A:$N,9,FALSE), 02B_ESCENARIOS!$A$15:$A$19, 0), MATCH("Base", 02B_ESCENARIOS!$B$14:$D$14, 0))</f>
        <v/>
      </c>
      <c r="F250">
        <f>E250*VLOOKUP(A250,04_PROYECTOS!$A:$N,6,FALSE)</f>
        <v/>
      </c>
      <c r="G250">
        <f>E250+F250</f>
        <v/>
      </c>
      <c r="H250">
        <f>IF(VLOOKUP(A250,04_PROYECTOS!$A:$N,10,FALSE)="", IF(VLOOKUP(A250,04_PROYECTOS!$A:$N,4,FALSE)="Privado", INDEX(02B_ESCENARIOS!$B$4:$D$11, MATCH("DSO_PRIVADO_DEFAULT", 02B_ESCENARIOS!$A$4:$A$11, 0), MATCH("Base", 02B_ESCENARIOS!$B$3:$D$3, 0)), IF(VLOOKUP(A250,04_PROYECTOS!$A:$N,4,FALSE)="Publico_&lt;10M",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VLOOKUP(A250,04_PROYECTOS!$A:$N,10,FALSE))</f>
        <v/>
      </c>
      <c r="I250">
        <f>ROUNDUP(H250/30,0)</f>
        <v/>
      </c>
      <c r="J250">
        <f>EDATE(C250,I250)</f>
        <v/>
      </c>
      <c r="K250">
        <f>G250</f>
        <v/>
      </c>
    </row>
    <row r="251">
      <c r="E251">
        <f>D251*VLOOKUP(A251,04_PROYECTOS!$A:$N,5,FALSE)*(INDEX(02B_ESCENARIOS!$B$4:$D$11, MATCH("MULT_PRECIO", 02B_ESCENARIOS!$A$4:$A$11, 0), MATCH("Base", 02B_ESCENARIOS!$B$3:$D$3, 0)))*INDEX(02B_ESCENARIOS!$B$15:$D$19, MATCH(VLOOKUP(A251,04_PROYECTOS!$A:$N,9,FALSE), 02B_ESCENARIOS!$A$15:$A$19, 0), MATCH("Base", 02B_ESCENARIOS!$B$14:$D$14, 0))</f>
        <v/>
      </c>
      <c r="F251">
        <f>E251*VLOOKUP(A251,04_PROYECTOS!$A:$N,6,FALSE)</f>
        <v/>
      </c>
      <c r="G251">
        <f>E251+F251</f>
        <v/>
      </c>
      <c r="H251">
        <f>IF(VLOOKUP(A251,04_PROYECTOS!$A:$N,10,FALSE)="", IF(VLOOKUP(A251,04_PROYECTOS!$A:$N,4,FALSE)="Privado", INDEX(02B_ESCENARIOS!$B$4:$D$11, MATCH("DSO_PRIVADO_DEFAULT", 02B_ESCENARIOS!$A$4:$A$11, 0), MATCH("Base", 02B_ESCENARIOS!$B$3:$D$3, 0)), IF(VLOOKUP(A251,04_PROYECTOS!$A:$N,4,FALSE)="Publico_&lt;10M",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VLOOKUP(A251,04_PROYECTOS!$A:$N,10,FALSE))</f>
        <v/>
      </c>
      <c r="I251">
        <f>ROUNDUP(H251/30,0)</f>
        <v/>
      </c>
      <c r="J251">
        <f>EDATE(C251,I251)</f>
        <v/>
      </c>
      <c r="K251">
        <f>G251</f>
        <v/>
      </c>
    </row>
    <row r="252">
      <c r="E252">
        <f>D252*VLOOKUP(A252,04_PROYECTOS!$A:$N,5,FALSE)*(INDEX(02B_ESCENARIOS!$B$4:$D$11, MATCH("MULT_PRECIO", 02B_ESCENARIOS!$A$4:$A$11, 0), MATCH("Base", 02B_ESCENARIOS!$B$3:$D$3, 0)))*INDEX(02B_ESCENARIOS!$B$15:$D$19, MATCH(VLOOKUP(A252,04_PROYECTOS!$A:$N,9,FALSE), 02B_ESCENARIOS!$A$15:$A$19, 0), MATCH("Base", 02B_ESCENARIOS!$B$14:$D$14, 0))</f>
        <v/>
      </c>
      <c r="F252">
        <f>E252*VLOOKUP(A252,04_PROYECTOS!$A:$N,6,FALSE)</f>
        <v/>
      </c>
      <c r="G252">
        <f>E252+F252</f>
        <v/>
      </c>
      <c r="H252">
        <f>IF(VLOOKUP(A252,04_PROYECTOS!$A:$N,10,FALSE)="", IF(VLOOKUP(A252,04_PROYECTOS!$A:$N,4,FALSE)="Privado", INDEX(02B_ESCENARIOS!$B$4:$D$11, MATCH("DSO_PRIVADO_DEFAULT", 02B_ESCENARIOS!$A$4:$A$11, 0), MATCH("Base", 02B_ESCENARIOS!$B$3:$D$3, 0)), IF(VLOOKUP(A252,04_PROYECTOS!$A:$N,4,FALSE)="Publico_&lt;10M",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VLOOKUP(A252,04_PROYECTOS!$A:$N,10,FALSE))</f>
        <v/>
      </c>
      <c r="I252">
        <f>ROUNDUP(H252/30,0)</f>
        <v/>
      </c>
      <c r="J252">
        <f>EDATE(C252,I252)</f>
        <v/>
      </c>
      <c r="K252">
        <f>G252</f>
        <v/>
      </c>
    </row>
    <row r="253">
      <c r="E253">
        <f>D253*VLOOKUP(A253,04_PROYECTOS!$A:$N,5,FALSE)*(INDEX(02B_ESCENARIOS!$B$4:$D$11, MATCH("MULT_PRECIO", 02B_ESCENARIOS!$A$4:$A$11, 0), MATCH("Base", 02B_ESCENARIOS!$B$3:$D$3, 0)))*INDEX(02B_ESCENARIOS!$B$15:$D$19, MATCH(VLOOKUP(A253,04_PROYECTOS!$A:$N,9,FALSE), 02B_ESCENARIOS!$A$15:$A$19, 0), MATCH("Base", 02B_ESCENARIOS!$B$14:$D$14, 0))</f>
        <v/>
      </c>
      <c r="F253">
        <f>E253*VLOOKUP(A253,04_PROYECTOS!$A:$N,6,FALSE)</f>
        <v/>
      </c>
      <c r="G253">
        <f>E253+F253</f>
        <v/>
      </c>
      <c r="H253">
        <f>IF(VLOOKUP(A253,04_PROYECTOS!$A:$N,10,FALSE)="", IF(VLOOKUP(A253,04_PROYECTOS!$A:$N,4,FALSE)="Privado", INDEX(02B_ESCENARIOS!$B$4:$D$11, MATCH("DSO_PRIVADO_DEFAULT", 02B_ESCENARIOS!$A$4:$A$11, 0), MATCH("Base", 02B_ESCENARIOS!$B$3:$D$3, 0)), IF(VLOOKUP(A253,04_PROYECTOS!$A:$N,4,FALSE)="Publico_&lt;10M",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VLOOKUP(A253,04_PROYECTOS!$A:$N,10,FALSE))</f>
        <v/>
      </c>
      <c r="I253">
        <f>ROUNDUP(H253/30,0)</f>
        <v/>
      </c>
      <c r="J253">
        <f>EDATE(C253,I253)</f>
        <v/>
      </c>
      <c r="K253">
        <f>G253</f>
        <v/>
      </c>
    </row>
    <row r="254">
      <c r="E254">
        <f>D254*VLOOKUP(A254,04_PROYECTOS!$A:$N,5,FALSE)*(INDEX(02B_ESCENARIOS!$B$4:$D$11, MATCH("MULT_PRECIO", 02B_ESCENARIOS!$A$4:$A$11, 0), MATCH("Base", 02B_ESCENARIOS!$B$3:$D$3, 0)))*INDEX(02B_ESCENARIOS!$B$15:$D$19, MATCH(VLOOKUP(A254,04_PROYECTOS!$A:$N,9,FALSE), 02B_ESCENARIOS!$A$15:$A$19, 0), MATCH("Base", 02B_ESCENARIOS!$B$14:$D$14, 0))</f>
        <v/>
      </c>
      <c r="F254">
        <f>E254*VLOOKUP(A254,04_PROYECTOS!$A:$N,6,FALSE)</f>
        <v/>
      </c>
      <c r="G254">
        <f>E254+F254</f>
        <v/>
      </c>
      <c r="H254">
        <f>IF(VLOOKUP(A254,04_PROYECTOS!$A:$N,10,FALSE)="", IF(VLOOKUP(A254,04_PROYECTOS!$A:$N,4,FALSE)="Privado", INDEX(02B_ESCENARIOS!$B$4:$D$11, MATCH("DSO_PRIVADO_DEFAULT", 02B_ESCENARIOS!$A$4:$A$11, 0), MATCH("Base", 02B_ESCENARIOS!$B$3:$D$3, 0)), IF(VLOOKUP(A254,04_PROYECTOS!$A:$N,4,FALSE)="Publico_&lt;10M",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VLOOKUP(A254,04_PROYECTOS!$A:$N,10,FALSE))</f>
        <v/>
      </c>
      <c r="I254">
        <f>ROUNDUP(H254/30,0)</f>
        <v/>
      </c>
      <c r="J254">
        <f>EDATE(C254,I254)</f>
        <v/>
      </c>
      <c r="K254">
        <f>G254</f>
        <v/>
      </c>
    </row>
    <row r="255">
      <c r="E255">
        <f>D255*VLOOKUP(A255,04_PROYECTOS!$A:$N,5,FALSE)*(INDEX(02B_ESCENARIOS!$B$4:$D$11, MATCH("MULT_PRECIO", 02B_ESCENARIOS!$A$4:$A$11, 0), MATCH("Base", 02B_ESCENARIOS!$B$3:$D$3, 0)))*INDEX(02B_ESCENARIOS!$B$15:$D$19, MATCH(VLOOKUP(A255,04_PROYECTOS!$A:$N,9,FALSE), 02B_ESCENARIOS!$A$15:$A$19, 0), MATCH("Base", 02B_ESCENARIOS!$B$14:$D$14, 0))</f>
        <v/>
      </c>
      <c r="F255">
        <f>E255*VLOOKUP(A255,04_PROYECTOS!$A:$N,6,FALSE)</f>
        <v/>
      </c>
      <c r="G255">
        <f>E255+F255</f>
        <v/>
      </c>
      <c r="H255">
        <f>IF(VLOOKUP(A255,04_PROYECTOS!$A:$N,10,FALSE)="", IF(VLOOKUP(A255,04_PROYECTOS!$A:$N,4,FALSE)="Privado", INDEX(02B_ESCENARIOS!$B$4:$D$11, MATCH("DSO_PRIVADO_DEFAULT", 02B_ESCENARIOS!$A$4:$A$11, 0), MATCH("Base", 02B_ESCENARIOS!$B$3:$D$3, 0)), IF(VLOOKUP(A255,04_PROYECTOS!$A:$N,4,FALSE)="Publico_&lt;10M",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VLOOKUP(A255,04_PROYECTOS!$A:$N,10,FALSE))</f>
        <v/>
      </c>
      <c r="I255">
        <f>ROUNDUP(H255/30,0)</f>
        <v/>
      </c>
      <c r="J255">
        <f>EDATE(C255,I255)</f>
        <v/>
      </c>
      <c r="K255">
        <f>G255</f>
        <v/>
      </c>
    </row>
    <row r="256">
      <c r="E256">
        <f>D256*VLOOKUP(A256,04_PROYECTOS!$A:$N,5,FALSE)*(INDEX(02B_ESCENARIOS!$B$4:$D$11, MATCH("MULT_PRECIO", 02B_ESCENARIOS!$A$4:$A$11, 0), MATCH("Base", 02B_ESCENARIOS!$B$3:$D$3, 0)))*INDEX(02B_ESCENARIOS!$B$15:$D$19, MATCH(VLOOKUP(A256,04_PROYECTOS!$A:$N,9,FALSE), 02B_ESCENARIOS!$A$15:$A$19, 0), MATCH("Base", 02B_ESCENARIOS!$B$14:$D$14, 0))</f>
        <v/>
      </c>
      <c r="F256">
        <f>E256*VLOOKUP(A256,04_PROYECTOS!$A:$N,6,FALSE)</f>
        <v/>
      </c>
      <c r="G256">
        <f>E256+F256</f>
        <v/>
      </c>
      <c r="H256">
        <f>IF(VLOOKUP(A256,04_PROYECTOS!$A:$N,10,FALSE)="", IF(VLOOKUP(A256,04_PROYECTOS!$A:$N,4,FALSE)="Privado", INDEX(02B_ESCENARIOS!$B$4:$D$11, MATCH("DSO_PRIVADO_DEFAULT", 02B_ESCENARIOS!$A$4:$A$11, 0), MATCH("Base", 02B_ESCENARIOS!$B$3:$D$3, 0)), IF(VLOOKUP(A256,04_PROYECTOS!$A:$N,4,FALSE)="Publico_&lt;10M",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VLOOKUP(A256,04_PROYECTOS!$A:$N,10,FALSE))</f>
        <v/>
      </c>
      <c r="I256">
        <f>ROUNDUP(H256/30,0)</f>
        <v/>
      </c>
      <c r="J256">
        <f>EDATE(C256,I256)</f>
        <v/>
      </c>
      <c r="K256">
        <f>G256</f>
        <v/>
      </c>
    </row>
    <row r="257">
      <c r="E257">
        <f>D257*VLOOKUP(A257,04_PROYECTOS!$A:$N,5,FALSE)*(INDEX(02B_ESCENARIOS!$B$4:$D$11, MATCH("MULT_PRECIO", 02B_ESCENARIOS!$A$4:$A$11, 0), MATCH("Base", 02B_ESCENARIOS!$B$3:$D$3, 0)))*INDEX(02B_ESCENARIOS!$B$15:$D$19, MATCH(VLOOKUP(A257,04_PROYECTOS!$A:$N,9,FALSE), 02B_ESCENARIOS!$A$15:$A$19, 0), MATCH("Base", 02B_ESCENARIOS!$B$14:$D$14, 0))</f>
        <v/>
      </c>
      <c r="F257">
        <f>E257*VLOOKUP(A257,04_PROYECTOS!$A:$N,6,FALSE)</f>
        <v/>
      </c>
      <c r="G257">
        <f>E257+F257</f>
        <v/>
      </c>
      <c r="H257">
        <f>IF(VLOOKUP(A257,04_PROYECTOS!$A:$N,10,FALSE)="", IF(VLOOKUP(A257,04_PROYECTOS!$A:$N,4,FALSE)="Privado", INDEX(02B_ESCENARIOS!$B$4:$D$11, MATCH("DSO_PRIVADO_DEFAULT", 02B_ESCENARIOS!$A$4:$A$11, 0), MATCH("Base", 02B_ESCENARIOS!$B$3:$D$3, 0)), IF(VLOOKUP(A257,04_PROYECTOS!$A:$N,4,FALSE)="Publico_&lt;10M",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VLOOKUP(A257,04_PROYECTOS!$A:$N,10,FALSE))</f>
        <v/>
      </c>
      <c r="I257">
        <f>ROUNDUP(H257/30,0)</f>
        <v/>
      </c>
      <c r="J257">
        <f>EDATE(C257,I257)</f>
        <v/>
      </c>
      <c r="K257">
        <f>G257</f>
        <v/>
      </c>
    </row>
    <row r="258">
      <c r="E258">
        <f>D258*VLOOKUP(A258,04_PROYECTOS!$A:$N,5,FALSE)*(INDEX(02B_ESCENARIOS!$B$4:$D$11, MATCH("MULT_PRECIO", 02B_ESCENARIOS!$A$4:$A$11, 0), MATCH("Base", 02B_ESCENARIOS!$B$3:$D$3, 0)))*INDEX(02B_ESCENARIOS!$B$15:$D$19, MATCH(VLOOKUP(A258,04_PROYECTOS!$A:$N,9,FALSE), 02B_ESCENARIOS!$A$15:$A$19, 0), MATCH("Base", 02B_ESCENARIOS!$B$14:$D$14, 0))</f>
        <v/>
      </c>
      <c r="F258">
        <f>E258*VLOOKUP(A258,04_PROYECTOS!$A:$N,6,FALSE)</f>
        <v/>
      </c>
      <c r="G258">
        <f>E258+F258</f>
        <v/>
      </c>
      <c r="H258">
        <f>IF(VLOOKUP(A258,04_PROYECTOS!$A:$N,10,FALSE)="", IF(VLOOKUP(A258,04_PROYECTOS!$A:$N,4,FALSE)="Privado", INDEX(02B_ESCENARIOS!$B$4:$D$11, MATCH("DSO_PRIVADO_DEFAULT", 02B_ESCENARIOS!$A$4:$A$11, 0), MATCH("Base", 02B_ESCENARIOS!$B$3:$D$3, 0)), IF(VLOOKUP(A258,04_PROYECTOS!$A:$N,4,FALSE)="Publico_&lt;10M",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VLOOKUP(A258,04_PROYECTOS!$A:$N,10,FALSE))</f>
        <v/>
      </c>
      <c r="I258">
        <f>ROUNDUP(H258/30,0)</f>
        <v/>
      </c>
      <c r="J258">
        <f>EDATE(C258,I258)</f>
        <v/>
      </c>
      <c r="K258">
        <f>G258</f>
        <v/>
      </c>
    </row>
    <row r="259">
      <c r="E259">
        <f>D259*VLOOKUP(A259,04_PROYECTOS!$A:$N,5,FALSE)*(INDEX(02B_ESCENARIOS!$B$4:$D$11, MATCH("MULT_PRECIO", 02B_ESCENARIOS!$A$4:$A$11, 0), MATCH("Base", 02B_ESCENARIOS!$B$3:$D$3, 0)))*INDEX(02B_ESCENARIOS!$B$15:$D$19, MATCH(VLOOKUP(A259,04_PROYECTOS!$A:$N,9,FALSE), 02B_ESCENARIOS!$A$15:$A$19, 0), MATCH("Base", 02B_ESCENARIOS!$B$14:$D$14, 0))</f>
        <v/>
      </c>
      <c r="F259">
        <f>E259*VLOOKUP(A259,04_PROYECTOS!$A:$N,6,FALSE)</f>
        <v/>
      </c>
      <c r="G259">
        <f>E259+F259</f>
        <v/>
      </c>
      <c r="H259">
        <f>IF(VLOOKUP(A259,04_PROYECTOS!$A:$N,10,FALSE)="", IF(VLOOKUP(A259,04_PROYECTOS!$A:$N,4,FALSE)="Privado", INDEX(02B_ESCENARIOS!$B$4:$D$11, MATCH("DSO_PRIVADO_DEFAULT", 02B_ESCENARIOS!$A$4:$A$11, 0), MATCH("Base", 02B_ESCENARIOS!$B$3:$D$3, 0)), IF(VLOOKUP(A259,04_PROYECTOS!$A:$N,4,FALSE)="Publico_&lt;10M",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VLOOKUP(A259,04_PROYECTOS!$A:$N,10,FALSE))</f>
        <v/>
      </c>
      <c r="I259">
        <f>ROUNDUP(H259/30,0)</f>
        <v/>
      </c>
      <c r="J259">
        <f>EDATE(C259,I259)</f>
        <v/>
      </c>
      <c r="K259">
        <f>G259</f>
        <v/>
      </c>
    </row>
    <row r="260">
      <c r="E260">
        <f>D260*VLOOKUP(A260,04_PROYECTOS!$A:$N,5,FALSE)*(INDEX(02B_ESCENARIOS!$B$4:$D$11, MATCH("MULT_PRECIO", 02B_ESCENARIOS!$A$4:$A$11, 0), MATCH("Base", 02B_ESCENARIOS!$B$3:$D$3, 0)))*INDEX(02B_ESCENARIOS!$B$15:$D$19, MATCH(VLOOKUP(A260,04_PROYECTOS!$A:$N,9,FALSE), 02B_ESCENARIOS!$A$15:$A$19, 0), MATCH("Base", 02B_ESCENARIOS!$B$14:$D$14, 0))</f>
        <v/>
      </c>
      <c r="F260">
        <f>E260*VLOOKUP(A260,04_PROYECTOS!$A:$N,6,FALSE)</f>
        <v/>
      </c>
      <c r="G260">
        <f>E260+F260</f>
        <v/>
      </c>
      <c r="H260">
        <f>IF(VLOOKUP(A260,04_PROYECTOS!$A:$N,10,FALSE)="", IF(VLOOKUP(A260,04_PROYECTOS!$A:$N,4,FALSE)="Privado", INDEX(02B_ESCENARIOS!$B$4:$D$11, MATCH("DSO_PRIVADO_DEFAULT", 02B_ESCENARIOS!$A$4:$A$11, 0), MATCH("Base", 02B_ESCENARIOS!$B$3:$D$3, 0)), IF(VLOOKUP(A260,04_PROYECTOS!$A:$N,4,FALSE)="Publico_&lt;10M",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VLOOKUP(A260,04_PROYECTOS!$A:$N,10,FALSE))</f>
        <v/>
      </c>
      <c r="I260">
        <f>ROUNDUP(H260/30,0)</f>
        <v/>
      </c>
      <c r="J260">
        <f>EDATE(C260,I260)</f>
        <v/>
      </c>
      <c r="K260">
        <f>G260</f>
        <v/>
      </c>
    </row>
    <row r="261">
      <c r="E261">
        <f>D261*VLOOKUP(A261,04_PROYECTOS!$A:$N,5,FALSE)*(INDEX(02B_ESCENARIOS!$B$4:$D$11, MATCH("MULT_PRECIO", 02B_ESCENARIOS!$A$4:$A$11, 0), MATCH("Base", 02B_ESCENARIOS!$B$3:$D$3, 0)))*INDEX(02B_ESCENARIOS!$B$15:$D$19, MATCH(VLOOKUP(A261,04_PROYECTOS!$A:$N,9,FALSE), 02B_ESCENARIOS!$A$15:$A$19, 0), MATCH("Base", 02B_ESCENARIOS!$B$14:$D$14, 0))</f>
        <v/>
      </c>
      <c r="F261">
        <f>E261*VLOOKUP(A261,04_PROYECTOS!$A:$N,6,FALSE)</f>
        <v/>
      </c>
      <c r="G261">
        <f>E261+F261</f>
        <v/>
      </c>
      <c r="H261">
        <f>IF(VLOOKUP(A261,04_PROYECTOS!$A:$N,10,FALSE)="", IF(VLOOKUP(A261,04_PROYECTOS!$A:$N,4,FALSE)="Privado", INDEX(02B_ESCENARIOS!$B$4:$D$11, MATCH("DSO_PRIVADO_DEFAULT", 02B_ESCENARIOS!$A$4:$A$11, 0), MATCH("Base", 02B_ESCENARIOS!$B$3:$D$3, 0)), IF(VLOOKUP(A261,04_PROYECTOS!$A:$N,4,FALSE)="Publico_&lt;10M",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VLOOKUP(A261,04_PROYECTOS!$A:$N,10,FALSE))</f>
        <v/>
      </c>
      <c r="I261">
        <f>ROUNDUP(H261/30,0)</f>
        <v/>
      </c>
      <c r="J261">
        <f>EDATE(C261,I261)</f>
        <v/>
      </c>
      <c r="K261">
        <f>G261</f>
        <v/>
      </c>
    </row>
    <row r="262">
      <c r="E262">
        <f>D262*VLOOKUP(A262,04_PROYECTOS!$A:$N,5,FALSE)*(INDEX(02B_ESCENARIOS!$B$4:$D$11, MATCH("MULT_PRECIO", 02B_ESCENARIOS!$A$4:$A$11, 0), MATCH("Base", 02B_ESCENARIOS!$B$3:$D$3, 0)))*INDEX(02B_ESCENARIOS!$B$15:$D$19, MATCH(VLOOKUP(A262,04_PROYECTOS!$A:$N,9,FALSE), 02B_ESCENARIOS!$A$15:$A$19, 0), MATCH("Base", 02B_ESCENARIOS!$B$14:$D$14, 0))</f>
        <v/>
      </c>
      <c r="F262">
        <f>E262*VLOOKUP(A262,04_PROYECTOS!$A:$N,6,FALSE)</f>
        <v/>
      </c>
      <c r="G262">
        <f>E262+F262</f>
        <v/>
      </c>
      <c r="H262">
        <f>IF(VLOOKUP(A262,04_PROYECTOS!$A:$N,10,FALSE)="", IF(VLOOKUP(A262,04_PROYECTOS!$A:$N,4,FALSE)="Privado", INDEX(02B_ESCENARIOS!$B$4:$D$11, MATCH("DSO_PRIVADO_DEFAULT", 02B_ESCENARIOS!$A$4:$A$11, 0), MATCH("Base", 02B_ESCENARIOS!$B$3:$D$3, 0)), IF(VLOOKUP(A262,04_PROYECTOS!$A:$N,4,FALSE)="Publico_&lt;10M",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VLOOKUP(A262,04_PROYECTOS!$A:$N,10,FALSE))</f>
        <v/>
      </c>
      <c r="I262">
        <f>ROUNDUP(H262/30,0)</f>
        <v/>
      </c>
      <c r="J262">
        <f>EDATE(C262,I262)</f>
        <v/>
      </c>
      <c r="K262">
        <f>G262</f>
        <v/>
      </c>
    </row>
    <row r="263">
      <c r="E263">
        <f>D263*VLOOKUP(A263,04_PROYECTOS!$A:$N,5,FALSE)*(INDEX(02B_ESCENARIOS!$B$4:$D$11, MATCH("MULT_PRECIO", 02B_ESCENARIOS!$A$4:$A$11, 0), MATCH("Base", 02B_ESCENARIOS!$B$3:$D$3, 0)))*INDEX(02B_ESCENARIOS!$B$15:$D$19, MATCH(VLOOKUP(A263,04_PROYECTOS!$A:$N,9,FALSE), 02B_ESCENARIOS!$A$15:$A$19, 0), MATCH("Base", 02B_ESCENARIOS!$B$14:$D$14, 0))</f>
        <v/>
      </c>
      <c r="F263">
        <f>E263*VLOOKUP(A263,04_PROYECTOS!$A:$N,6,FALSE)</f>
        <v/>
      </c>
      <c r="G263">
        <f>E263+F263</f>
        <v/>
      </c>
      <c r="H263">
        <f>IF(VLOOKUP(A263,04_PROYECTOS!$A:$N,10,FALSE)="", IF(VLOOKUP(A263,04_PROYECTOS!$A:$N,4,FALSE)="Privado", INDEX(02B_ESCENARIOS!$B$4:$D$11, MATCH("DSO_PRIVADO_DEFAULT", 02B_ESCENARIOS!$A$4:$A$11, 0), MATCH("Base", 02B_ESCENARIOS!$B$3:$D$3, 0)), IF(VLOOKUP(A263,04_PROYECTOS!$A:$N,4,FALSE)="Publico_&lt;10M",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VLOOKUP(A263,04_PROYECTOS!$A:$N,10,FALSE))</f>
        <v/>
      </c>
      <c r="I263">
        <f>ROUNDUP(H263/30,0)</f>
        <v/>
      </c>
      <c r="J263">
        <f>EDATE(C263,I263)</f>
        <v/>
      </c>
      <c r="K263">
        <f>G263</f>
        <v/>
      </c>
    </row>
    <row r="264">
      <c r="E264">
        <f>D264*VLOOKUP(A264,04_PROYECTOS!$A:$N,5,FALSE)*(INDEX(02B_ESCENARIOS!$B$4:$D$11, MATCH("MULT_PRECIO", 02B_ESCENARIOS!$A$4:$A$11, 0), MATCH("Base", 02B_ESCENARIOS!$B$3:$D$3, 0)))*INDEX(02B_ESCENARIOS!$B$15:$D$19, MATCH(VLOOKUP(A264,04_PROYECTOS!$A:$N,9,FALSE), 02B_ESCENARIOS!$A$15:$A$19, 0), MATCH("Base", 02B_ESCENARIOS!$B$14:$D$14, 0))</f>
        <v/>
      </c>
      <c r="F264">
        <f>E264*VLOOKUP(A264,04_PROYECTOS!$A:$N,6,FALSE)</f>
        <v/>
      </c>
      <c r="G264">
        <f>E264+F264</f>
        <v/>
      </c>
      <c r="H264">
        <f>IF(VLOOKUP(A264,04_PROYECTOS!$A:$N,10,FALSE)="", IF(VLOOKUP(A264,04_PROYECTOS!$A:$N,4,FALSE)="Privado", INDEX(02B_ESCENARIOS!$B$4:$D$11, MATCH("DSO_PRIVADO_DEFAULT", 02B_ESCENARIOS!$A$4:$A$11, 0), MATCH("Base", 02B_ESCENARIOS!$B$3:$D$3, 0)), IF(VLOOKUP(A264,04_PROYECTOS!$A:$N,4,FALSE)="Publico_&lt;10M",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VLOOKUP(A264,04_PROYECTOS!$A:$N,10,FALSE))</f>
        <v/>
      </c>
      <c r="I264">
        <f>ROUNDUP(H264/30,0)</f>
        <v/>
      </c>
      <c r="J264">
        <f>EDATE(C264,I264)</f>
        <v/>
      </c>
      <c r="K264">
        <f>G264</f>
        <v/>
      </c>
    </row>
    <row r="265">
      <c r="E265">
        <f>D265*VLOOKUP(A265,04_PROYECTOS!$A:$N,5,FALSE)*(INDEX(02B_ESCENARIOS!$B$4:$D$11, MATCH("MULT_PRECIO", 02B_ESCENARIOS!$A$4:$A$11, 0), MATCH("Base", 02B_ESCENARIOS!$B$3:$D$3, 0)))*INDEX(02B_ESCENARIOS!$B$15:$D$19, MATCH(VLOOKUP(A265,04_PROYECTOS!$A:$N,9,FALSE), 02B_ESCENARIOS!$A$15:$A$19, 0), MATCH("Base", 02B_ESCENARIOS!$B$14:$D$14, 0))</f>
        <v/>
      </c>
      <c r="F265">
        <f>E265*VLOOKUP(A265,04_PROYECTOS!$A:$N,6,FALSE)</f>
        <v/>
      </c>
      <c r="G265">
        <f>E265+F265</f>
        <v/>
      </c>
      <c r="H265">
        <f>IF(VLOOKUP(A265,04_PROYECTOS!$A:$N,10,FALSE)="", IF(VLOOKUP(A265,04_PROYECTOS!$A:$N,4,FALSE)="Privado", INDEX(02B_ESCENARIOS!$B$4:$D$11, MATCH("DSO_PRIVADO_DEFAULT", 02B_ESCENARIOS!$A$4:$A$11, 0), MATCH("Base", 02B_ESCENARIOS!$B$3:$D$3, 0)), IF(VLOOKUP(A265,04_PROYECTOS!$A:$N,4,FALSE)="Publico_&lt;10M",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VLOOKUP(A265,04_PROYECTOS!$A:$N,10,FALSE))</f>
        <v/>
      </c>
      <c r="I265">
        <f>ROUNDUP(H265/30,0)</f>
        <v/>
      </c>
      <c r="J265">
        <f>EDATE(C265,I265)</f>
        <v/>
      </c>
      <c r="K265">
        <f>G265</f>
        <v/>
      </c>
    </row>
    <row r="266">
      <c r="E266">
        <f>D266*VLOOKUP(A266,04_PROYECTOS!$A:$N,5,FALSE)*(INDEX(02B_ESCENARIOS!$B$4:$D$11, MATCH("MULT_PRECIO", 02B_ESCENARIOS!$A$4:$A$11, 0), MATCH("Base", 02B_ESCENARIOS!$B$3:$D$3, 0)))*INDEX(02B_ESCENARIOS!$B$15:$D$19, MATCH(VLOOKUP(A266,04_PROYECTOS!$A:$N,9,FALSE), 02B_ESCENARIOS!$A$15:$A$19, 0), MATCH("Base", 02B_ESCENARIOS!$B$14:$D$14, 0))</f>
        <v/>
      </c>
      <c r="F266">
        <f>E266*VLOOKUP(A266,04_PROYECTOS!$A:$N,6,FALSE)</f>
        <v/>
      </c>
      <c r="G266">
        <f>E266+F266</f>
        <v/>
      </c>
      <c r="H266">
        <f>IF(VLOOKUP(A266,04_PROYECTOS!$A:$N,10,FALSE)="", IF(VLOOKUP(A266,04_PROYECTOS!$A:$N,4,FALSE)="Privado", INDEX(02B_ESCENARIOS!$B$4:$D$11, MATCH("DSO_PRIVADO_DEFAULT", 02B_ESCENARIOS!$A$4:$A$11, 0), MATCH("Base", 02B_ESCENARIOS!$B$3:$D$3, 0)), IF(VLOOKUP(A266,04_PROYECTOS!$A:$N,4,FALSE)="Publico_&lt;10M",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VLOOKUP(A266,04_PROYECTOS!$A:$N,10,FALSE))</f>
        <v/>
      </c>
      <c r="I266">
        <f>ROUNDUP(H266/30,0)</f>
        <v/>
      </c>
      <c r="J266">
        <f>EDATE(C266,I266)</f>
        <v/>
      </c>
      <c r="K266">
        <f>G266</f>
        <v/>
      </c>
    </row>
    <row r="267">
      <c r="E267">
        <f>D267*VLOOKUP(A267,04_PROYECTOS!$A:$N,5,FALSE)*(INDEX(02B_ESCENARIOS!$B$4:$D$11, MATCH("MULT_PRECIO", 02B_ESCENARIOS!$A$4:$A$11, 0), MATCH("Base", 02B_ESCENARIOS!$B$3:$D$3, 0)))*INDEX(02B_ESCENARIOS!$B$15:$D$19, MATCH(VLOOKUP(A267,04_PROYECTOS!$A:$N,9,FALSE), 02B_ESCENARIOS!$A$15:$A$19, 0), MATCH("Base", 02B_ESCENARIOS!$B$14:$D$14, 0))</f>
        <v/>
      </c>
      <c r="F267">
        <f>E267*VLOOKUP(A267,04_PROYECTOS!$A:$N,6,FALSE)</f>
        <v/>
      </c>
      <c r="G267">
        <f>E267+F267</f>
        <v/>
      </c>
      <c r="H267">
        <f>IF(VLOOKUP(A267,04_PROYECTOS!$A:$N,10,FALSE)="", IF(VLOOKUP(A267,04_PROYECTOS!$A:$N,4,FALSE)="Privado", INDEX(02B_ESCENARIOS!$B$4:$D$11, MATCH("DSO_PRIVADO_DEFAULT", 02B_ESCENARIOS!$A$4:$A$11, 0), MATCH("Base", 02B_ESCENARIOS!$B$3:$D$3, 0)), IF(VLOOKUP(A267,04_PROYECTOS!$A:$N,4,FALSE)="Publico_&lt;10M",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VLOOKUP(A267,04_PROYECTOS!$A:$N,10,FALSE))</f>
        <v/>
      </c>
      <c r="I267">
        <f>ROUNDUP(H267/30,0)</f>
        <v/>
      </c>
      <c r="J267">
        <f>EDATE(C267,I267)</f>
        <v/>
      </c>
      <c r="K267">
        <f>G267</f>
        <v/>
      </c>
    </row>
    <row r="268">
      <c r="E268">
        <f>D268*VLOOKUP(A268,04_PROYECTOS!$A:$N,5,FALSE)*(INDEX(02B_ESCENARIOS!$B$4:$D$11, MATCH("MULT_PRECIO", 02B_ESCENARIOS!$A$4:$A$11, 0), MATCH("Base", 02B_ESCENARIOS!$B$3:$D$3, 0)))*INDEX(02B_ESCENARIOS!$B$15:$D$19, MATCH(VLOOKUP(A268,04_PROYECTOS!$A:$N,9,FALSE), 02B_ESCENARIOS!$A$15:$A$19, 0), MATCH("Base", 02B_ESCENARIOS!$B$14:$D$14, 0))</f>
        <v/>
      </c>
      <c r="F268">
        <f>E268*VLOOKUP(A268,04_PROYECTOS!$A:$N,6,FALSE)</f>
        <v/>
      </c>
      <c r="G268">
        <f>E268+F268</f>
        <v/>
      </c>
      <c r="H268">
        <f>IF(VLOOKUP(A268,04_PROYECTOS!$A:$N,10,FALSE)="", IF(VLOOKUP(A268,04_PROYECTOS!$A:$N,4,FALSE)="Privado", INDEX(02B_ESCENARIOS!$B$4:$D$11, MATCH("DSO_PRIVADO_DEFAULT", 02B_ESCENARIOS!$A$4:$A$11, 0), MATCH("Base", 02B_ESCENARIOS!$B$3:$D$3, 0)), IF(VLOOKUP(A268,04_PROYECTOS!$A:$N,4,FALSE)="Publico_&lt;10M",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VLOOKUP(A268,04_PROYECTOS!$A:$N,10,FALSE))</f>
        <v/>
      </c>
      <c r="I268">
        <f>ROUNDUP(H268/30,0)</f>
        <v/>
      </c>
      <c r="J268">
        <f>EDATE(C268,I268)</f>
        <v/>
      </c>
      <c r="K268">
        <f>G268</f>
        <v/>
      </c>
    </row>
    <row r="269">
      <c r="E269">
        <f>D269*VLOOKUP(A269,04_PROYECTOS!$A:$N,5,FALSE)*(INDEX(02B_ESCENARIOS!$B$4:$D$11, MATCH("MULT_PRECIO", 02B_ESCENARIOS!$A$4:$A$11, 0), MATCH("Base", 02B_ESCENARIOS!$B$3:$D$3, 0)))*INDEX(02B_ESCENARIOS!$B$15:$D$19, MATCH(VLOOKUP(A269,04_PROYECTOS!$A:$N,9,FALSE), 02B_ESCENARIOS!$A$15:$A$19, 0), MATCH("Base", 02B_ESCENARIOS!$B$14:$D$14, 0))</f>
        <v/>
      </c>
      <c r="F269">
        <f>E269*VLOOKUP(A269,04_PROYECTOS!$A:$N,6,FALSE)</f>
        <v/>
      </c>
      <c r="G269">
        <f>E269+F269</f>
        <v/>
      </c>
      <c r="H269">
        <f>IF(VLOOKUP(A269,04_PROYECTOS!$A:$N,10,FALSE)="", IF(VLOOKUP(A269,04_PROYECTOS!$A:$N,4,FALSE)="Privado", INDEX(02B_ESCENARIOS!$B$4:$D$11, MATCH("DSO_PRIVADO_DEFAULT", 02B_ESCENARIOS!$A$4:$A$11, 0), MATCH("Base", 02B_ESCENARIOS!$B$3:$D$3, 0)), IF(VLOOKUP(A269,04_PROYECTOS!$A:$N,4,FALSE)="Publico_&lt;10M",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VLOOKUP(A269,04_PROYECTOS!$A:$N,10,FALSE))</f>
        <v/>
      </c>
      <c r="I269">
        <f>ROUNDUP(H269/30,0)</f>
        <v/>
      </c>
      <c r="J269">
        <f>EDATE(C269,I269)</f>
        <v/>
      </c>
      <c r="K269">
        <f>G269</f>
        <v/>
      </c>
    </row>
    <row r="270">
      <c r="E270">
        <f>D270*VLOOKUP(A270,04_PROYECTOS!$A:$N,5,FALSE)*(INDEX(02B_ESCENARIOS!$B$4:$D$11, MATCH("MULT_PRECIO", 02B_ESCENARIOS!$A$4:$A$11, 0), MATCH("Base", 02B_ESCENARIOS!$B$3:$D$3, 0)))*INDEX(02B_ESCENARIOS!$B$15:$D$19, MATCH(VLOOKUP(A270,04_PROYECTOS!$A:$N,9,FALSE), 02B_ESCENARIOS!$A$15:$A$19, 0), MATCH("Base", 02B_ESCENARIOS!$B$14:$D$14, 0))</f>
        <v/>
      </c>
      <c r="F270">
        <f>E270*VLOOKUP(A270,04_PROYECTOS!$A:$N,6,FALSE)</f>
        <v/>
      </c>
      <c r="G270">
        <f>E270+F270</f>
        <v/>
      </c>
      <c r="H270">
        <f>IF(VLOOKUP(A270,04_PROYECTOS!$A:$N,10,FALSE)="", IF(VLOOKUP(A270,04_PROYECTOS!$A:$N,4,FALSE)="Privado", INDEX(02B_ESCENARIOS!$B$4:$D$11, MATCH("DSO_PRIVADO_DEFAULT", 02B_ESCENARIOS!$A$4:$A$11, 0), MATCH("Base", 02B_ESCENARIOS!$B$3:$D$3, 0)), IF(VLOOKUP(A270,04_PROYECTOS!$A:$N,4,FALSE)="Publico_&lt;10M",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VLOOKUP(A270,04_PROYECTOS!$A:$N,10,FALSE))</f>
        <v/>
      </c>
      <c r="I270">
        <f>ROUNDUP(H270/30,0)</f>
        <v/>
      </c>
      <c r="J270">
        <f>EDATE(C270,I270)</f>
        <v/>
      </c>
      <c r="K270">
        <f>G270</f>
        <v/>
      </c>
    </row>
    <row r="271">
      <c r="E271">
        <f>D271*VLOOKUP(A271,04_PROYECTOS!$A:$N,5,FALSE)*(INDEX(02B_ESCENARIOS!$B$4:$D$11, MATCH("MULT_PRECIO", 02B_ESCENARIOS!$A$4:$A$11, 0), MATCH("Base", 02B_ESCENARIOS!$B$3:$D$3, 0)))*INDEX(02B_ESCENARIOS!$B$15:$D$19, MATCH(VLOOKUP(A271,04_PROYECTOS!$A:$N,9,FALSE), 02B_ESCENARIOS!$A$15:$A$19, 0), MATCH("Base", 02B_ESCENARIOS!$B$14:$D$14, 0))</f>
        <v/>
      </c>
      <c r="F271">
        <f>E271*VLOOKUP(A271,04_PROYECTOS!$A:$N,6,FALSE)</f>
        <v/>
      </c>
      <c r="G271">
        <f>E271+F271</f>
        <v/>
      </c>
      <c r="H271">
        <f>IF(VLOOKUP(A271,04_PROYECTOS!$A:$N,10,FALSE)="", IF(VLOOKUP(A271,04_PROYECTOS!$A:$N,4,FALSE)="Privado", INDEX(02B_ESCENARIOS!$B$4:$D$11, MATCH("DSO_PRIVADO_DEFAULT", 02B_ESCENARIOS!$A$4:$A$11, 0), MATCH("Base", 02B_ESCENARIOS!$B$3:$D$3, 0)), IF(VLOOKUP(A271,04_PROYECTOS!$A:$N,4,FALSE)="Publico_&lt;10M",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VLOOKUP(A271,04_PROYECTOS!$A:$N,10,FALSE))</f>
        <v/>
      </c>
      <c r="I271">
        <f>ROUNDUP(H271/30,0)</f>
        <v/>
      </c>
      <c r="J271">
        <f>EDATE(C271,I271)</f>
        <v/>
      </c>
      <c r="K271">
        <f>G271</f>
        <v/>
      </c>
    </row>
    <row r="272">
      <c r="E272">
        <f>D272*VLOOKUP(A272,04_PROYECTOS!$A:$N,5,FALSE)*(INDEX(02B_ESCENARIOS!$B$4:$D$11, MATCH("MULT_PRECIO", 02B_ESCENARIOS!$A$4:$A$11, 0), MATCH("Base", 02B_ESCENARIOS!$B$3:$D$3, 0)))*INDEX(02B_ESCENARIOS!$B$15:$D$19, MATCH(VLOOKUP(A272,04_PROYECTOS!$A:$N,9,FALSE), 02B_ESCENARIOS!$A$15:$A$19, 0), MATCH("Base", 02B_ESCENARIOS!$B$14:$D$14, 0))</f>
        <v/>
      </c>
      <c r="F272">
        <f>E272*VLOOKUP(A272,04_PROYECTOS!$A:$N,6,FALSE)</f>
        <v/>
      </c>
      <c r="G272">
        <f>E272+F272</f>
        <v/>
      </c>
      <c r="H272">
        <f>IF(VLOOKUP(A272,04_PROYECTOS!$A:$N,10,FALSE)="", IF(VLOOKUP(A272,04_PROYECTOS!$A:$N,4,FALSE)="Privado", INDEX(02B_ESCENARIOS!$B$4:$D$11, MATCH("DSO_PRIVADO_DEFAULT", 02B_ESCENARIOS!$A$4:$A$11, 0), MATCH("Base", 02B_ESCENARIOS!$B$3:$D$3, 0)), IF(VLOOKUP(A272,04_PROYECTOS!$A:$N,4,FALSE)="Publico_&lt;10M",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VLOOKUP(A272,04_PROYECTOS!$A:$N,10,FALSE))</f>
        <v/>
      </c>
      <c r="I272">
        <f>ROUNDUP(H272/30,0)</f>
        <v/>
      </c>
      <c r="J272">
        <f>EDATE(C272,I272)</f>
        <v/>
      </c>
      <c r="K272">
        <f>G272</f>
        <v/>
      </c>
    </row>
    <row r="273">
      <c r="E273">
        <f>D273*VLOOKUP(A273,04_PROYECTOS!$A:$N,5,FALSE)*(INDEX(02B_ESCENARIOS!$B$4:$D$11, MATCH("MULT_PRECIO", 02B_ESCENARIOS!$A$4:$A$11, 0), MATCH("Base", 02B_ESCENARIOS!$B$3:$D$3, 0)))*INDEX(02B_ESCENARIOS!$B$15:$D$19, MATCH(VLOOKUP(A273,04_PROYECTOS!$A:$N,9,FALSE), 02B_ESCENARIOS!$A$15:$A$19, 0), MATCH("Base", 02B_ESCENARIOS!$B$14:$D$14, 0))</f>
        <v/>
      </c>
      <c r="F273">
        <f>E273*VLOOKUP(A273,04_PROYECTOS!$A:$N,6,FALSE)</f>
        <v/>
      </c>
      <c r="G273">
        <f>E273+F273</f>
        <v/>
      </c>
      <c r="H273">
        <f>IF(VLOOKUP(A273,04_PROYECTOS!$A:$N,10,FALSE)="", IF(VLOOKUP(A273,04_PROYECTOS!$A:$N,4,FALSE)="Privado", INDEX(02B_ESCENARIOS!$B$4:$D$11, MATCH("DSO_PRIVADO_DEFAULT", 02B_ESCENARIOS!$A$4:$A$11, 0), MATCH("Base", 02B_ESCENARIOS!$B$3:$D$3, 0)), IF(VLOOKUP(A273,04_PROYECTOS!$A:$N,4,FALSE)="Publico_&lt;10M",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VLOOKUP(A273,04_PROYECTOS!$A:$N,10,FALSE))</f>
        <v/>
      </c>
      <c r="I273">
        <f>ROUNDUP(H273/30,0)</f>
        <v/>
      </c>
      <c r="J273">
        <f>EDATE(C273,I273)</f>
        <v/>
      </c>
      <c r="K273">
        <f>G273</f>
        <v/>
      </c>
    </row>
    <row r="274">
      <c r="E274">
        <f>D274*VLOOKUP(A274,04_PROYECTOS!$A:$N,5,FALSE)*(INDEX(02B_ESCENARIOS!$B$4:$D$11, MATCH("MULT_PRECIO", 02B_ESCENARIOS!$A$4:$A$11, 0), MATCH("Base", 02B_ESCENARIOS!$B$3:$D$3, 0)))*INDEX(02B_ESCENARIOS!$B$15:$D$19, MATCH(VLOOKUP(A274,04_PROYECTOS!$A:$N,9,FALSE), 02B_ESCENARIOS!$A$15:$A$19, 0), MATCH("Base", 02B_ESCENARIOS!$B$14:$D$14, 0))</f>
        <v/>
      </c>
      <c r="F274">
        <f>E274*VLOOKUP(A274,04_PROYECTOS!$A:$N,6,FALSE)</f>
        <v/>
      </c>
      <c r="G274">
        <f>E274+F274</f>
        <v/>
      </c>
      <c r="H274">
        <f>IF(VLOOKUP(A274,04_PROYECTOS!$A:$N,10,FALSE)="", IF(VLOOKUP(A274,04_PROYECTOS!$A:$N,4,FALSE)="Privado", INDEX(02B_ESCENARIOS!$B$4:$D$11, MATCH("DSO_PRIVADO_DEFAULT", 02B_ESCENARIOS!$A$4:$A$11, 0), MATCH("Base", 02B_ESCENARIOS!$B$3:$D$3, 0)), IF(VLOOKUP(A274,04_PROYECTOS!$A:$N,4,FALSE)="Publico_&lt;10M",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VLOOKUP(A274,04_PROYECTOS!$A:$N,10,FALSE))</f>
        <v/>
      </c>
      <c r="I274">
        <f>ROUNDUP(H274/30,0)</f>
        <v/>
      </c>
      <c r="J274">
        <f>EDATE(C274,I274)</f>
        <v/>
      </c>
      <c r="K274">
        <f>G274</f>
        <v/>
      </c>
    </row>
    <row r="275">
      <c r="E275">
        <f>D275*VLOOKUP(A275,04_PROYECTOS!$A:$N,5,FALSE)*(INDEX(02B_ESCENARIOS!$B$4:$D$11, MATCH("MULT_PRECIO", 02B_ESCENARIOS!$A$4:$A$11, 0), MATCH("Base", 02B_ESCENARIOS!$B$3:$D$3, 0)))*INDEX(02B_ESCENARIOS!$B$15:$D$19, MATCH(VLOOKUP(A275,04_PROYECTOS!$A:$N,9,FALSE), 02B_ESCENARIOS!$A$15:$A$19, 0), MATCH("Base", 02B_ESCENARIOS!$B$14:$D$14, 0))</f>
        <v/>
      </c>
      <c r="F275">
        <f>E275*VLOOKUP(A275,04_PROYECTOS!$A:$N,6,FALSE)</f>
        <v/>
      </c>
      <c r="G275">
        <f>E275+F275</f>
        <v/>
      </c>
      <c r="H275">
        <f>IF(VLOOKUP(A275,04_PROYECTOS!$A:$N,10,FALSE)="", IF(VLOOKUP(A275,04_PROYECTOS!$A:$N,4,FALSE)="Privado", INDEX(02B_ESCENARIOS!$B$4:$D$11, MATCH("DSO_PRIVADO_DEFAULT", 02B_ESCENARIOS!$A$4:$A$11, 0), MATCH("Base", 02B_ESCENARIOS!$B$3:$D$3, 0)), IF(VLOOKUP(A275,04_PROYECTOS!$A:$N,4,FALSE)="Publico_&lt;10M",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VLOOKUP(A275,04_PROYECTOS!$A:$N,10,FALSE))</f>
        <v/>
      </c>
      <c r="I275">
        <f>ROUNDUP(H275/30,0)</f>
        <v/>
      </c>
      <c r="J275">
        <f>EDATE(C275,I275)</f>
        <v/>
      </c>
      <c r="K275">
        <f>G275</f>
        <v/>
      </c>
    </row>
    <row r="276">
      <c r="E276">
        <f>D276*VLOOKUP(A276,04_PROYECTOS!$A:$N,5,FALSE)*(INDEX(02B_ESCENARIOS!$B$4:$D$11, MATCH("MULT_PRECIO", 02B_ESCENARIOS!$A$4:$A$11, 0), MATCH("Base", 02B_ESCENARIOS!$B$3:$D$3, 0)))*INDEX(02B_ESCENARIOS!$B$15:$D$19, MATCH(VLOOKUP(A276,04_PROYECTOS!$A:$N,9,FALSE), 02B_ESCENARIOS!$A$15:$A$19, 0), MATCH("Base", 02B_ESCENARIOS!$B$14:$D$14, 0))</f>
        <v/>
      </c>
      <c r="F276">
        <f>E276*VLOOKUP(A276,04_PROYECTOS!$A:$N,6,FALSE)</f>
        <v/>
      </c>
      <c r="G276">
        <f>E276+F276</f>
        <v/>
      </c>
      <c r="H276">
        <f>IF(VLOOKUP(A276,04_PROYECTOS!$A:$N,10,FALSE)="", IF(VLOOKUP(A276,04_PROYECTOS!$A:$N,4,FALSE)="Privado", INDEX(02B_ESCENARIOS!$B$4:$D$11, MATCH("DSO_PRIVADO_DEFAULT", 02B_ESCENARIOS!$A$4:$A$11, 0), MATCH("Base", 02B_ESCENARIOS!$B$3:$D$3, 0)), IF(VLOOKUP(A276,04_PROYECTOS!$A:$N,4,FALSE)="Publico_&lt;10M",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VLOOKUP(A276,04_PROYECTOS!$A:$N,10,FALSE))</f>
        <v/>
      </c>
      <c r="I276">
        <f>ROUNDUP(H276/30,0)</f>
        <v/>
      </c>
      <c r="J276">
        <f>EDATE(C276,I276)</f>
        <v/>
      </c>
      <c r="K276">
        <f>G276</f>
        <v/>
      </c>
    </row>
    <row r="277">
      <c r="E277">
        <f>D277*VLOOKUP(A277,04_PROYECTOS!$A:$N,5,FALSE)*(INDEX(02B_ESCENARIOS!$B$4:$D$11, MATCH("MULT_PRECIO", 02B_ESCENARIOS!$A$4:$A$11, 0), MATCH("Base", 02B_ESCENARIOS!$B$3:$D$3, 0)))*INDEX(02B_ESCENARIOS!$B$15:$D$19, MATCH(VLOOKUP(A277,04_PROYECTOS!$A:$N,9,FALSE), 02B_ESCENARIOS!$A$15:$A$19, 0), MATCH("Base", 02B_ESCENARIOS!$B$14:$D$14, 0))</f>
        <v/>
      </c>
      <c r="F277">
        <f>E277*VLOOKUP(A277,04_PROYECTOS!$A:$N,6,FALSE)</f>
        <v/>
      </c>
      <c r="G277">
        <f>E277+F277</f>
        <v/>
      </c>
      <c r="H277">
        <f>IF(VLOOKUP(A277,04_PROYECTOS!$A:$N,10,FALSE)="", IF(VLOOKUP(A277,04_PROYECTOS!$A:$N,4,FALSE)="Privado", INDEX(02B_ESCENARIOS!$B$4:$D$11, MATCH("DSO_PRIVADO_DEFAULT", 02B_ESCENARIOS!$A$4:$A$11, 0), MATCH("Base", 02B_ESCENARIOS!$B$3:$D$3, 0)), IF(VLOOKUP(A277,04_PROYECTOS!$A:$N,4,FALSE)="Publico_&lt;10M",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VLOOKUP(A277,04_PROYECTOS!$A:$N,10,FALSE))</f>
        <v/>
      </c>
      <c r="I277">
        <f>ROUNDUP(H277/30,0)</f>
        <v/>
      </c>
      <c r="J277">
        <f>EDATE(C277,I277)</f>
        <v/>
      </c>
      <c r="K277">
        <f>G277</f>
        <v/>
      </c>
    </row>
    <row r="278">
      <c r="E278">
        <f>D278*VLOOKUP(A278,04_PROYECTOS!$A:$N,5,FALSE)*(INDEX(02B_ESCENARIOS!$B$4:$D$11, MATCH("MULT_PRECIO", 02B_ESCENARIOS!$A$4:$A$11, 0), MATCH("Base", 02B_ESCENARIOS!$B$3:$D$3, 0)))*INDEX(02B_ESCENARIOS!$B$15:$D$19, MATCH(VLOOKUP(A278,04_PROYECTOS!$A:$N,9,FALSE), 02B_ESCENARIOS!$A$15:$A$19, 0), MATCH("Base", 02B_ESCENARIOS!$B$14:$D$14, 0))</f>
        <v/>
      </c>
      <c r="F278">
        <f>E278*VLOOKUP(A278,04_PROYECTOS!$A:$N,6,FALSE)</f>
        <v/>
      </c>
      <c r="G278">
        <f>E278+F278</f>
        <v/>
      </c>
      <c r="H278">
        <f>IF(VLOOKUP(A278,04_PROYECTOS!$A:$N,10,FALSE)="", IF(VLOOKUP(A278,04_PROYECTOS!$A:$N,4,FALSE)="Privado", INDEX(02B_ESCENARIOS!$B$4:$D$11, MATCH("DSO_PRIVADO_DEFAULT", 02B_ESCENARIOS!$A$4:$A$11, 0), MATCH("Base", 02B_ESCENARIOS!$B$3:$D$3, 0)), IF(VLOOKUP(A278,04_PROYECTOS!$A:$N,4,FALSE)="Publico_&lt;10M",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VLOOKUP(A278,04_PROYECTOS!$A:$N,10,FALSE))</f>
        <v/>
      </c>
      <c r="I278">
        <f>ROUNDUP(H278/30,0)</f>
        <v/>
      </c>
      <c r="J278">
        <f>EDATE(C278,I278)</f>
        <v/>
      </c>
      <c r="K278">
        <f>G278</f>
        <v/>
      </c>
    </row>
    <row r="279">
      <c r="E279">
        <f>D279*VLOOKUP(A279,04_PROYECTOS!$A:$N,5,FALSE)*(INDEX(02B_ESCENARIOS!$B$4:$D$11, MATCH("MULT_PRECIO", 02B_ESCENARIOS!$A$4:$A$11, 0), MATCH("Base", 02B_ESCENARIOS!$B$3:$D$3, 0)))*INDEX(02B_ESCENARIOS!$B$15:$D$19, MATCH(VLOOKUP(A279,04_PROYECTOS!$A:$N,9,FALSE), 02B_ESCENARIOS!$A$15:$A$19, 0), MATCH("Base", 02B_ESCENARIOS!$B$14:$D$14, 0))</f>
        <v/>
      </c>
      <c r="F279">
        <f>E279*VLOOKUP(A279,04_PROYECTOS!$A:$N,6,FALSE)</f>
        <v/>
      </c>
      <c r="G279">
        <f>E279+F279</f>
        <v/>
      </c>
      <c r="H279">
        <f>IF(VLOOKUP(A279,04_PROYECTOS!$A:$N,10,FALSE)="", IF(VLOOKUP(A279,04_PROYECTOS!$A:$N,4,FALSE)="Privado", INDEX(02B_ESCENARIOS!$B$4:$D$11, MATCH("DSO_PRIVADO_DEFAULT", 02B_ESCENARIOS!$A$4:$A$11, 0), MATCH("Base", 02B_ESCENARIOS!$B$3:$D$3, 0)), IF(VLOOKUP(A279,04_PROYECTOS!$A:$N,4,FALSE)="Publico_&lt;10M",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VLOOKUP(A279,04_PROYECTOS!$A:$N,10,FALSE))</f>
        <v/>
      </c>
      <c r="I279">
        <f>ROUNDUP(H279/30,0)</f>
        <v/>
      </c>
      <c r="J279">
        <f>EDATE(C279,I279)</f>
        <v/>
      </c>
      <c r="K279">
        <f>G279</f>
        <v/>
      </c>
    </row>
    <row r="280">
      <c r="E280">
        <f>D280*VLOOKUP(A280,04_PROYECTOS!$A:$N,5,FALSE)*(INDEX(02B_ESCENARIOS!$B$4:$D$11, MATCH("MULT_PRECIO", 02B_ESCENARIOS!$A$4:$A$11, 0), MATCH("Base", 02B_ESCENARIOS!$B$3:$D$3, 0)))*INDEX(02B_ESCENARIOS!$B$15:$D$19, MATCH(VLOOKUP(A280,04_PROYECTOS!$A:$N,9,FALSE), 02B_ESCENARIOS!$A$15:$A$19, 0), MATCH("Base", 02B_ESCENARIOS!$B$14:$D$14, 0))</f>
        <v/>
      </c>
      <c r="F280">
        <f>E280*VLOOKUP(A280,04_PROYECTOS!$A:$N,6,FALSE)</f>
        <v/>
      </c>
      <c r="G280">
        <f>E280+F280</f>
        <v/>
      </c>
      <c r="H280">
        <f>IF(VLOOKUP(A280,04_PROYECTOS!$A:$N,10,FALSE)="", IF(VLOOKUP(A280,04_PROYECTOS!$A:$N,4,FALSE)="Privado", INDEX(02B_ESCENARIOS!$B$4:$D$11, MATCH("DSO_PRIVADO_DEFAULT", 02B_ESCENARIOS!$A$4:$A$11, 0), MATCH("Base", 02B_ESCENARIOS!$B$3:$D$3, 0)), IF(VLOOKUP(A280,04_PROYECTOS!$A:$N,4,FALSE)="Publico_&lt;10M",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VLOOKUP(A280,04_PROYECTOS!$A:$N,10,FALSE))</f>
        <v/>
      </c>
      <c r="I280">
        <f>ROUNDUP(H280/30,0)</f>
        <v/>
      </c>
      <c r="J280">
        <f>EDATE(C280,I280)</f>
        <v/>
      </c>
      <c r="K280">
        <f>G280</f>
        <v/>
      </c>
    </row>
    <row r="281">
      <c r="E281">
        <f>D281*VLOOKUP(A281,04_PROYECTOS!$A:$N,5,FALSE)*(INDEX(02B_ESCENARIOS!$B$4:$D$11, MATCH("MULT_PRECIO", 02B_ESCENARIOS!$A$4:$A$11, 0), MATCH("Base", 02B_ESCENARIOS!$B$3:$D$3, 0)))*INDEX(02B_ESCENARIOS!$B$15:$D$19, MATCH(VLOOKUP(A281,04_PROYECTOS!$A:$N,9,FALSE), 02B_ESCENARIOS!$A$15:$A$19, 0), MATCH("Base", 02B_ESCENARIOS!$B$14:$D$14, 0))</f>
        <v/>
      </c>
      <c r="F281">
        <f>E281*VLOOKUP(A281,04_PROYECTOS!$A:$N,6,FALSE)</f>
        <v/>
      </c>
      <c r="G281">
        <f>E281+F281</f>
        <v/>
      </c>
      <c r="H281">
        <f>IF(VLOOKUP(A281,04_PROYECTOS!$A:$N,10,FALSE)="", IF(VLOOKUP(A281,04_PROYECTOS!$A:$N,4,FALSE)="Privado", INDEX(02B_ESCENARIOS!$B$4:$D$11, MATCH("DSO_PRIVADO_DEFAULT", 02B_ESCENARIOS!$A$4:$A$11, 0), MATCH("Base", 02B_ESCENARIOS!$B$3:$D$3, 0)), IF(VLOOKUP(A281,04_PROYECTOS!$A:$N,4,FALSE)="Publico_&lt;10M",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VLOOKUP(A281,04_PROYECTOS!$A:$N,10,FALSE))</f>
        <v/>
      </c>
      <c r="I281">
        <f>ROUNDUP(H281/30,0)</f>
        <v/>
      </c>
      <c r="J281">
        <f>EDATE(C281,I281)</f>
        <v/>
      </c>
      <c r="K281">
        <f>G281</f>
        <v/>
      </c>
    </row>
    <row r="282">
      <c r="E282">
        <f>D282*VLOOKUP(A282,04_PROYECTOS!$A:$N,5,FALSE)*(INDEX(02B_ESCENARIOS!$B$4:$D$11, MATCH("MULT_PRECIO", 02B_ESCENARIOS!$A$4:$A$11, 0), MATCH("Base", 02B_ESCENARIOS!$B$3:$D$3, 0)))*INDEX(02B_ESCENARIOS!$B$15:$D$19, MATCH(VLOOKUP(A282,04_PROYECTOS!$A:$N,9,FALSE), 02B_ESCENARIOS!$A$15:$A$19, 0), MATCH("Base", 02B_ESCENARIOS!$B$14:$D$14, 0))</f>
        <v/>
      </c>
      <c r="F282">
        <f>E282*VLOOKUP(A282,04_PROYECTOS!$A:$N,6,FALSE)</f>
        <v/>
      </c>
      <c r="G282">
        <f>E282+F282</f>
        <v/>
      </c>
      <c r="H282">
        <f>IF(VLOOKUP(A282,04_PROYECTOS!$A:$N,10,FALSE)="", IF(VLOOKUP(A282,04_PROYECTOS!$A:$N,4,FALSE)="Privado", INDEX(02B_ESCENARIOS!$B$4:$D$11, MATCH("DSO_PRIVADO_DEFAULT", 02B_ESCENARIOS!$A$4:$A$11, 0), MATCH("Base", 02B_ESCENARIOS!$B$3:$D$3, 0)), IF(VLOOKUP(A282,04_PROYECTOS!$A:$N,4,FALSE)="Publico_&lt;10M",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VLOOKUP(A282,04_PROYECTOS!$A:$N,10,FALSE))</f>
        <v/>
      </c>
      <c r="I282">
        <f>ROUNDUP(H282/30,0)</f>
        <v/>
      </c>
      <c r="J282">
        <f>EDATE(C282,I282)</f>
        <v/>
      </c>
      <c r="K282">
        <f>G282</f>
        <v/>
      </c>
    </row>
    <row r="283">
      <c r="E283">
        <f>D283*VLOOKUP(A283,04_PROYECTOS!$A:$N,5,FALSE)*(INDEX(02B_ESCENARIOS!$B$4:$D$11, MATCH("MULT_PRECIO", 02B_ESCENARIOS!$A$4:$A$11, 0), MATCH("Base", 02B_ESCENARIOS!$B$3:$D$3, 0)))*INDEX(02B_ESCENARIOS!$B$15:$D$19, MATCH(VLOOKUP(A283,04_PROYECTOS!$A:$N,9,FALSE), 02B_ESCENARIOS!$A$15:$A$19, 0), MATCH("Base", 02B_ESCENARIOS!$B$14:$D$14, 0))</f>
        <v/>
      </c>
      <c r="F283">
        <f>E283*VLOOKUP(A283,04_PROYECTOS!$A:$N,6,FALSE)</f>
        <v/>
      </c>
      <c r="G283">
        <f>E283+F283</f>
        <v/>
      </c>
      <c r="H283">
        <f>IF(VLOOKUP(A283,04_PROYECTOS!$A:$N,10,FALSE)="", IF(VLOOKUP(A283,04_PROYECTOS!$A:$N,4,FALSE)="Privado", INDEX(02B_ESCENARIOS!$B$4:$D$11, MATCH("DSO_PRIVADO_DEFAULT", 02B_ESCENARIOS!$A$4:$A$11, 0), MATCH("Base", 02B_ESCENARIOS!$B$3:$D$3, 0)), IF(VLOOKUP(A283,04_PROYECTOS!$A:$N,4,FALSE)="Publico_&lt;10M",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VLOOKUP(A283,04_PROYECTOS!$A:$N,10,FALSE))</f>
        <v/>
      </c>
      <c r="I283">
        <f>ROUNDUP(H283/30,0)</f>
        <v/>
      </c>
      <c r="J283">
        <f>EDATE(C283,I283)</f>
        <v/>
      </c>
      <c r="K283">
        <f>G283</f>
        <v/>
      </c>
    </row>
    <row r="284">
      <c r="E284">
        <f>D284*VLOOKUP(A284,04_PROYECTOS!$A:$N,5,FALSE)*(INDEX(02B_ESCENARIOS!$B$4:$D$11, MATCH("MULT_PRECIO", 02B_ESCENARIOS!$A$4:$A$11, 0), MATCH("Base", 02B_ESCENARIOS!$B$3:$D$3, 0)))*INDEX(02B_ESCENARIOS!$B$15:$D$19, MATCH(VLOOKUP(A284,04_PROYECTOS!$A:$N,9,FALSE), 02B_ESCENARIOS!$A$15:$A$19, 0), MATCH("Base", 02B_ESCENARIOS!$B$14:$D$14, 0))</f>
        <v/>
      </c>
      <c r="F284">
        <f>E284*VLOOKUP(A284,04_PROYECTOS!$A:$N,6,FALSE)</f>
        <v/>
      </c>
      <c r="G284">
        <f>E284+F284</f>
        <v/>
      </c>
      <c r="H284">
        <f>IF(VLOOKUP(A284,04_PROYECTOS!$A:$N,10,FALSE)="", IF(VLOOKUP(A284,04_PROYECTOS!$A:$N,4,FALSE)="Privado", INDEX(02B_ESCENARIOS!$B$4:$D$11, MATCH("DSO_PRIVADO_DEFAULT", 02B_ESCENARIOS!$A$4:$A$11, 0), MATCH("Base", 02B_ESCENARIOS!$B$3:$D$3, 0)), IF(VLOOKUP(A284,04_PROYECTOS!$A:$N,4,FALSE)="Publico_&lt;10M",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VLOOKUP(A284,04_PROYECTOS!$A:$N,10,FALSE))</f>
        <v/>
      </c>
      <c r="I284">
        <f>ROUNDUP(H284/30,0)</f>
        <v/>
      </c>
      <c r="J284">
        <f>EDATE(C284,I284)</f>
        <v/>
      </c>
      <c r="K284">
        <f>G284</f>
        <v/>
      </c>
    </row>
    <row r="285">
      <c r="E285">
        <f>D285*VLOOKUP(A285,04_PROYECTOS!$A:$N,5,FALSE)*(INDEX(02B_ESCENARIOS!$B$4:$D$11, MATCH("MULT_PRECIO", 02B_ESCENARIOS!$A$4:$A$11, 0), MATCH("Base", 02B_ESCENARIOS!$B$3:$D$3, 0)))*INDEX(02B_ESCENARIOS!$B$15:$D$19, MATCH(VLOOKUP(A285,04_PROYECTOS!$A:$N,9,FALSE), 02B_ESCENARIOS!$A$15:$A$19, 0), MATCH("Base", 02B_ESCENARIOS!$B$14:$D$14, 0))</f>
        <v/>
      </c>
      <c r="F285">
        <f>E285*VLOOKUP(A285,04_PROYECTOS!$A:$N,6,FALSE)</f>
        <v/>
      </c>
      <c r="G285">
        <f>E285+F285</f>
        <v/>
      </c>
      <c r="H285">
        <f>IF(VLOOKUP(A285,04_PROYECTOS!$A:$N,10,FALSE)="", IF(VLOOKUP(A285,04_PROYECTOS!$A:$N,4,FALSE)="Privado", INDEX(02B_ESCENARIOS!$B$4:$D$11, MATCH("DSO_PRIVADO_DEFAULT", 02B_ESCENARIOS!$A$4:$A$11, 0), MATCH("Base", 02B_ESCENARIOS!$B$3:$D$3, 0)), IF(VLOOKUP(A285,04_PROYECTOS!$A:$N,4,FALSE)="Publico_&lt;10M",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VLOOKUP(A285,04_PROYECTOS!$A:$N,10,FALSE))</f>
        <v/>
      </c>
      <c r="I285">
        <f>ROUNDUP(H285/30,0)</f>
        <v/>
      </c>
      <c r="J285">
        <f>EDATE(C285,I285)</f>
        <v/>
      </c>
      <c r="K285">
        <f>G285</f>
        <v/>
      </c>
    </row>
    <row r="286">
      <c r="E286">
        <f>D286*VLOOKUP(A286,04_PROYECTOS!$A:$N,5,FALSE)*(INDEX(02B_ESCENARIOS!$B$4:$D$11, MATCH("MULT_PRECIO", 02B_ESCENARIOS!$A$4:$A$11, 0), MATCH("Base", 02B_ESCENARIOS!$B$3:$D$3, 0)))*INDEX(02B_ESCENARIOS!$B$15:$D$19, MATCH(VLOOKUP(A286,04_PROYECTOS!$A:$N,9,FALSE), 02B_ESCENARIOS!$A$15:$A$19, 0), MATCH("Base", 02B_ESCENARIOS!$B$14:$D$14, 0))</f>
        <v/>
      </c>
      <c r="F286">
        <f>E286*VLOOKUP(A286,04_PROYECTOS!$A:$N,6,FALSE)</f>
        <v/>
      </c>
      <c r="G286">
        <f>E286+F286</f>
        <v/>
      </c>
      <c r="H286">
        <f>IF(VLOOKUP(A286,04_PROYECTOS!$A:$N,10,FALSE)="", IF(VLOOKUP(A286,04_PROYECTOS!$A:$N,4,FALSE)="Privado", INDEX(02B_ESCENARIOS!$B$4:$D$11, MATCH("DSO_PRIVADO_DEFAULT", 02B_ESCENARIOS!$A$4:$A$11, 0), MATCH("Base", 02B_ESCENARIOS!$B$3:$D$3, 0)), IF(VLOOKUP(A286,04_PROYECTOS!$A:$N,4,FALSE)="Publico_&lt;10M",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VLOOKUP(A286,04_PROYECTOS!$A:$N,10,FALSE))</f>
        <v/>
      </c>
      <c r="I286">
        <f>ROUNDUP(H286/30,0)</f>
        <v/>
      </c>
      <c r="J286">
        <f>EDATE(C286,I286)</f>
        <v/>
      </c>
      <c r="K286">
        <f>G286</f>
        <v/>
      </c>
    </row>
    <row r="287">
      <c r="E287">
        <f>D287*VLOOKUP(A287,04_PROYECTOS!$A:$N,5,FALSE)*(INDEX(02B_ESCENARIOS!$B$4:$D$11, MATCH("MULT_PRECIO", 02B_ESCENARIOS!$A$4:$A$11, 0), MATCH("Base", 02B_ESCENARIOS!$B$3:$D$3, 0)))*INDEX(02B_ESCENARIOS!$B$15:$D$19, MATCH(VLOOKUP(A287,04_PROYECTOS!$A:$N,9,FALSE), 02B_ESCENARIOS!$A$15:$A$19, 0), MATCH("Base", 02B_ESCENARIOS!$B$14:$D$14, 0))</f>
        <v/>
      </c>
      <c r="F287">
        <f>E287*VLOOKUP(A287,04_PROYECTOS!$A:$N,6,FALSE)</f>
        <v/>
      </c>
      <c r="G287">
        <f>E287+F287</f>
        <v/>
      </c>
      <c r="H287">
        <f>IF(VLOOKUP(A287,04_PROYECTOS!$A:$N,10,FALSE)="", IF(VLOOKUP(A287,04_PROYECTOS!$A:$N,4,FALSE)="Privado", INDEX(02B_ESCENARIOS!$B$4:$D$11, MATCH("DSO_PRIVADO_DEFAULT", 02B_ESCENARIOS!$A$4:$A$11, 0), MATCH("Base", 02B_ESCENARIOS!$B$3:$D$3, 0)), IF(VLOOKUP(A287,04_PROYECTOS!$A:$N,4,FALSE)="Publico_&lt;10M",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VLOOKUP(A287,04_PROYECTOS!$A:$N,10,FALSE))</f>
        <v/>
      </c>
      <c r="I287">
        <f>ROUNDUP(H287/30,0)</f>
        <v/>
      </c>
      <c r="J287">
        <f>EDATE(C287,I287)</f>
        <v/>
      </c>
      <c r="K287">
        <f>G287</f>
        <v/>
      </c>
    </row>
    <row r="288">
      <c r="E288">
        <f>D288*VLOOKUP(A288,04_PROYECTOS!$A:$N,5,FALSE)*(INDEX(02B_ESCENARIOS!$B$4:$D$11, MATCH("MULT_PRECIO", 02B_ESCENARIOS!$A$4:$A$11, 0), MATCH("Base", 02B_ESCENARIOS!$B$3:$D$3, 0)))*INDEX(02B_ESCENARIOS!$B$15:$D$19, MATCH(VLOOKUP(A288,04_PROYECTOS!$A:$N,9,FALSE), 02B_ESCENARIOS!$A$15:$A$19, 0), MATCH("Base", 02B_ESCENARIOS!$B$14:$D$14, 0))</f>
        <v/>
      </c>
      <c r="F288">
        <f>E288*VLOOKUP(A288,04_PROYECTOS!$A:$N,6,FALSE)</f>
        <v/>
      </c>
      <c r="G288">
        <f>E288+F288</f>
        <v/>
      </c>
      <c r="H288">
        <f>IF(VLOOKUP(A288,04_PROYECTOS!$A:$N,10,FALSE)="", IF(VLOOKUP(A288,04_PROYECTOS!$A:$N,4,FALSE)="Privado", INDEX(02B_ESCENARIOS!$B$4:$D$11, MATCH("DSO_PRIVADO_DEFAULT", 02B_ESCENARIOS!$A$4:$A$11, 0), MATCH("Base", 02B_ESCENARIOS!$B$3:$D$3, 0)), IF(VLOOKUP(A288,04_PROYECTOS!$A:$N,4,FALSE)="Publico_&lt;10M",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VLOOKUP(A288,04_PROYECTOS!$A:$N,10,FALSE))</f>
        <v/>
      </c>
      <c r="I288">
        <f>ROUNDUP(H288/30,0)</f>
        <v/>
      </c>
      <c r="J288">
        <f>EDATE(C288,I288)</f>
        <v/>
      </c>
      <c r="K288">
        <f>G288</f>
        <v/>
      </c>
    </row>
    <row r="289">
      <c r="E289">
        <f>D289*VLOOKUP(A289,04_PROYECTOS!$A:$N,5,FALSE)*(INDEX(02B_ESCENARIOS!$B$4:$D$11, MATCH("MULT_PRECIO", 02B_ESCENARIOS!$A$4:$A$11, 0), MATCH("Base", 02B_ESCENARIOS!$B$3:$D$3, 0)))*INDEX(02B_ESCENARIOS!$B$15:$D$19, MATCH(VLOOKUP(A289,04_PROYECTOS!$A:$N,9,FALSE), 02B_ESCENARIOS!$A$15:$A$19, 0), MATCH("Base", 02B_ESCENARIOS!$B$14:$D$14, 0))</f>
        <v/>
      </c>
      <c r="F289">
        <f>E289*VLOOKUP(A289,04_PROYECTOS!$A:$N,6,FALSE)</f>
        <v/>
      </c>
      <c r="G289">
        <f>E289+F289</f>
        <v/>
      </c>
      <c r="H289">
        <f>IF(VLOOKUP(A289,04_PROYECTOS!$A:$N,10,FALSE)="", IF(VLOOKUP(A289,04_PROYECTOS!$A:$N,4,FALSE)="Privado", INDEX(02B_ESCENARIOS!$B$4:$D$11, MATCH("DSO_PRIVADO_DEFAULT", 02B_ESCENARIOS!$A$4:$A$11, 0), MATCH("Base", 02B_ESCENARIOS!$B$3:$D$3, 0)), IF(VLOOKUP(A289,04_PROYECTOS!$A:$N,4,FALSE)="Publico_&lt;10M",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VLOOKUP(A289,04_PROYECTOS!$A:$N,10,FALSE))</f>
        <v/>
      </c>
      <c r="I289">
        <f>ROUNDUP(H289/30,0)</f>
        <v/>
      </c>
      <c r="J289">
        <f>EDATE(C289,I289)</f>
        <v/>
      </c>
      <c r="K289">
        <f>G289</f>
        <v/>
      </c>
    </row>
    <row r="290">
      <c r="E290">
        <f>D290*VLOOKUP(A290,04_PROYECTOS!$A:$N,5,FALSE)*(INDEX(02B_ESCENARIOS!$B$4:$D$11, MATCH("MULT_PRECIO", 02B_ESCENARIOS!$A$4:$A$11, 0), MATCH("Base", 02B_ESCENARIOS!$B$3:$D$3, 0)))*INDEX(02B_ESCENARIOS!$B$15:$D$19, MATCH(VLOOKUP(A290,04_PROYECTOS!$A:$N,9,FALSE), 02B_ESCENARIOS!$A$15:$A$19, 0), MATCH("Base", 02B_ESCENARIOS!$B$14:$D$14, 0))</f>
        <v/>
      </c>
      <c r="F290">
        <f>E290*VLOOKUP(A290,04_PROYECTOS!$A:$N,6,FALSE)</f>
        <v/>
      </c>
      <c r="G290">
        <f>E290+F290</f>
        <v/>
      </c>
      <c r="H290">
        <f>IF(VLOOKUP(A290,04_PROYECTOS!$A:$N,10,FALSE)="", IF(VLOOKUP(A290,04_PROYECTOS!$A:$N,4,FALSE)="Privado", INDEX(02B_ESCENARIOS!$B$4:$D$11, MATCH("DSO_PRIVADO_DEFAULT", 02B_ESCENARIOS!$A$4:$A$11, 0), MATCH("Base", 02B_ESCENARIOS!$B$3:$D$3, 0)), IF(VLOOKUP(A290,04_PROYECTOS!$A:$N,4,FALSE)="Publico_&lt;10M",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VLOOKUP(A290,04_PROYECTOS!$A:$N,10,FALSE))</f>
        <v/>
      </c>
      <c r="I290">
        <f>ROUNDUP(H290/30,0)</f>
        <v/>
      </c>
      <c r="J290">
        <f>EDATE(C290,I290)</f>
        <v/>
      </c>
      <c r="K290">
        <f>G290</f>
        <v/>
      </c>
    </row>
    <row r="291">
      <c r="E291">
        <f>D291*VLOOKUP(A291,04_PROYECTOS!$A:$N,5,FALSE)*(INDEX(02B_ESCENARIOS!$B$4:$D$11, MATCH("MULT_PRECIO", 02B_ESCENARIOS!$A$4:$A$11, 0), MATCH("Base", 02B_ESCENARIOS!$B$3:$D$3, 0)))*INDEX(02B_ESCENARIOS!$B$15:$D$19, MATCH(VLOOKUP(A291,04_PROYECTOS!$A:$N,9,FALSE), 02B_ESCENARIOS!$A$15:$A$19, 0), MATCH("Base", 02B_ESCENARIOS!$B$14:$D$14, 0))</f>
        <v/>
      </c>
      <c r="F291">
        <f>E291*VLOOKUP(A291,04_PROYECTOS!$A:$N,6,FALSE)</f>
        <v/>
      </c>
      <c r="G291">
        <f>E291+F291</f>
        <v/>
      </c>
      <c r="H291">
        <f>IF(VLOOKUP(A291,04_PROYECTOS!$A:$N,10,FALSE)="", IF(VLOOKUP(A291,04_PROYECTOS!$A:$N,4,FALSE)="Privado", INDEX(02B_ESCENARIOS!$B$4:$D$11, MATCH("DSO_PRIVADO_DEFAULT", 02B_ESCENARIOS!$A$4:$A$11, 0), MATCH("Base", 02B_ESCENARIOS!$B$3:$D$3, 0)), IF(VLOOKUP(A291,04_PROYECTOS!$A:$N,4,FALSE)="Publico_&lt;10M",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VLOOKUP(A291,04_PROYECTOS!$A:$N,10,FALSE))</f>
        <v/>
      </c>
      <c r="I291">
        <f>ROUNDUP(H291/30,0)</f>
        <v/>
      </c>
      <c r="J291">
        <f>EDATE(C291,I291)</f>
        <v/>
      </c>
      <c r="K291">
        <f>G291</f>
        <v/>
      </c>
    </row>
    <row r="292">
      <c r="E292">
        <f>D292*VLOOKUP(A292,04_PROYECTOS!$A:$N,5,FALSE)*(INDEX(02B_ESCENARIOS!$B$4:$D$11, MATCH("MULT_PRECIO", 02B_ESCENARIOS!$A$4:$A$11, 0), MATCH("Base", 02B_ESCENARIOS!$B$3:$D$3, 0)))*INDEX(02B_ESCENARIOS!$B$15:$D$19, MATCH(VLOOKUP(A292,04_PROYECTOS!$A:$N,9,FALSE), 02B_ESCENARIOS!$A$15:$A$19, 0), MATCH("Base", 02B_ESCENARIOS!$B$14:$D$14, 0))</f>
        <v/>
      </c>
      <c r="F292">
        <f>E292*VLOOKUP(A292,04_PROYECTOS!$A:$N,6,FALSE)</f>
        <v/>
      </c>
      <c r="G292">
        <f>E292+F292</f>
        <v/>
      </c>
      <c r="H292">
        <f>IF(VLOOKUP(A292,04_PROYECTOS!$A:$N,10,FALSE)="", IF(VLOOKUP(A292,04_PROYECTOS!$A:$N,4,FALSE)="Privado", INDEX(02B_ESCENARIOS!$B$4:$D$11, MATCH("DSO_PRIVADO_DEFAULT", 02B_ESCENARIOS!$A$4:$A$11, 0), MATCH("Base", 02B_ESCENARIOS!$B$3:$D$3, 0)), IF(VLOOKUP(A292,04_PROYECTOS!$A:$N,4,FALSE)="Publico_&lt;10M",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VLOOKUP(A292,04_PROYECTOS!$A:$N,10,FALSE))</f>
        <v/>
      </c>
      <c r="I292">
        <f>ROUNDUP(H292/30,0)</f>
        <v/>
      </c>
      <c r="J292">
        <f>EDATE(C292,I292)</f>
        <v/>
      </c>
      <c r="K292">
        <f>G292</f>
        <v/>
      </c>
    </row>
    <row r="293">
      <c r="E293">
        <f>D293*VLOOKUP(A293,04_PROYECTOS!$A:$N,5,FALSE)*(INDEX(02B_ESCENARIOS!$B$4:$D$11, MATCH("MULT_PRECIO", 02B_ESCENARIOS!$A$4:$A$11, 0), MATCH("Base", 02B_ESCENARIOS!$B$3:$D$3, 0)))*INDEX(02B_ESCENARIOS!$B$15:$D$19, MATCH(VLOOKUP(A293,04_PROYECTOS!$A:$N,9,FALSE), 02B_ESCENARIOS!$A$15:$A$19, 0), MATCH("Base", 02B_ESCENARIOS!$B$14:$D$14, 0))</f>
        <v/>
      </c>
      <c r="F293">
        <f>E293*VLOOKUP(A293,04_PROYECTOS!$A:$N,6,FALSE)</f>
        <v/>
      </c>
      <c r="G293">
        <f>E293+F293</f>
        <v/>
      </c>
      <c r="H293">
        <f>IF(VLOOKUP(A293,04_PROYECTOS!$A:$N,10,FALSE)="", IF(VLOOKUP(A293,04_PROYECTOS!$A:$N,4,FALSE)="Privado", INDEX(02B_ESCENARIOS!$B$4:$D$11, MATCH("DSO_PRIVADO_DEFAULT", 02B_ESCENARIOS!$A$4:$A$11, 0), MATCH("Base", 02B_ESCENARIOS!$B$3:$D$3, 0)), IF(VLOOKUP(A293,04_PROYECTOS!$A:$N,4,FALSE)="Publico_&lt;10M",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VLOOKUP(A293,04_PROYECTOS!$A:$N,10,FALSE))</f>
        <v/>
      </c>
      <c r="I293">
        <f>ROUNDUP(H293/30,0)</f>
        <v/>
      </c>
      <c r="J293">
        <f>EDATE(C293,I293)</f>
        <v/>
      </c>
      <c r="K293">
        <f>G293</f>
        <v/>
      </c>
    </row>
    <row r="294">
      <c r="E294">
        <f>D294*VLOOKUP(A294,04_PROYECTOS!$A:$N,5,FALSE)*(INDEX(02B_ESCENARIOS!$B$4:$D$11, MATCH("MULT_PRECIO", 02B_ESCENARIOS!$A$4:$A$11, 0), MATCH("Base", 02B_ESCENARIOS!$B$3:$D$3, 0)))*INDEX(02B_ESCENARIOS!$B$15:$D$19, MATCH(VLOOKUP(A294,04_PROYECTOS!$A:$N,9,FALSE), 02B_ESCENARIOS!$A$15:$A$19, 0), MATCH("Base", 02B_ESCENARIOS!$B$14:$D$14, 0))</f>
        <v/>
      </c>
      <c r="F294">
        <f>E294*VLOOKUP(A294,04_PROYECTOS!$A:$N,6,FALSE)</f>
        <v/>
      </c>
      <c r="G294">
        <f>E294+F294</f>
        <v/>
      </c>
      <c r="H294">
        <f>IF(VLOOKUP(A294,04_PROYECTOS!$A:$N,10,FALSE)="", IF(VLOOKUP(A294,04_PROYECTOS!$A:$N,4,FALSE)="Privado", INDEX(02B_ESCENARIOS!$B$4:$D$11, MATCH("DSO_PRIVADO_DEFAULT", 02B_ESCENARIOS!$A$4:$A$11, 0), MATCH("Base", 02B_ESCENARIOS!$B$3:$D$3, 0)), IF(VLOOKUP(A294,04_PROYECTOS!$A:$N,4,FALSE)="Publico_&lt;10M",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VLOOKUP(A294,04_PROYECTOS!$A:$N,10,FALSE))</f>
        <v/>
      </c>
      <c r="I294">
        <f>ROUNDUP(H294/30,0)</f>
        <v/>
      </c>
      <c r="J294">
        <f>EDATE(C294,I294)</f>
        <v/>
      </c>
      <c r="K294">
        <f>G294</f>
        <v/>
      </c>
    </row>
    <row r="295">
      <c r="E295">
        <f>D295*VLOOKUP(A295,04_PROYECTOS!$A:$N,5,FALSE)*(INDEX(02B_ESCENARIOS!$B$4:$D$11, MATCH("MULT_PRECIO", 02B_ESCENARIOS!$A$4:$A$11, 0), MATCH("Base", 02B_ESCENARIOS!$B$3:$D$3, 0)))*INDEX(02B_ESCENARIOS!$B$15:$D$19, MATCH(VLOOKUP(A295,04_PROYECTOS!$A:$N,9,FALSE), 02B_ESCENARIOS!$A$15:$A$19, 0), MATCH("Base", 02B_ESCENARIOS!$B$14:$D$14, 0))</f>
        <v/>
      </c>
      <c r="F295">
        <f>E295*VLOOKUP(A295,04_PROYECTOS!$A:$N,6,FALSE)</f>
        <v/>
      </c>
      <c r="G295">
        <f>E295+F295</f>
        <v/>
      </c>
      <c r="H295">
        <f>IF(VLOOKUP(A295,04_PROYECTOS!$A:$N,10,FALSE)="", IF(VLOOKUP(A295,04_PROYECTOS!$A:$N,4,FALSE)="Privado", INDEX(02B_ESCENARIOS!$B$4:$D$11, MATCH("DSO_PRIVADO_DEFAULT", 02B_ESCENARIOS!$A$4:$A$11, 0), MATCH("Base", 02B_ESCENARIOS!$B$3:$D$3, 0)), IF(VLOOKUP(A295,04_PROYECTOS!$A:$N,4,FALSE)="Publico_&lt;10M",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VLOOKUP(A295,04_PROYECTOS!$A:$N,10,FALSE))</f>
        <v/>
      </c>
      <c r="I295">
        <f>ROUNDUP(H295/30,0)</f>
        <v/>
      </c>
      <c r="J295">
        <f>EDATE(C295,I295)</f>
        <v/>
      </c>
      <c r="K295">
        <f>G295</f>
        <v/>
      </c>
    </row>
    <row r="296">
      <c r="E296">
        <f>D296*VLOOKUP(A296,04_PROYECTOS!$A:$N,5,FALSE)*(INDEX(02B_ESCENARIOS!$B$4:$D$11, MATCH("MULT_PRECIO", 02B_ESCENARIOS!$A$4:$A$11, 0), MATCH("Base", 02B_ESCENARIOS!$B$3:$D$3, 0)))*INDEX(02B_ESCENARIOS!$B$15:$D$19, MATCH(VLOOKUP(A296,04_PROYECTOS!$A:$N,9,FALSE), 02B_ESCENARIOS!$A$15:$A$19, 0), MATCH("Base", 02B_ESCENARIOS!$B$14:$D$14, 0))</f>
        <v/>
      </c>
      <c r="F296">
        <f>E296*VLOOKUP(A296,04_PROYECTOS!$A:$N,6,FALSE)</f>
        <v/>
      </c>
      <c r="G296">
        <f>E296+F296</f>
        <v/>
      </c>
      <c r="H296">
        <f>IF(VLOOKUP(A296,04_PROYECTOS!$A:$N,10,FALSE)="", IF(VLOOKUP(A296,04_PROYECTOS!$A:$N,4,FALSE)="Privado", INDEX(02B_ESCENARIOS!$B$4:$D$11, MATCH("DSO_PRIVADO_DEFAULT", 02B_ESCENARIOS!$A$4:$A$11, 0), MATCH("Base", 02B_ESCENARIOS!$B$3:$D$3, 0)), IF(VLOOKUP(A296,04_PROYECTOS!$A:$N,4,FALSE)="Publico_&lt;10M",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VLOOKUP(A296,04_PROYECTOS!$A:$N,10,FALSE))</f>
        <v/>
      </c>
      <c r="I296">
        <f>ROUNDUP(H296/30,0)</f>
        <v/>
      </c>
      <c r="J296">
        <f>EDATE(C296,I296)</f>
        <v/>
      </c>
      <c r="K296">
        <f>G296</f>
        <v/>
      </c>
    </row>
    <row r="297">
      <c r="E297">
        <f>D297*VLOOKUP(A297,04_PROYECTOS!$A:$N,5,FALSE)*(INDEX(02B_ESCENARIOS!$B$4:$D$11, MATCH("MULT_PRECIO", 02B_ESCENARIOS!$A$4:$A$11, 0), MATCH("Base", 02B_ESCENARIOS!$B$3:$D$3, 0)))*INDEX(02B_ESCENARIOS!$B$15:$D$19, MATCH(VLOOKUP(A297,04_PROYECTOS!$A:$N,9,FALSE), 02B_ESCENARIOS!$A$15:$A$19, 0), MATCH("Base", 02B_ESCENARIOS!$B$14:$D$14, 0))</f>
        <v/>
      </c>
      <c r="F297">
        <f>E297*VLOOKUP(A297,04_PROYECTOS!$A:$N,6,FALSE)</f>
        <v/>
      </c>
      <c r="G297">
        <f>E297+F297</f>
        <v/>
      </c>
      <c r="H297">
        <f>IF(VLOOKUP(A297,04_PROYECTOS!$A:$N,10,FALSE)="", IF(VLOOKUP(A297,04_PROYECTOS!$A:$N,4,FALSE)="Privado", INDEX(02B_ESCENARIOS!$B$4:$D$11, MATCH("DSO_PRIVADO_DEFAULT", 02B_ESCENARIOS!$A$4:$A$11, 0), MATCH("Base", 02B_ESCENARIOS!$B$3:$D$3, 0)), IF(VLOOKUP(A297,04_PROYECTOS!$A:$N,4,FALSE)="Publico_&lt;10M",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VLOOKUP(A297,04_PROYECTOS!$A:$N,10,FALSE))</f>
        <v/>
      </c>
      <c r="I297">
        <f>ROUNDUP(H297/30,0)</f>
        <v/>
      </c>
      <c r="J297">
        <f>EDATE(C297,I297)</f>
        <v/>
      </c>
      <c r="K297">
        <f>G297</f>
        <v/>
      </c>
    </row>
    <row r="298">
      <c r="E298">
        <f>D298*VLOOKUP(A298,04_PROYECTOS!$A:$N,5,FALSE)*(INDEX(02B_ESCENARIOS!$B$4:$D$11, MATCH("MULT_PRECIO", 02B_ESCENARIOS!$A$4:$A$11, 0), MATCH("Base", 02B_ESCENARIOS!$B$3:$D$3, 0)))*INDEX(02B_ESCENARIOS!$B$15:$D$19, MATCH(VLOOKUP(A298,04_PROYECTOS!$A:$N,9,FALSE), 02B_ESCENARIOS!$A$15:$A$19, 0), MATCH("Base", 02B_ESCENARIOS!$B$14:$D$14, 0))</f>
        <v/>
      </c>
      <c r="F298">
        <f>E298*VLOOKUP(A298,04_PROYECTOS!$A:$N,6,FALSE)</f>
        <v/>
      </c>
      <c r="G298">
        <f>E298+F298</f>
        <v/>
      </c>
      <c r="H298">
        <f>IF(VLOOKUP(A298,04_PROYECTOS!$A:$N,10,FALSE)="", IF(VLOOKUP(A298,04_PROYECTOS!$A:$N,4,FALSE)="Privado", INDEX(02B_ESCENARIOS!$B$4:$D$11, MATCH("DSO_PRIVADO_DEFAULT", 02B_ESCENARIOS!$A$4:$A$11, 0), MATCH("Base", 02B_ESCENARIOS!$B$3:$D$3, 0)), IF(VLOOKUP(A298,04_PROYECTOS!$A:$N,4,FALSE)="Publico_&lt;10M",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VLOOKUP(A298,04_PROYECTOS!$A:$N,10,FALSE))</f>
        <v/>
      </c>
      <c r="I298">
        <f>ROUNDUP(H298/30,0)</f>
        <v/>
      </c>
      <c r="J298">
        <f>EDATE(C298,I298)</f>
        <v/>
      </c>
      <c r="K298">
        <f>G298</f>
        <v/>
      </c>
    </row>
    <row r="299">
      <c r="E299">
        <f>D299*VLOOKUP(A299,04_PROYECTOS!$A:$N,5,FALSE)*(INDEX(02B_ESCENARIOS!$B$4:$D$11, MATCH("MULT_PRECIO", 02B_ESCENARIOS!$A$4:$A$11, 0), MATCH("Base", 02B_ESCENARIOS!$B$3:$D$3, 0)))*INDEX(02B_ESCENARIOS!$B$15:$D$19, MATCH(VLOOKUP(A299,04_PROYECTOS!$A:$N,9,FALSE), 02B_ESCENARIOS!$A$15:$A$19, 0), MATCH("Base", 02B_ESCENARIOS!$B$14:$D$14, 0))</f>
        <v/>
      </c>
      <c r="F299">
        <f>E299*VLOOKUP(A299,04_PROYECTOS!$A:$N,6,FALSE)</f>
        <v/>
      </c>
      <c r="G299">
        <f>E299+F299</f>
        <v/>
      </c>
      <c r="H299">
        <f>IF(VLOOKUP(A299,04_PROYECTOS!$A:$N,10,FALSE)="", IF(VLOOKUP(A299,04_PROYECTOS!$A:$N,4,FALSE)="Privado", INDEX(02B_ESCENARIOS!$B$4:$D$11, MATCH("DSO_PRIVADO_DEFAULT", 02B_ESCENARIOS!$A$4:$A$11, 0), MATCH("Base", 02B_ESCENARIOS!$B$3:$D$3, 0)), IF(VLOOKUP(A299,04_PROYECTOS!$A:$N,4,FALSE)="Publico_&lt;10M",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VLOOKUP(A299,04_PROYECTOS!$A:$N,10,FALSE))</f>
        <v/>
      </c>
      <c r="I299">
        <f>ROUNDUP(H299/30,0)</f>
        <v/>
      </c>
      <c r="J299">
        <f>EDATE(C299,I299)</f>
        <v/>
      </c>
      <c r="K299">
        <f>G299</f>
        <v/>
      </c>
    </row>
    <row r="300">
      <c r="E300">
        <f>D300*VLOOKUP(A300,04_PROYECTOS!$A:$N,5,FALSE)*(INDEX(02B_ESCENARIOS!$B$4:$D$11, MATCH("MULT_PRECIO", 02B_ESCENARIOS!$A$4:$A$11, 0), MATCH("Base", 02B_ESCENARIOS!$B$3:$D$3, 0)))*INDEX(02B_ESCENARIOS!$B$15:$D$19, MATCH(VLOOKUP(A300,04_PROYECTOS!$A:$N,9,FALSE), 02B_ESCENARIOS!$A$15:$A$19, 0), MATCH("Base", 02B_ESCENARIOS!$B$14:$D$14, 0))</f>
        <v/>
      </c>
      <c r="F300">
        <f>E300*VLOOKUP(A300,04_PROYECTOS!$A:$N,6,FALSE)</f>
        <v/>
      </c>
      <c r="G300">
        <f>E300+F300</f>
        <v/>
      </c>
      <c r="H300">
        <f>IF(VLOOKUP(A300,04_PROYECTOS!$A:$N,10,FALSE)="", IF(VLOOKUP(A300,04_PROYECTOS!$A:$N,4,FALSE)="Privado", INDEX(02B_ESCENARIOS!$B$4:$D$11, MATCH("DSO_PRIVADO_DEFAULT", 02B_ESCENARIOS!$A$4:$A$11, 0), MATCH("Base", 02B_ESCENARIOS!$B$3:$D$3, 0)), IF(VLOOKUP(A300,04_PROYECTOS!$A:$N,4,FALSE)="Publico_&lt;10M",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VLOOKUP(A300,04_PROYECTOS!$A:$N,10,FALSE))</f>
        <v/>
      </c>
      <c r="I300">
        <f>ROUNDUP(H300/30,0)</f>
        <v/>
      </c>
      <c r="J300">
        <f>EDATE(C300,I300)</f>
        <v/>
      </c>
      <c r="K300">
        <f>G300</f>
        <v/>
      </c>
    </row>
    <row r="301">
      <c r="E301">
        <f>D301*VLOOKUP(A301,04_PROYECTOS!$A:$N,5,FALSE)*(INDEX(02B_ESCENARIOS!$B$4:$D$11, MATCH("MULT_PRECIO", 02B_ESCENARIOS!$A$4:$A$11, 0), MATCH("Base", 02B_ESCENARIOS!$B$3:$D$3, 0)))*INDEX(02B_ESCENARIOS!$B$15:$D$19, MATCH(VLOOKUP(A301,04_PROYECTOS!$A:$N,9,FALSE), 02B_ESCENARIOS!$A$15:$A$19, 0), MATCH("Base", 02B_ESCENARIOS!$B$14:$D$14, 0))</f>
        <v/>
      </c>
      <c r="F301">
        <f>E301*VLOOKUP(A301,04_PROYECTOS!$A:$N,6,FALSE)</f>
        <v/>
      </c>
      <c r="G301">
        <f>E301+F301</f>
        <v/>
      </c>
      <c r="H301">
        <f>IF(VLOOKUP(A301,04_PROYECTOS!$A:$N,10,FALSE)="", IF(VLOOKUP(A301,04_PROYECTOS!$A:$N,4,FALSE)="Privado", INDEX(02B_ESCENARIOS!$B$4:$D$11, MATCH("DSO_PRIVADO_DEFAULT", 02B_ESCENARIOS!$A$4:$A$11, 0), MATCH("Base", 02B_ESCENARIOS!$B$3:$D$3, 0)), IF(VLOOKUP(A301,04_PROYECTOS!$A:$N,4,FALSE)="Publico_&lt;10M",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VLOOKUP(A301,04_PROYECTOS!$A:$N,10,FALSE))</f>
        <v/>
      </c>
      <c r="I301">
        <f>ROUNDUP(H301/30,0)</f>
        <v/>
      </c>
      <c r="J301">
        <f>EDATE(C301,I301)</f>
        <v/>
      </c>
      <c r="K301">
        <f>G301</f>
        <v/>
      </c>
    </row>
    <row r="302">
      <c r="E302">
        <f>D302*VLOOKUP(A302,04_PROYECTOS!$A:$N,5,FALSE)*(INDEX(02B_ESCENARIOS!$B$4:$D$11, MATCH("MULT_PRECIO", 02B_ESCENARIOS!$A$4:$A$11, 0), MATCH("Base", 02B_ESCENARIOS!$B$3:$D$3, 0)))*INDEX(02B_ESCENARIOS!$B$15:$D$19, MATCH(VLOOKUP(A302,04_PROYECTOS!$A:$N,9,FALSE), 02B_ESCENARIOS!$A$15:$A$19, 0), MATCH("Base", 02B_ESCENARIOS!$B$14:$D$14, 0))</f>
        <v/>
      </c>
      <c r="F302">
        <f>E302*VLOOKUP(A302,04_PROYECTOS!$A:$N,6,FALSE)</f>
        <v/>
      </c>
      <c r="G302">
        <f>E302+F302</f>
        <v/>
      </c>
      <c r="H302">
        <f>IF(VLOOKUP(A302,04_PROYECTOS!$A:$N,10,FALSE)="", IF(VLOOKUP(A302,04_PROYECTOS!$A:$N,4,FALSE)="Privado", INDEX(02B_ESCENARIOS!$B$4:$D$11, MATCH("DSO_PRIVADO_DEFAULT", 02B_ESCENARIOS!$A$4:$A$11, 0), MATCH("Base", 02B_ESCENARIOS!$B$3:$D$3, 0)), IF(VLOOKUP(A302,04_PROYECTOS!$A:$N,4,FALSE)="Publico_&lt;10M",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VLOOKUP(A302,04_PROYECTOS!$A:$N,10,FALSE))</f>
        <v/>
      </c>
      <c r="I302">
        <f>ROUNDUP(H302/30,0)</f>
        <v/>
      </c>
      <c r="J302">
        <f>EDATE(C302,I302)</f>
        <v/>
      </c>
      <c r="K302">
        <f>G302</f>
        <v/>
      </c>
    </row>
    <row r="303">
      <c r="E303">
        <f>D303*VLOOKUP(A303,04_PROYECTOS!$A:$N,5,FALSE)*(INDEX(02B_ESCENARIOS!$B$4:$D$11, MATCH("MULT_PRECIO", 02B_ESCENARIOS!$A$4:$A$11, 0), MATCH("Base", 02B_ESCENARIOS!$B$3:$D$3, 0)))*INDEX(02B_ESCENARIOS!$B$15:$D$19, MATCH(VLOOKUP(A303,04_PROYECTOS!$A:$N,9,FALSE), 02B_ESCENARIOS!$A$15:$A$19, 0), MATCH("Base", 02B_ESCENARIOS!$B$14:$D$14, 0))</f>
        <v/>
      </c>
      <c r="F303">
        <f>E303*VLOOKUP(A303,04_PROYECTOS!$A:$N,6,FALSE)</f>
        <v/>
      </c>
      <c r="G303">
        <f>E303+F303</f>
        <v/>
      </c>
      <c r="H303">
        <f>IF(VLOOKUP(A303,04_PROYECTOS!$A:$N,10,FALSE)="", IF(VLOOKUP(A303,04_PROYECTOS!$A:$N,4,FALSE)="Privado", INDEX(02B_ESCENARIOS!$B$4:$D$11, MATCH("DSO_PRIVADO_DEFAULT", 02B_ESCENARIOS!$A$4:$A$11, 0), MATCH("Base", 02B_ESCENARIOS!$B$3:$D$3, 0)), IF(VLOOKUP(A303,04_PROYECTOS!$A:$N,4,FALSE)="Publico_&lt;10M",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VLOOKUP(A303,04_PROYECTOS!$A:$N,10,FALSE))</f>
        <v/>
      </c>
      <c r="I303">
        <f>ROUNDUP(H303/30,0)</f>
        <v/>
      </c>
      <c r="J303">
        <f>EDATE(C303,I303)</f>
        <v/>
      </c>
      <c r="K303">
        <f>G303</f>
        <v/>
      </c>
    </row>
    <row r="304">
      <c r="E304">
        <f>D304*VLOOKUP(A304,04_PROYECTOS!$A:$N,5,FALSE)*(INDEX(02B_ESCENARIOS!$B$4:$D$11, MATCH("MULT_PRECIO", 02B_ESCENARIOS!$A$4:$A$11, 0), MATCH("Base", 02B_ESCENARIOS!$B$3:$D$3, 0)))*INDEX(02B_ESCENARIOS!$B$15:$D$19, MATCH(VLOOKUP(A304,04_PROYECTOS!$A:$N,9,FALSE), 02B_ESCENARIOS!$A$15:$A$19, 0), MATCH("Base", 02B_ESCENARIOS!$B$14:$D$14, 0))</f>
        <v/>
      </c>
      <c r="F304">
        <f>E304*VLOOKUP(A304,04_PROYECTOS!$A:$N,6,FALSE)</f>
        <v/>
      </c>
      <c r="G304">
        <f>E304+F304</f>
        <v/>
      </c>
      <c r="H304">
        <f>IF(VLOOKUP(A304,04_PROYECTOS!$A:$N,10,FALSE)="", IF(VLOOKUP(A304,04_PROYECTOS!$A:$N,4,FALSE)="Privado", INDEX(02B_ESCENARIOS!$B$4:$D$11, MATCH("DSO_PRIVADO_DEFAULT", 02B_ESCENARIOS!$A$4:$A$11, 0), MATCH("Base", 02B_ESCENARIOS!$B$3:$D$3, 0)), IF(VLOOKUP(A304,04_PROYECTOS!$A:$N,4,FALSE)="Publico_&lt;10M",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VLOOKUP(A304,04_PROYECTOS!$A:$N,10,FALSE))</f>
        <v/>
      </c>
      <c r="I304">
        <f>ROUNDUP(H304/30,0)</f>
        <v/>
      </c>
      <c r="J304">
        <f>EDATE(C304,I304)</f>
        <v/>
      </c>
      <c r="K304">
        <f>G304</f>
        <v/>
      </c>
    </row>
    <row r="305">
      <c r="E305">
        <f>D305*VLOOKUP(A305,04_PROYECTOS!$A:$N,5,FALSE)*(INDEX(02B_ESCENARIOS!$B$4:$D$11, MATCH("MULT_PRECIO", 02B_ESCENARIOS!$A$4:$A$11, 0), MATCH("Base", 02B_ESCENARIOS!$B$3:$D$3, 0)))*INDEX(02B_ESCENARIOS!$B$15:$D$19, MATCH(VLOOKUP(A305,04_PROYECTOS!$A:$N,9,FALSE), 02B_ESCENARIOS!$A$15:$A$19, 0), MATCH("Base", 02B_ESCENARIOS!$B$14:$D$14, 0))</f>
        <v/>
      </c>
      <c r="F305">
        <f>E305*VLOOKUP(A305,04_PROYECTOS!$A:$N,6,FALSE)</f>
        <v/>
      </c>
      <c r="G305">
        <f>E305+F305</f>
        <v/>
      </c>
      <c r="H305">
        <f>IF(VLOOKUP(A305,04_PROYECTOS!$A:$N,10,FALSE)="", IF(VLOOKUP(A305,04_PROYECTOS!$A:$N,4,FALSE)="Privado", INDEX(02B_ESCENARIOS!$B$4:$D$11, MATCH("DSO_PRIVADO_DEFAULT", 02B_ESCENARIOS!$A$4:$A$11, 0), MATCH("Base", 02B_ESCENARIOS!$B$3:$D$3, 0)), IF(VLOOKUP(A305,04_PROYECTOS!$A:$N,4,FALSE)="Publico_&lt;10M",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VLOOKUP(A305,04_PROYECTOS!$A:$N,10,FALSE))</f>
        <v/>
      </c>
      <c r="I305">
        <f>ROUNDUP(H305/30,0)</f>
        <v/>
      </c>
      <c r="J305">
        <f>EDATE(C305,I305)</f>
        <v/>
      </c>
      <c r="K305">
        <f>G305</f>
        <v/>
      </c>
    </row>
    <row r="306">
      <c r="E306">
        <f>D306*VLOOKUP(A306,04_PROYECTOS!$A:$N,5,FALSE)*(INDEX(02B_ESCENARIOS!$B$4:$D$11, MATCH("MULT_PRECIO", 02B_ESCENARIOS!$A$4:$A$11, 0), MATCH("Base", 02B_ESCENARIOS!$B$3:$D$3, 0)))*INDEX(02B_ESCENARIOS!$B$15:$D$19, MATCH(VLOOKUP(A306,04_PROYECTOS!$A:$N,9,FALSE), 02B_ESCENARIOS!$A$15:$A$19, 0), MATCH("Base", 02B_ESCENARIOS!$B$14:$D$14, 0))</f>
        <v/>
      </c>
      <c r="F306">
        <f>E306*VLOOKUP(A306,04_PROYECTOS!$A:$N,6,FALSE)</f>
        <v/>
      </c>
      <c r="G306">
        <f>E306+F306</f>
        <v/>
      </c>
      <c r="H306">
        <f>IF(VLOOKUP(A306,04_PROYECTOS!$A:$N,10,FALSE)="", IF(VLOOKUP(A306,04_PROYECTOS!$A:$N,4,FALSE)="Privado", INDEX(02B_ESCENARIOS!$B$4:$D$11, MATCH("DSO_PRIVADO_DEFAULT", 02B_ESCENARIOS!$A$4:$A$11, 0), MATCH("Base", 02B_ESCENARIOS!$B$3:$D$3, 0)), IF(VLOOKUP(A306,04_PROYECTOS!$A:$N,4,FALSE)="Publico_&lt;10M",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VLOOKUP(A306,04_PROYECTOS!$A:$N,10,FALSE))</f>
        <v/>
      </c>
      <c r="I306">
        <f>ROUNDUP(H306/30,0)</f>
        <v/>
      </c>
      <c r="J306">
        <f>EDATE(C306,I306)</f>
        <v/>
      </c>
      <c r="K306">
        <f>G306</f>
        <v/>
      </c>
    </row>
    <row r="307">
      <c r="E307">
        <f>D307*VLOOKUP(A307,04_PROYECTOS!$A:$N,5,FALSE)*(INDEX(02B_ESCENARIOS!$B$4:$D$11, MATCH("MULT_PRECIO", 02B_ESCENARIOS!$A$4:$A$11, 0), MATCH("Base", 02B_ESCENARIOS!$B$3:$D$3, 0)))*INDEX(02B_ESCENARIOS!$B$15:$D$19, MATCH(VLOOKUP(A307,04_PROYECTOS!$A:$N,9,FALSE), 02B_ESCENARIOS!$A$15:$A$19, 0), MATCH("Base", 02B_ESCENARIOS!$B$14:$D$14, 0))</f>
        <v/>
      </c>
      <c r="F307">
        <f>E307*VLOOKUP(A307,04_PROYECTOS!$A:$N,6,FALSE)</f>
        <v/>
      </c>
      <c r="G307">
        <f>E307+F307</f>
        <v/>
      </c>
      <c r="H307">
        <f>IF(VLOOKUP(A307,04_PROYECTOS!$A:$N,10,FALSE)="", IF(VLOOKUP(A307,04_PROYECTOS!$A:$N,4,FALSE)="Privado", INDEX(02B_ESCENARIOS!$B$4:$D$11, MATCH("DSO_PRIVADO_DEFAULT", 02B_ESCENARIOS!$A$4:$A$11, 0), MATCH("Base", 02B_ESCENARIOS!$B$3:$D$3, 0)), IF(VLOOKUP(A307,04_PROYECTOS!$A:$N,4,FALSE)="Publico_&lt;10M",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VLOOKUP(A307,04_PROYECTOS!$A:$N,10,FALSE))</f>
        <v/>
      </c>
      <c r="I307">
        <f>ROUNDUP(H307/30,0)</f>
        <v/>
      </c>
      <c r="J307">
        <f>EDATE(C307,I307)</f>
        <v/>
      </c>
      <c r="K307">
        <f>G307</f>
        <v/>
      </c>
    </row>
    <row r="308">
      <c r="E308">
        <f>D308*VLOOKUP(A308,04_PROYECTOS!$A:$N,5,FALSE)*(INDEX(02B_ESCENARIOS!$B$4:$D$11, MATCH("MULT_PRECIO", 02B_ESCENARIOS!$A$4:$A$11, 0), MATCH("Base", 02B_ESCENARIOS!$B$3:$D$3, 0)))*INDEX(02B_ESCENARIOS!$B$15:$D$19, MATCH(VLOOKUP(A308,04_PROYECTOS!$A:$N,9,FALSE), 02B_ESCENARIOS!$A$15:$A$19, 0), MATCH("Base", 02B_ESCENARIOS!$B$14:$D$14, 0))</f>
        <v/>
      </c>
      <c r="F308">
        <f>E308*VLOOKUP(A308,04_PROYECTOS!$A:$N,6,FALSE)</f>
        <v/>
      </c>
      <c r="G308">
        <f>E308+F308</f>
        <v/>
      </c>
      <c r="H308">
        <f>IF(VLOOKUP(A308,04_PROYECTOS!$A:$N,10,FALSE)="", IF(VLOOKUP(A308,04_PROYECTOS!$A:$N,4,FALSE)="Privado", INDEX(02B_ESCENARIOS!$B$4:$D$11, MATCH("DSO_PRIVADO_DEFAULT", 02B_ESCENARIOS!$A$4:$A$11, 0), MATCH("Base", 02B_ESCENARIOS!$B$3:$D$3, 0)), IF(VLOOKUP(A308,04_PROYECTOS!$A:$N,4,FALSE)="Publico_&lt;10M",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VLOOKUP(A308,04_PROYECTOS!$A:$N,10,FALSE))</f>
        <v/>
      </c>
      <c r="I308">
        <f>ROUNDUP(H308/30,0)</f>
        <v/>
      </c>
      <c r="J308">
        <f>EDATE(C308,I308)</f>
        <v/>
      </c>
      <c r="K308">
        <f>G308</f>
        <v/>
      </c>
    </row>
    <row r="309">
      <c r="E309">
        <f>D309*VLOOKUP(A309,04_PROYECTOS!$A:$N,5,FALSE)*(INDEX(02B_ESCENARIOS!$B$4:$D$11, MATCH("MULT_PRECIO", 02B_ESCENARIOS!$A$4:$A$11, 0), MATCH("Base", 02B_ESCENARIOS!$B$3:$D$3, 0)))*INDEX(02B_ESCENARIOS!$B$15:$D$19, MATCH(VLOOKUP(A309,04_PROYECTOS!$A:$N,9,FALSE), 02B_ESCENARIOS!$A$15:$A$19, 0), MATCH("Base", 02B_ESCENARIOS!$B$14:$D$14, 0))</f>
        <v/>
      </c>
      <c r="F309">
        <f>E309*VLOOKUP(A309,04_PROYECTOS!$A:$N,6,FALSE)</f>
        <v/>
      </c>
      <c r="G309">
        <f>E309+F309</f>
        <v/>
      </c>
      <c r="H309">
        <f>IF(VLOOKUP(A309,04_PROYECTOS!$A:$N,10,FALSE)="", IF(VLOOKUP(A309,04_PROYECTOS!$A:$N,4,FALSE)="Privado", INDEX(02B_ESCENARIOS!$B$4:$D$11, MATCH("DSO_PRIVADO_DEFAULT", 02B_ESCENARIOS!$A$4:$A$11, 0), MATCH("Base", 02B_ESCENARIOS!$B$3:$D$3, 0)), IF(VLOOKUP(A309,04_PROYECTOS!$A:$N,4,FALSE)="Publico_&lt;10M",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VLOOKUP(A309,04_PROYECTOS!$A:$N,10,FALSE))</f>
        <v/>
      </c>
      <c r="I309">
        <f>ROUNDUP(H309/30,0)</f>
        <v/>
      </c>
      <c r="J309">
        <f>EDATE(C309,I309)</f>
        <v/>
      </c>
      <c r="K309">
        <f>G309</f>
        <v/>
      </c>
    </row>
    <row r="310">
      <c r="E310">
        <f>D310*VLOOKUP(A310,04_PROYECTOS!$A:$N,5,FALSE)*(INDEX(02B_ESCENARIOS!$B$4:$D$11, MATCH("MULT_PRECIO", 02B_ESCENARIOS!$A$4:$A$11, 0), MATCH("Base", 02B_ESCENARIOS!$B$3:$D$3, 0)))*INDEX(02B_ESCENARIOS!$B$15:$D$19, MATCH(VLOOKUP(A310,04_PROYECTOS!$A:$N,9,FALSE), 02B_ESCENARIOS!$A$15:$A$19, 0), MATCH("Base", 02B_ESCENARIOS!$B$14:$D$14, 0))</f>
        <v/>
      </c>
      <c r="F310">
        <f>E310*VLOOKUP(A310,04_PROYECTOS!$A:$N,6,FALSE)</f>
        <v/>
      </c>
      <c r="G310">
        <f>E310+F310</f>
        <v/>
      </c>
      <c r="H310">
        <f>IF(VLOOKUP(A310,04_PROYECTOS!$A:$N,10,FALSE)="", IF(VLOOKUP(A310,04_PROYECTOS!$A:$N,4,FALSE)="Privado", INDEX(02B_ESCENARIOS!$B$4:$D$11, MATCH("DSO_PRIVADO_DEFAULT", 02B_ESCENARIOS!$A$4:$A$11, 0), MATCH("Base", 02B_ESCENARIOS!$B$3:$D$3, 0)), IF(VLOOKUP(A310,04_PROYECTOS!$A:$N,4,FALSE)="Publico_&lt;10M",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VLOOKUP(A310,04_PROYECTOS!$A:$N,10,FALSE))</f>
        <v/>
      </c>
      <c r="I310">
        <f>ROUNDUP(H310/30,0)</f>
        <v/>
      </c>
      <c r="J310">
        <f>EDATE(C310,I310)</f>
        <v/>
      </c>
      <c r="K310">
        <f>G310</f>
        <v/>
      </c>
    </row>
    <row r="311">
      <c r="E311">
        <f>D311*VLOOKUP(A311,04_PROYECTOS!$A:$N,5,FALSE)*(INDEX(02B_ESCENARIOS!$B$4:$D$11, MATCH("MULT_PRECIO", 02B_ESCENARIOS!$A$4:$A$11, 0), MATCH("Base", 02B_ESCENARIOS!$B$3:$D$3, 0)))*INDEX(02B_ESCENARIOS!$B$15:$D$19, MATCH(VLOOKUP(A311,04_PROYECTOS!$A:$N,9,FALSE), 02B_ESCENARIOS!$A$15:$A$19, 0), MATCH("Base", 02B_ESCENARIOS!$B$14:$D$14, 0))</f>
        <v/>
      </c>
      <c r="F311">
        <f>E311*VLOOKUP(A311,04_PROYECTOS!$A:$N,6,FALSE)</f>
        <v/>
      </c>
      <c r="G311">
        <f>E311+F311</f>
        <v/>
      </c>
      <c r="H311">
        <f>IF(VLOOKUP(A311,04_PROYECTOS!$A:$N,10,FALSE)="", IF(VLOOKUP(A311,04_PROYECTOS!$A:$N,4,FALSE)="Privado", INDEX(02B_ESCENARIOS!$B$4:$D$11, MATCH("DSO_PRIVADO_DEFAULT", 02B_ESCENARIOS!$A$4:$A$11, 0), MATCH("Base", 02B_ESCENARIOS!$B$3:$D$3, 0)), IF(VLOOKUP(A311,04_PROYECTOS!$A:$N,4,FALSE)="Publico_&lt;10M",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VLOOKUP(A311,04_PROYECTOS!$A:$N,10,FALSE))</f>
        <v/>
      </c>
      <c r="I311">
        <f>ROUNDUP(H311/30,0)</f>
        <v/>
      </c>
      <c r="J311">
        <f>EDATE(C311,I311)</f>
        <v/>
      </c>
      <c r="K311">
        <f>G311</f>
        <v/>
      </c>
    </row>
    <row r="312">
      <c r="E312">
        <f>D312*VLOOKUP(A312,04_PROYECTOS!$A:$N,5,FALSE)*(INDEX(02B_ESCENARIOS!$B$4:$D$11, MATCH("MULT_PRECIO", 02B_ESCENARIOS!$A$4:$A$11, 0), MATCH("Base", 02B_ESCENARIOS!$B$3:$D$3, 0)))*INDEX(02B_ESCENARIOS!$B$15:$D$19, MATCH(VLOOKUP(A312,04_PROYECTOS!$A:$N,9,FALSE), 02B_ESCENARIOS!$A$15:$A$19, 0), MATCH("Base", 02B_ESCENARIOS!$B$14:$D$14, 0))</f>
        <v/>
      </c>
      <c r="F312">
        <f>E312*VLOOKUP(A312,04_PROYECTOS!$A:$N,6,FALSE)</f>
        <v/>
      </c>
      <c r="G312">
        <f>E312+F312</f>
        <v/>
      </c>
      <c r="H312">
        <f>IF(VLOOKUP(A312,04_PROYECTOS!$A:$N,10,FALSE)="", IF(VLOOKUP(A312,04_PROYECTOS!$A:$N,4,FALSE)="Privado", INDEX(02B_ESCENARIOS!$B$4:$D$11, MATCH("DSO_PRIVADO_DEFAULT", 02B_ESCENARIOS!$A$4:$A$11, 0), MATCH("Base", 02B_ESCENARIOS!$B$3:$D$3, 0)), IF(VLOOKUP(A312,04_PROYECTOS!$A:$N,4,FALSE)="Publico_&lt;10M",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VLOOKUP(A312,04_PROYECTOS!$A:$N,10,FALSE))</f>
        <v/>
      </c>
      <c r="I312">
        <f>ROUNDUP(H312/30,0)</f>
        <v/>
      </c>
      <c r="J312">
        <f>EDATE(C312,I312)</f>
        <v/>
      </c>
      <c r="K312">
        <f>G312</f>
        <v/>
      </c>
    </row>
    <row r="313">
      <c r="E313">
        <f>D313*VLOOKUP(A313,04_PROYECTOS!$A:$N,5,FALSE)*(INDEX(02B_ESCENARIOS!$B$4:$D$11, MATCH("MULT_PRECIO", 02B_ESCENARIOS!$A$4:$A$11, 0), MATCH("Base", 02B_ESCENARIOS!$B$3:$D$3, 0)))*INDEX(02B_ESCENARIOS!$B$15:$D$19, MATCH(VLOOKUP(A313,04_PROYECTOS!$A:$N,9,FALSE), 02B_ESCENARIOS!$A$15:$A$19, 0), MATCH("Base", 02B_ESCENARIOS!$B$14:$D$14, 0))</f>
        <v/>
      </c>
      <c r="F313">
        <f>E313*VLOOKUP(A313,04_PROYECTOS!$A:$N,6,FALSE)</f>
        <v/>
      </c>
      <c r="G313">
        <f>E313+F313</f>
        <v/>
      </c>
      <c r="H313">
        <f>IF(VLOOKUP(A313,04_PROYECTOS!$A:$N,10,FALSE)="", IF(VLOOKUP(A313,04_PROYECTOS!$A:$N,4,FALSE)="Privado", INDEX(02B_ESCENARIOS!$B$4:$D$11, MATCH("DSO_PRIVADO_DEFAULT", 02B_ESCENARIOS!$A$4:$A$11, 0), MATCH("Base", 02B_ESCENARIOS!$B$3:$D$3, 0)), IF(VLOOKUP(A313,04_PROYECTOS!$A:$N,4,FALSE)="Publico_&lt;10M",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VLOOKUP(A313,04_PROYECTOS!$A:$N,10,FALSE))</f>
        <v/>
      </c>
      <c r="I313">
        <f>ROUNDUP(H313/30,0)</f>
        <v/>
      </c>
      <c r="J313">
        <f>EDATE(C313,I313)</f>
        <v/>
      </c>
      <c r="K313">
        <f>G313</f>
        <v/>
      </c>
    </row>
    <row r="314">
      <c r="E314">
        <f>D314*VLOOKUP(A314,04_PROYECTOS!$A:$N,5,FALSE)*(INDEX(02B_ESCENARIOS!$B$4:$D$11, MATCH("MULT_PRECIO", 02B_ESCENARIOS!$A$4:$A$11, 0), MATCH("Base", 02B_ESCENARIOS!$B$3:$D$3, 0)))*INDEX(02B_ESCENARIOS!$B$15:$D$19, MATCH(VLOOKUP(A314,04_PROYECTOS!$A:$N,9,FALSE), 02B_ESCENARIOS!$A$15:$A$19, 0), MATCH("Base", 02B_ESCENARIOS!$B$14:$D$14, 0))</f>
        <v/>
      </c>
      <c r="F314">
        <f>E314*VLOOKUP(A314,04_PROYECTOS!$A:$N,6,FALSE)</f>
        <v/>
      </c>
      <c r="G314">
        <f>E314+F314</f>
        <v/>
      </c>
      <c r="H314">
        <f>IF(VLOOKUP(A314,04_PROYECTOS!$A:$N,10,FALSE)="", IF(VLOOKUP(A314,04_PROYECTOS!$A:$N,4,FALSE)="Privado", INDEX(02B_ESCENARIOS!$B$4:$D$11, MATCH("DSO_PRIVADO_DEFAULT", 02B_ESCENARIOS!$A$4:$A$11, 0), MATCH("Base", 02B_ESCENARIOS!$B$3:$D$3, 0)), IF(VLOOKUP(A314,04_PROYECTOS!$A:$N,4,FALSE)="Publico_&lt;10M",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VLOOKUP(A314,04_PROYECTOS!$A:$N,10,FALSE))</f>
        <v/>
      </c>
      <c r="I314">
        <f>ROUNDUP(H314/30,0)</f>
        <v/>
      </c>
      <c r="J314">
        <f>EDATE(C314,I314)</f>
        <v/>
      </c>
      <c r="K314">
        <f>G314</f>
        <v/>
      </c>
    </row>
    <row r="315">
      <c r="E315">
        <f>D315*VLOOKUP(A315,04_PROYECTOS!$A:$N,5,FALSE)*(INDEX(02B_ESCENARIOS!$B$4:$D$11, MATCH("MULT_PRECIO", 02B_ESCENARIOS!$A$4:$A$11, 0), MATCH("Base", 02B_ESCENARIOS!$B$3:$D$3, 0)))*INDEX(02B_ESCENARIOS!$B$15:$D$19, MATCH(VLOOKUP(A315,04_PROYECTOS!$A:$N,9,FALSE), 02B_ESCENARIOS!$A$15:$A$19, 0), MATCH("Base", 02B_ESCENARIOS!$B$14:$D$14, 0))</f>
        <v/>
      </c>
      <c r="F315">
        <f>E315*VLOOKUP(A315,04_PROYECTOS!$A:$N,6,FALSE)</f>
        <v/>
      </c>
      <c r="G315">
        <f>E315+F315</f>
        <v/>
      </c>
      <c r="H315">
        <f>IF(VLOOKUP(A315,04_PROYECTOS!$A:$N,10,FALSE)="", IF(VLOOKUP(A315,04_PROYECTOS!$A:$N,4,FALSE)="Privado", INDEX(02B_ESCENARIOS!$B$4:$D$11, MATCH("DSO_PRIVADO_DEFAULT", 02B_ESCENARIOS!$A$4:$A$11, 0), MATCH("Base", 02B_ESCENARIOS!$B$3:$D$3, 0)), IF(VLOOKUP(A315,04_PROYECTOS!$A:$N,4,FALSE)="Publico_&lt;10M",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VLOOKUP(A315,04_PROYECTOS!$A:$N,10,FALSE))</f>
        <v/>
      </c>
      <c r="I315">
        <f>ROUNDUP(H315/30,0)</f>
        <v/>
      </c>
      <c r="J315">
        <f>EDATE(C315,I315)</f>
        <v/>
      </c>
      <c r="K315">
        <f>G315</f>
        <v/>
      </c>
    </row>
    <row r="316">
      <c r="E316">
        <f>D316*VLOOKUP(A316,04_PROYECTOS!$A:$N,5,FALSE)*(INDEX(02B_ESCENARIOS!$B$4:$D$11, MATCH("MULT_PRECIO", 02B_ESCENARIOS!$A$4:$A$11, 0), MATCH("Base", 02B_ESCENARIOS!$B$3:$D$3, 0)))*INDEX(02B_ESCENARIOS!$B$15:$D$19, MATCH(VLOOKUP(A316,04_PROYECTOS!$A:$N,9,FALSE), 02B_ESCENARIOS!$A$15:$A$19, 0), MATCH("Base", 02B_ESCENARIOS!$B$14:$D$14, 0))</f>
        <v/>
      </c>
      <c r="F316">
        <f>E316*VLOOKUP(A316,04_PROYECTOS!$A:$N,6,FALSE)</f>
        <v/>
      </c>
      <c r="G316">
        <f>E316+F316</f>
        <v/>
      </c>
      <c r="H316">
        <f>IF(VLOOKUP(A316,04_PROYECTOS!$A:$N,10,FALSE)="", IF(VLOOKUP(A316,04_PROYECTOS!$A:$N,4,FALSE)="Privado", INDEX(02B_ESCENARIOS!$B$4:$D$11, MATCH("DSO_PRIVADO_DEFAULT", 02B_ESCENARIOS!$A$4:$A$11, 0), MATCH("Base", 02B_ESCENARIOS!$B$3:$D$3, 0)), IF(VLOOKUP(A316,04_PROYECTOS!$A:$N,4,FALSE)="Publico_&lt;10M",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VLOOKUP(A316,04_PROYECTOS!$A:$N,10,FALSE))</f>
        <v/>
      </c>
      <c r="I316">
        <f>ROUNDUP(H316/30,0)</f>
        <v/>
      </c>
      <c r="J316">
        <f>EDATE(C316,I316)</f>
        <v/>
      </c>
      <c r="K316">
        <f>G316</f>
        <v/>
      </c>
    </row>
    <row r="317">
      <c r="E317">
        <f>D317*VLOOKUP(A317,04_PROYECTOS!$A:$N,5,FALSE)*(INDEX(02B_ESCENARIOS!$B$4:$D$11, MATCH("MULT_PRECIO", 02B_ESCENARIOS!$A$4:$A$11, 0), MATCH("Base", 02B_ESCENARIOS!$B$3:$D$3, 0)))*INDEX(02B_ESCENARIOS!$B$15:$D$19, MATCH(VLOOKUP(A317,04_PROYECTOS!$A:$N,9,FALSE), 02B_ESCENARIOS!$A$15:$A$19, 0), MATCH("Base", 02B_ESCENARIOS!$B$14:$D$14, 0))</f>
        <v/>
      </c>
      <c r="F317">
        <f>E317*VLOOKUP(A317,04_PROYECTOS!$A:$N,6,FALSE)</f>
        <v/>
      </c>
      <c r="G317">
        <f>E317+F317</f>
        <v/>
      </c>
      <c r="H317">
        <f>IF(VLOOKUP(A317,04_PROYECTOS!$A:$N,10,FALSE)="", IF(VLOOKUP(A317,04_PROYECTOS!$A:$N,4,FALSE)="Privado", INDEX(02B_ESCENARIOS!$B$4:$D$11, MATCH("DSO_PRIVADO_DEFAULT", 02B_ESCENARIOS!$A$4:$A$11, 0), MATCH("Base", 02B_ESCENARIOS!$B$3:$D$3, 0)), IF(VLOOKUP(A317,04_PROYECTOS!$A:$N,4,FALSE)="Publico_&lt;10M",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VLOOKUP(A317,04_PROYECTOS!$A:$N,10,FALSE))</f>
        <v/>
      </c>
      <c r="I317">
        <f>ROUNDUP(H317/30,0)</f>
        <v/>
      </c>
      <c r="J317">
        <f>EDATE(C317,I317)</f>
        <v/>
      </c>
      <c r="K317">
        <f>G317</f>
        <v/>
      </c>
    </row>
    <row r="318">
      <c r="E318">
        <f>D318*VLOOKUP(A318,04_PROYECTOS!$A:$N,5,FALSE)*(INDEX(02B_ESCENARIOS!$B$4:$D$11, MATCH("MULT_PRECIO", 02B_ESCENARIOS!$A$4:$A$11, 0), MATCH("Base", 02B_ESCENARIOS!$B$3:$D$3, 0)))*INDEX(02B_ESCENARIOS!$B$15:$D$19, MATCH(VLOOKUP(A318,04_PROYECTOS!$A:$N,9,FALSE), 02B_ESCENARIOS!$A$15:$A$19, 0), MATCH("Base", 02B_ESCENARIOS!$B$14:$D$14, 0))</f>
        <v/>
      </c>
      <c r="F318">
        <f>E318*VLOOKUP(A318,04_PROYECTOS!$A:$N,6,FALSE)</f>
        <v/>
      </c>
      <c r="G318">
        <f>E318+F318</f>
        <v/>
      </c>
      <c r="H318">
        <f>IF(VLOOKUP(A318,04_PROYECTOS!$A:$N,10,FALSE)="", IF(VLOOKUP(A318,04_PROYECTOS!$A:$N,4,FALSE)="Privado", INDEX(02B_ESCENARIOS!$B$4:$D$11, MATCH("DSO_PRIVADO_DEFAULT", 02B_ESCENARIOS!$A$4:$A$11, 0), MATCH("Base", 02B_ESCENARIOS!$B$3:$D$3, 0)), IF(VLOOKUP(A318,04_PROYECTOS!$A:$N,4,FALSE)="Publico_&lt;10M",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VLOOKUP(A318,04_PROYECTOS!$A:$N,10,FALSE))</f>
        <v/>
      </c>
      <c r="I318">
        <f>ROUNDUP(H318/30,0)</f>
        <v/>
      </c>
      <c r="J318">
        <f>EDATE(C318,I318)</f>
        <v/>
      </c>
      <c r="K318">
        <f>G318</f>
        <v/>
      </c>
    </row>
    <row r="319">
      <c r="E319">
        <f>D319*VLOOKUP(A319,04_PROYECTOS!$A:$N,5,FALSE)*(INDEX(02B_ESCENARIOS!$B$4:$D$11, MATCH("MULT_PRECIO", 02B_ESCENARIOS!$A$4:$A$11, 0), MATCH("Base", 02B_ESCENARIOS!$B$3:$D$3, 0)))*INDEX(02B_ESCENARIOS!$B$15:$D$19, MATCH(VLOOKUP(A319,04_PROYECTOS!$A:$N,9,FALSE), 02B_ESCENARIOS!$A$15:$A$19, 0), MATCH("Base", 02B_ESCENARIOS!$B$14:$D$14, 0))</f>
        <v/>
      </c>
      <c r="F319">
        <f>E319*VLOOKUP(A319,04_PROYECTOS!$A:$N,6,FALSE)</f>
        <v/>
      </c>
      <c r="G319">
        <f>E319+F319</f>
        <v/>
      </c>
      <c r="H319">
        <f>IF(VLOOKUP(A319,04_PROYECTOS!$A:$N,10,FALSE)="", IF(VLOOKUP(A319,04_PROYECTOS!$A:$N,4,FALSE)="Privado", INDEX(02B_ESCENARIOS!$B$4:$D$11, MATCH("DSO_PRIVADO_DEFAULT", 02B_ESCENARIOS!$A$4:$A$11, 0), MATCH("Base", 02B_ESCENARIOS!$B$3:$D$3, 0)), IF(VLOOKUP(A319,04_PROYECTOS!$A:$N,4,FALSE)="Publico_&lt;10M",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VLOOKUP(A319,04_PROYECTOS!$A:$N,10,FALSE))</f>
        <v/>
      </c>
      <c r="I319">
        <f>ROUNDUP(H319/30,0)</f>
        <v/>
      </c>
      <c r="J319">
        <f>EDATE(C319,I319)</f>
        <v/>
      </c>
      <c r="K319">
        <f>G319</f>
        <v/>
      </c>
    </row>
    <row r="320">
      <c r="E320">
        <f>D320*VLOOKUP(A320,04_PROYECTOS!$A:$N,5,FALSE)*(INDEX(02B_ESCENARIOS!$B$4:$D$11, MATCH("MULT_PRECIO", 02B_ESCENARIOS!$A$4:$A$11, 0), MATCH("Base", 02B_ESCENARIOS!$B$3:$D$3, 0)))*INDEX(02B_ESCENARIOS!$B$15:$D$19, MATCH(VLOOKUP(A320,04_PROYECTOS!$A:$N,9,FALSE), 02B_ESCENARIOS!$A$15:$A$19, 0), MATCH("Base", 02B_ESCENARIOS!$B$14:$D$14, 0))</f>
        <v/>
      </c>
      <c r="F320">
        <f>E320*VLOOKUP(A320,04_PROYECTOS!$A:$N,6,FALSE)</f>
        <v/>
      </c>
      <c r="G320">
        <f>E320+F320</f>
        <v/>
      </c>
      <c r="H320">
        <f>IF(VLOOKUP(A320,04_PROYECTOS!$A:$N,10,FALSE)="", IF(VLOOKUP(A320,04_PROYECTOS!$A:$N,4,FALSE)="Privado", INDEX(02B_ESCENARIOS!$B$4:$D$11, MATCH("DSO_PRIVADO_DEFAULT", 02B_ESCENARIOS!$A$4:$A$11, 0), MATCH("Base", 02B_ESCENARIOS!$B$3:$D$3, 0)), IF(VLOOKUP(A320,04_PROYECTOS!$A:$N,4,FALSE)="Publico_&lt;10M",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VLOOKUP(A320,04_PROYECTOS!$A:$N,10,FALSE))</f>
        <v/>
      </c>
      <c r="I320">
        <f>ROUNDUP(H320/30,0)</f>
        <v/>
      </c>
      <c r="J320">
        <f>EDATE(C320,I320)</f>
        <v/>
      </c>
      <c r="K320">
        <f>G320</f>
        <v/>
      </c>
    </row>
    <row r="321">
      <c r="E321">
        <f>D321*VLOOKUP(A321,04_PROYECTOS!$A:$N,5,FALSE)*(INDEX(02B_ESCENARIOS!$B$4:$D$11, MATCH("MULT_PRECIO", 02B_ESCENARIOS!$A$4:$A$11, 0), MATCH("Base", 02B_ESCENARIOS!$B$3:$D$3, 0)))*INDEX(02B_ESCENARIOS!$B$15:$D$19, MATCH(VLOOKUP(A321,04_PROYECTOS!$A:$N,9,FALSE), 02B_ESCENARIOS!$A$15:$A$19, 0), MATCH("Base", 02B_ESCENARIOS!$B$14:$D$14, 0))</f>
        <v/>
      </c>
      <c r="F321">
        <f>E321*VLOOKUP(A321,04_PROYECTOS!$A:$N,6,FALSE)</f>
        <v/>
      </c>
      <c r="G321">
        <f>E321+F321</f>
        <v/>
      </c>
      <c r="H321">
        <f>IF(VLOOKUP(A321,04_PROYECTOS!$A:$N,10,FALSE)="", IF(VLOOKUP(A321,04_PROYECTOS!$A:$N,4,FALSE)="Privado", INDEX(02B_ESCENARIOS!$B$4:$D$11, MATCH("DSO_PRIVADO_DEFAULT", 02B_ESCENARIOS!$A$4:$A$11, 0), MATCH("Base", 02B_ESCENARIOS!$B$3:$D$3, 0)), IF(VLOOKUP(A321,04_PROYECTOS!$A:$N,4,FALSE)="Publico_&lt;10M",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VLOOKUP(A321,04_PROYECTOS!$A:$N,10,FALSE))</f>
        <v/>
      </c>
      <c r="I321">
        <f>ROUNDUP(H321/30,0)</f>
        <v/>
      </c>
      <c r="J321">
        <f>EDATE(C321,I321)</f>
        <v/>
      </c>
      <c r="K321">
        <f>G321</f>
        <v/>
      </c>
    </row>
    <row r="322">
      <c r="E322">
        <f>D322*VLOOKUP(A322,04_PROYECTOS!$A:$N,5,FALSE)*(INDEX(02B_ESCENARIOS!$B$4:$D$11, MATCH("MULT_PRECIO", 02B_ESCENARIOS!$A$4:$A$11, 0), MATCH("Base", 02B_ESCENARIOS!$B$3:$D$3, 0)))*INDEX(02B_ESCENARIOS!$B$15:$D$19, MATCH(VLOOKUP(A322,04_PROYECTOS!$A:$N,9,FALSE), 02B_ESCENARIOS!$A$15:$A$19, 0), MATCH("Base", 02B_ESCENARIOS!$B$14:$D$14, 0))</f>
        <v/>
      </c>
      <c r="F322">
        <f>E322*VLOOKUP(A322,04_PROYECTOS!$A:$N,6,FALSE)</f>
        <v/>
      </c>
      <c r="G322">
        <f>E322+F322</f>
        <v/>
      </c>
      <c r="H322">
        <f>IF(VLOOKUP(A322,04_PROYECTOS!$A:$N,10,FALSE)="", IF(VLOOKUP(A322,04_PROYECTOS!$A:$N,4,FALSE)="Privado", INDEX(02B_ESCENARIOS!$B$4:$D$11, MATCH("DSO_PRIVADO_DEFAULT", 02B_ESCENARIOS!$A$4:$A$11, 0), MATCH("Base", 02B_ESCENARIOS!$B$3:$D$3, 0)), IF(VLOOKUP(A322,04_PROYECTOS!$A:$N,4,FALSE)="Publico_&lt;10M",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VLOOKUP(A322,04_PROYECTOS!$A:$N,10,FALSE))</f>
        <v/>
      </c>
      <c r="I322">
        <f>ROUNDUP(H322/30,0)</f>
        <v/>
      </c>
      <c r="J322">
        <f>EDATE(C322,I322)</f>
        <v/>
      </c>
      <c r="K322">
        <f>G322</f>
        <v/>
      </c>
    </row>
    <row r="323">
      <c r="E323">
        <f>D323*VLOOKUP(A323,04_PROYECTOS!$A:$N,5,FALSE)*(INDEX(02B_ESCENARIOS!$B$4:$D$11, MATCH("MULT_PRECIO", 02B_ESCENARIOS!$A$4:$A$11, 0), MATCH("Base", 02B_ESCENARIOS!$B$3:$D$3, 0)))*INDEX(02B_ESCENARIOS!$B$15:$D$19, MATCH(VLOOKUP(A323,04_PROYECTOS!$A:$N,9,FALSE), 02B_ESCENARIOS!$A$15:$A$19, 0), MATCH("Base", 02B_ESCENARIOS!$B$14:$D$14, 0))</f>
        <v/>
      </c>
      <c r="F323">
        <f>E323*VLOOKUP(A323,04_PROYECTOS!$A:$N,6,FALSE)</f>
        <v/>
      </c>
      <c r="G323">
        <f>E323+F323</f>
        <v/>
      </c>
      <c r="H323">
        <f>IF(VLOOKUP(A323,04_PROYECTOS!$A:$N,10,FALSE)="", IF(VLOOKUP(A323,04_PROYECTOS!$A:$N,4,FALSE)="Privado", INDEX(02B_ESCENARIOS!$B$4:$D$11, MATCH("DSO_PRIVADO_DEFAULT", 02B_ESCENARIOS!$A$4:$A$11, 0), MATCH("Base", 02B_ESCENARIOS!$B$3:$D$3, 0)), IF(VLOOKUP(A323,04_PROYECTOS!$A:$N,4,FALSE)="Publico_&lt;10M",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VLOOKUP(A323,04_PROYECTOS!$A:$N,10,FALSE))</f>
        <v/>
      </c>
      <c r="I323">
        <f>ROUNDUP(H323/30,0)</f>
        <v/>
      </c>
      <c r="J323">
        <f>EDATE(C323,I323)</f>
        <v/>
      </c>
      <c r="K323">
        <f>G323</f>
        <v/>
      </c>
    </row>
    <row r="324">
      <c r="E324">
        <f>D324*VLOOKUP(A324,04_PROYECTOS!$A:$N,5,FALSE)*(INDEX(02B_ESCENARIOS!$B$4:$D$11, MATCH("MULT_PRECIO", 02B_ESCENARIOS!$A$4:$A$11, 0), MATCH("Base", 02B_ESCENARIOS!$B$3:$D$3, 0)))*INDEX(02B_ESCENARIOS!$B$15:$D$19, MATCH(VLOOKUP(A324,04_PROYECTOS!$A:$N,9,FALSE), 02B_ESCENARIOS!$A$15:$A$19, 0), MATCH("Base", 02B_ESCENARIOS!$B$14:$D$14, 0))</f>
        <v/>
      </c>
      <c r="F324">
        <f>E324*VLOOKUP(A324,04_PROYECTOS!$A:$N,6,FALSE)</f>
        <v/>
      </c>
      <c r="G324">
        <f>E324+F324</f>
        <v/>
      </c>
      <c r="H324">
        <f>IF(VLOOKUP(A324,04_PROYECTOS!$A:$N,10,FALSE)="", IF(VLOOKUP(A324,04_PROYECTOS!$A:$N,4,FALSE)="Privado", INDEX(02B_ESCENARIOS!$B$4:$D$11, MATCH("DSO_PRIVADO_DEFAULT", 02B_ESCENARIOS!$A$4:$A$11, 0), MATCH("Base", 02B_ESCENARIOS!$B$3:$D$3, 0)), IF(VLOOKUP(A324,04_PROYECTOS!$A:$N,4,FALSE)="Publico_&lt;10M",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VLOOKUP(A324,04_PROYECTOS!$A:$N,10,FALSE))</f>
        <v/>
      </c>
      <c r="I324">
        <f>ROUNDUP(H324/30,0)</f>
        <v/>
      </c>
      <c r="J324">
        <f>EDATE(C324,I324)</f>
        <v/>
      </c>
      <c r="K324">
        <f>G324</f>
        <v/>
      </c>
    </row>
    <row r="325">
      <c r="E325">
        <f>D325*VLOOKUP(A325,04_PROYECTOS!$A:$N,5,FALSE)*(INDEX(02B_ESCENARIOS!$B$4:$D$11, MATCH("MULT_PRECIO", 02B_ESCENARIOS!$A$4:$A$11, 0), MATCH("Base", 02B_ESCENARIOS!$B$3:$D$3, 0)))*INDEX(02B_ESCENARIOS!$B$15:$D$19, MATCH(VLOOKUP(A325,04_PROYECTOS!$A:$N,9,FALSE), 02B_ESCENARIOS!$A$15:$A$19, 0), MATCH("Base", 02B_ESCENARIOS!$B$14:$D$14, 0))</f>
        <v/>
      </c>
      <c r="F325">
        <f>E325*VLOOKUP(A325,04_PROYECTOS!$A:$N,6,FALSE)</f>
        <v/>
      </c>
      <c r="G325">
        <f>E325+F325</f>
        <v/>
      </c>
      <c r="H325">
        <f>IF(VLOOKUP(A325,04_PROYECTOS!$A:$N,10,FALSE)="", IF(VLOOKUP(A325,04_PROYECTOS!$A:$N,4,FALSE)="Privado", INDEX(02B_ESCENARIOS!$B$4:$D$11, MATCH("DSO_PRIVADO_DEFAULT", 02B_ESCENARIOS!$A$4:$A$11, 0), MATCH("Base", 02B_ESCENARIOS!$B$3:$D$3, 0)), IF(VLOOKUP(A325,04_PROYECTOS!$A:$N,4,FALSE)="Publico_&lt;10M",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VLOOKUP(A325,04_PROYECTOS!$A:$N,10,FALSE))</f>
        <v/>
      </c>
      <c r="I325">
        <f>ROUNDUP(H325/30,0)</f>
        <v/>
      </c>
      <c r="J325">
        <f>EDATE(C325,I325)</f>
        <v/>
      </c>
      <c r="K325">
        <f>G325</f>
        <v/>
      </c>
    </row>
    <row r="326">
      <c r="E326">
        <f>D326*VLOOKUP(A326,04_PROYECTOS!$A:$N,5,FALSE)*(INDEX(02B_ESCENARIOS!$B$4:$D$11, MATCH("MULT_PRECIO", 02B_ESCENARIOS!$A$4:$A$11, 0), MATCH("Base", 02B_ESCENARIOS!$B$3:$D$3, 0)))*INDEX(02B_ESCENARIOS!$B$15:$D$19, MATCH(VLOOKUP(A326,04_PROYECTOS!$A:$N,9,FALSE), 02B_ESCENARIOS!$A$15:$A$19, 0), MATCH("Base", 02B_ESCENARIOS!$B$14:$D$14, 0))</f>
        <v/>
      </c>
      <c r="F326">
        <f>E326*VLOOKUP(A326,04_PROYECTOS!$A:$N,6,FALSE)</f>
        <v/>
      </c>
      <c r="G326">
        <f>E326+F326</f>
        <v/>
      </c>
      <c r="H326">
        <f>IF(VLOOKUP(A326,04_PROYECTOS!$A:$N,10,FALSE)="", IF(VLOOKUP(A326,04_PROYECTOS!$A:$N,4,FALSE)="Privado", INDEX(02B_ESCENARIOS!$B$4:$D$11, MATCH("DSO_PRIVADO_DEFAULT", 02B_ESCENARIOS!$A$4:$A$11, 0), MATCH("Base", 02B_ESCENARIOS!$B$3:$D$3, 0)), IF(VLOOKUP(A326,04_PROYECTOS!$A:$N,4,FALSE)="Publico_&lt;10M",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VLOOKUP(A326,04_PROYECTOS!$A:$N,10,FALSE))</f>
        <v/>
      </c>
      <c r="I326">
        <f>ROUNDUP(H326/30,0)</f>
        <v/>
      </c>
      <c r="J326">
        <f>EDATE(C326,I326)</f>
        <v/>
      </c>
      <c r="K326">
        <f>G326</f>
        <v/>
      </c>
    </row>
    <row r="327">
      <c r="E327">
        <f>D327*VLOOKUP(A327,04_PROYECTOS!$A:$N,5,FALSE)*(INDEX(02B_ESCENARIOS!$B$4:$D$11, MATCH("MULT_PRECIO", 02B_ESCENARIOS!$A$4:$A$11, 0), MATCH("Base", 02B_ESCENARIOS!$B$3:$D$3, 0)))*INDEX(02B_ESCENARIOS!$B$15:$D$19, MATCH(VLOOKUP(A327,04_PROYECTOS!$A:$N,9,FALSE), 02B_ESCENARIOS!$A$15:$A$19, 0), MATCH("Base", 02B_ESCENARIOS!$B$14:$D$14, 0))</f>
        <v/>
      </c>
      <c r="F327">
        <f>E327*VLOOKUP(A327,04_PROYECTOS!$A:$N,6,FALSE)</f>
        <v/>
      </c>
      <c r="G327">
        <f>E327+F327</f>
        <v/>
      </c>
      <c r="H327">
        <f>IF(VLOOKUP(A327,04_PROYECTOS!$A:$N,10,FALSE)="", IF(VLOOKUP(A327,04_PROYECTOS!$A:$N,4,FALSE)="Privado", INDEX(02B_ESCENARIOS!$B$4:$D$11, MATCH("DSO_PRIVADO_DEFAULT", 02B_ESCENARIOS!$A$4:$A$11, 0), MATCH("Base", 02B_ESCENARIOS!$B$3:$D$3, 0)), IF(VLOOKUP(A327,04_PROYECTOS!$A:$N,4,FALSE)="Publico_&lt;10M",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VLOOKUP(A327,04_PROYECTOS!$A:$N,10,FALSE))</f>
        <v/>
      </c>
      <c r="I327">
        <f>ROUNDUP(H327/30,0)</f>
        <v/>
      </c>
      <c r="J327">
        <f>EDATE(C327,I327)</f>
        <v/>
      </c>
      <c r="K327">
        <f>G327</f>
        <v/>
      </c>
    </row>
    <row r="328">
      <c r="E328">
        <f>D328*VLOOKUP(A328,04_PROYECTOS!$A:$N,5,FALSE)*(INDEX(02B_ESCENARIOS!$B$4:$D$11, MATCH("MULT_PRECIO", 02B_ESCENARIOS!$A$4:$A$11, 0), MATCH("Base", 02B_ESCENARIOS!$B$3:$D$3, 0)))*INDEX(02B_ESCENARIOS!$B$15:$D$19, MATCH(VLOOKUP(A328,04_PROYECTOS!$A:$N,9,FALSE), 02B_ESCENARIOS!$A$15:$A$19, 0), MATCH("Base", 02B_ESCENARIOS!$B$14:$D$14, 0))</f>
        <v/>
      </c>
      <c r="F328">
        <f>E328*VLOOKUP(A328,04_PROYECTOS!$A:$N,6,FALSE)</f>
        <v/>
      </c>
      <c r="G328">
        <f>E328+F328</f>
        <v/>
      </c>
      <c r="H328">
        <f>IF(VLOOKUP(A328,04_PROYECTOS!$A:$N,10,FALSE)="", IF(VLOOKUP(A328,04_PROYECTOS!$A:$N,4,FALSE)="Privado", INDEX(02B_ESCENARIOS!$B$4:$D$11, MATCH("DSO_PRIVADO_DEFAULT", 02B_ESCENARIOS!$A$4:$A$11, 0), MATCH("Base", 02B_ESCENARIOS!$B$3:$D$3, 0)), IF(VLOOKUP(A328,04_PROYECTOS!$A:$N,4,FALSE)="Publico_&lt;10M",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VLOOKUP(A328,04_PROYECTOS!$A:$N,10,FALSE))</f>
        <v/>
      </c>
      <c r="I328">
        <f>ROUNDUP(H328/30,0)</f>
        <v/>
      </c>
      <c r="J328">
        <f>EDATE(C328,I328)</f>
        <v/>
      </c>
      <c r="K328">
        <f>G328</f>
        <v/>
      </c>
    </row>
    <row r="329">
      <c r="E329">
        <f>D329*VLOOKUP(A329,04_PROYECTOS!$A:$N,5,FALSE)*(INDEX(02B_ESCENARIOS!$B$4:$D$11, MATCH("MULT_PRECIO", 02B_ESCENARIOS!$A$4:$A$11, 0), MATCH("Base", 02B_ESCENARIOS!$B$3:$D$3, 0)))*INDEX(02B_ESCENARIOS!$B$15:$D$19, MATCH(VLOOKUP(A329,04_PROYECTOS!$A:$N,9,FALSE), 02B_ESCENARIOS!$A$15:$A$19, 0), MATCH("Base", 02B_ESCENARIOS!$B$14:$D$14, 0))</f>
        <v/>
      </c>
      <c r="F329">
        <f>E329*VLOOKUP(A329,04_PROYECTOS!$A:$N,6,FALSE)</f>
        <v/>
      </c>
      <c r="G329">
        <f>E329+F329</f>
        <v/>
      </c>
      <c r="H329">
        <f>IF(VLOOKUP(A329,04_PROYECTOS!$A:$N,10,FALSE)="", IF(VLOOKUP(A329,04_PROYECTOS!$A:$N,4,FALSE)="Privado", INDEX(02B_ESCENARIOS!$B$4:$D$11, MATCH("DSO_PRIVADO_DEFAULT", 02B_ESCENARIOS!$A$4:$A$11, 0), MATCH("Base", 02B_ESCENARIOS!$B$3:$D$3, 0)), IF(VLOOKUP(A329,04_PROYECTOS!$A:$N,4,FALSE)="Publico_&lt;10M",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VLOOKUP(A329,04_PROYECTOS!$A:$N,10,FALSE))</f>
        <v/>
      </c>
      <c r="I329">
        <f>ROUNDUP(H329/30,0)</f>
        <v/>
      </c>
      <c r="J329">
        <f>EDATE(C329,I329)</f>
        <v/>
      </c>
      <c r="K329">
        <f>G329</f>
        <v/>
      </c>
    </row>
    <row r="330">
      <c r="E330">
        <f>D330*VLOOKUP(A330,04_PROYECTOS!$A:$N,5,FALSE)*(INDEX(02B_ESCENARIOS!$B$4:$D$11, MATCH("MULT_PRECIO", 02B_ESCENARIOS!$A$4:$A$11, 0), MATCH("Base", 02B_ESCENARIOS!$B$3:$D$3, 0)))*INDEX(02B_ESCENARIOS!$B$15:$D$19, MATCH(VLOOKUP(A330,04_PROYECTOS!$A:$N,9,FALSE), 02B_ESCENARIOS!$A$15:$A$19, 0), MATCH("Base", 02B_ESCENARIOS!$B$14:$D$14, 0))</f>
        <v/>
      </c>
      <c r="F330">
        <f>E330*VLOOKUP(A330,04_PROYECTOS!$A:$N,6,FALSE)</f>
        <v/>
      </c>
      <c r="G330">
        <f>E330+F330</f>
        <v/>
      </c>
      <c r="H330">
        <f>IF(VLOOKUP(A330,04_PROYECTOS!$A:$N,10,FALSE)="", IF(VLOOKUP(A330,04_PROYECTOS!$A:$N,4,FALSE)="Privado", INDEX(02B_ESCENARIOS!$B$4:$D$11, MATCH("DSO_PRIVADO_DEFAULT", 02B_ESCENARIOS!$A$4:$A$11, 0), MATCH("Base", 02B_ESCENARIOS!$B$3:$D$3, 0)), IF(VLOOKUP(A330,04_PROYECTOS!$A:$N,4,FALSE)="Publico_&lt;10M",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VLOOKUP(A330,04_PROYECTOS!$A:$N,10,FALSE))</f>
        <v/>
      </c>
      <c r="I330">
        <f>ROUNDUP(H330/30,0)</f>
        <v/>
      </c>
      <c r="J330">
        <f>EDATE(C330,I330)</f>
        <v/>
      </c>
      <c r="K330">
        <f>G330</f>
        <v/>
      </c>
    </row>
    <row r="331">
      <c r="E331">
        <f>D331*VLOOKUP(A331,04_PROYECTOS!$A:$N,5,FALSE)*(INDEX(02B_ESCENARIOS!$B$4:$D$11, MATCH("MULT_PRECIO", 02B_ESCENARIOS!$A$4:$A$11, 0), MATCH("Base", 02B_ESCENARIOS!$B$3:$D$3, 0)))*INDEX(02B_ESCENARIOS!$B$15:$D$19, MATCH(VLOOKUP(A331,04_PROYECTOS!$A:$N,9,FALSE), 02B_ESCENARIOS!$A$15:$A$19, 0), MATCH("Base", 02B_ESCENARIOS!$B$14:$D$14, 0))</f>
        <v/>
      </c>
      <c r="F331">
        <f>E331*VLOOKUP(A331,04_PROYECTOS!$A:$N,6,FALSE)</f>
        <v/>
      </c>
      <c r="G331">
        <f>E331+F331</f>
        <v/>
      </c>
      <c r="H331">
        <f>IF(VLOOKUP(A331,04_PROYECTOS!$A:$N,10,FALSE)="", IF(VLOOKUP(A331,04_PROYECTOS!$A:$N,4,FALSE)="Privado", INDEX(02B_ESCENARIOS!$B$4:$D$11, MATCH("DSO_PRIVADO_DEFAULT", 02B_ESCENARIOS!$A$4:$A$11, 0), MATCH("Base", 02B_ESCENARIOS!$B$3:$D$3, 0)), IF(VLOOKUP(A331,04_PROYECTOS!$A:$N,4,FALSE)="Publico_&lt;10M",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VLOOKUP(A331,04_PROYECTOS!$A:$N,10,FALSE))</f>
        <v/>
      </c>
      <c r="I331">
        <f>ROUNDUP(H331/30,0)</f>
        <v/>
      </c>
      <c r="J331">
        <f>EDATE(C331,I331)</f>
        <v/>
      </c>
      <c r="K331">
        <f>G331</f>
        <v/>
      </c>
    </row>
    <row r="332">
      <c r="E332">
        <f>D332*VLOOKUP(A332,04_PROYECTOS!$A:$N,5,FALSE)*(INDEX(02B_ESCENARIOS!$B$4:$D$11, MATCH("MULT_PRECIO", 02B_ESCENARIOS!$A$4:$A$11, 0), MATCH("Base", 02B_ESCENARIOS!$B$3:$D$3, 0)))*INDEX(02B_ESCENARIOS!$B$15:$D$19, MATCH(VLOOKUP(A332,04_PROYECTOS!$A:$N,9,FALSE), 02B_ESCENARIOS!$A$15:$A$19, 0), MATCH("Base", 02B_ESCENARIOS!$B$14:$D$14, 0))</f>
        <v/>
      </c>
      <c r="F332">
        <f>E332*VLOOKUP(A332,04_PROYECTOS!$A:$N,6,FALSE)</f>
        <v/>
      </c>
      <c r="G332">
        <f>E332+F332</f>
        <v/>
      </c>
      <c r="H332">
        <f>IF(VLOOKUP(A332,04_PROYECTOS!$A:$N,10,FALSE)="", IF(VLOOKUP(A332,04_PROYECTOS!$A:$N,4,FALSE)="Privado", INDEX(02B_ESCENARIOS!$B$4:$D$11, MATCH("DSO_PRIVADO_DEFAULT", 02B_ESCENARIOS!$A$4:$A$11, 0), MATCH("Base", 02B_ESCENARIOS!$B$3:$D$3, 0)), IF(VLOOKUP(A332,04_PROYECTOS!$A:$N,4,FALSE)="Publico_&lt;10M",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VLOOKUP(A332,04_PROYECTOS!$A:$N,10,FALSE))</f>
        <v/>
      </c>
      <c r="I332">
        <f>ROUNDUP(H332/30,0)</f>
        <v/>
      </c>
      <c r="J332">
        <f>EDATE(C332,I332)</f>
        <v/>
      </c>
      <c r="K332">
        <f>G332</f>
        <v/>
      </c>
    </row>
    <row r="333">
      <c r="E333">
        <f>D333*VLOOKUP(A333,04_PROYECTOS!$A:$N,5,FALSE)*(INDEX(02B_ESCENARIOS!$B$4:$D$11, MATCH("MULT_PRECIO", 02B_ESCENARIOS!$A$4:$A$11, 0), MATCH("Base", 02B_ESCENARIOS!$B$3:$D$3, 0)))*INDEX(02B_ESCENARIOS!$B$15:$D$19, MATCH(VLOOKUP(A333,04_PROYECTOS!$A:$N,9,FALSE), 02B_ESCENARIOS!$A$15:$A$19, 0), MATCH("Base", 02B_ESCENARIOS!$B$14:$D$14, 0))</f>
        <v/>
      </c>
      <c r="F333">
        <f>E333*VLOOKUP(A333,04_PROYECTOS!$A:$N,6,FALSE)</f>
        <v/>
      </c>
      <c r="G333">
        <f>E333+F333</f>
        <v/>
      </c>
      <c r="H333">
        <f>IF(VLOOKUP(A333,04_PROYECTOS!$A:$N,10,FALSE)="", IF(VLOOKUP(A333,04_PROYECTOS!$A:$N,4,FALSE)="Privado", INDEX(02B_ESCENARIOS!$B$4:$D$11, MATCH("DSO_PRIVADO_DEFAULT", 02B_ESCENARIOS!$A$4:$A$11, 0), MATCH("Base", 02B_ESCENARIOS!$B$3:$D$3, 0)), IF(VLOOKUP(A333,04_PROYECTOS!$A:$N,4,FALSE)="Publico_&lt;10M",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VLOOKUP(A333,04_PROYECTOS!$A:$N,10,FALSE))</f>
        <v/>
      </c>
      <c r="I333">
        <f>ROUNDUP(H333/30,0)</f>
        <v/>
      </c>
      <c r="J333">
        <f>EDATE(C333,I333)</f>
        <v/>
      </c>
      <c r="K333">
        <f>G333</f>
        <v/>
      </c>
    </row>
    <row r="334">
      <c r="E334">
        <f>D334*VLOOKUP(A334,04_PROYECTOS!$A:$N,5,FALSE)*(INDEX(02B_ESCENARIOS!$B$4:$D$11, MATCH("MULT_PRECIO", 02B_ESCENARIOS!$A$4:$A$11, 0), MATCH("Base", 02B_ESCENARIOS!$B$3:$D$3, 0)))*INDEX(02B_ESCENARIOS!$B$15:$D$19, MATCH(VLOOKUP(A334,04_PROYECTOS!$A:$N,9,FALSE), 02B_ESCENARIOS!$A$15:$A$19, 0), MATCH("Base", 02B_ESCENARIOS!$B$14:$D$14, 0))</f>
        <v/>
      </c>
      <c r="F334">
        <f>E334*VLOOKUP(A334,04_PROYECTOS!$A:$N,6,FALSE)</f>
        <v/>
      </c>
      <c r="G334">
        <f>E334+F334</f>
        <v/>
      </c>
      <c r="H334">
        <f>IF(VLOOKUP(A334,04_PROYECTOS!$A:$N,10,FALSE)="", IF(VLOOKUP(A334,04_PROYECTOS!$A:$N,4,FALSE)="Privado", INDEX(02B_ESCENARIOS!$B$4:$D$11, MATCH("DSO_PRIVADO_DEFAULT", 02B_ESCENARIOS!$A$4:$A$11, 0), MATCH("Base", 02B_ESCENARIOS!$B$3:$D$3, 0)), IF(VLOOKUP(A334,04_PROYECTOS!$A:$N,4,FALSE)="Publico_&lt;10M",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VLOOKUP(A334,04_PROYECTOS!$A:$N,10,FALSE))</f>
        <v/>
      </c>
      <c r="I334">
        <f>ROUNDUP(H334/30,0)</f>
        <v/>
      </c>
      <c r="J334">
        <f>EDATE(C334,I334)</f>
        <v/>
      </c>
      <c r="K334">
        <f>G334</f>
        <v/>
      </c>
    </row>
    <row r="335">
      <c r="E335">
        <f>D335*VLOOKUP(A335,04_PROYECTOS!$A:$N,5,FALSE)*(INDEX(02B_ESCENARIOS!$B$4:$D$11, MATCH("MULT_PRECIO", 02B_ESCENARIOS!$A$4:$A$11, 0), MATCH("Base", 02B_ESCENARIOS!$B$3:$D$3, 0)))*INDEX(02B_ESCENARIOS!$B$15:$D$19, MATCH(VLOOKUP(A335,04_PROYECTOS!$A:$N,9,FALSE), 02B_ESCENARIOS!$A$15:$A$19, 0), MATCH("Base", 02B_ESCENARIOS!$B$14:$D$14, 0))</f>
        <v/>
      </c>
      <c r="F335">
        <f>E335*VLOOKUP(A335,04_PROYECTOS!$A:$N,6,FALSE)</f>
        <v/>
      </c>
      <c r="G335">
        <f>E335+F335</f>
        <v/>
      </c>
      <c r="H335">
        <f>IF(VLOOKUP(A335,04_PROYECTOS!$A:$N,10,FALSE)="", IF(VLOOKUP(A335,04_PROYECTOS!$A:$N,4,FALSE)="Privado", INDEX(02B_ESCENARIOS!$B$4:$D$11, MATCH("DSO_PRIVADO_DEFAULT", 02B_ESCENARIOS!$A$4:$A$11, 0), MATCH("Base", 02B_ESCENARIOS!$B$3:$D$3, 0)), IF(VLOOKUP(A335,04_PROYECTOS!$A:$N,4,FALSE)="Publico_&lt;10M",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VLOOKUP(A335,04_PROYECTOS!$A:$N,10,FALSE))</f>
        <v/>
      </c>
      <c r="I335">
        <f>ROUNDUP(H335/30,0)</f>
        <v/>
      </c>
      <c r="J335">
        <f>EDATE(C335,I335)</f>
        <v/>
      </c>
      <c r="K335">
        <f>G335</f>
        <v/>
      </c>
    </row>
    <row r="336">
      <c r="E336">
        <f>D336*VLOOKUP(A336,04_PROYECTOS!$A:$N,5,FALSE)*(INDEX(02B_ESCENARIOS!$B$4:$D$11, MATCH("MULT_PRECIO", 02B_ESCENARIOS!$A$4:$A$11, 0), MATCH("Base", 02B_ESCENARIOS!$B$3:$D$3, 0)))*INDEX(02B_ESCENARIOS!$B$15:$D$19, MATCH(VLOOKUP(A336,04_PROYECTOS!$A:$N,9,FALSE), 02B_ESCENARIOS!$A$15:$A$19, 0), MATCH("Base", 02B_ESCENARIOS!$B$14:$D$14, 0))</f>
        <v/>
      </c>
      <c r="F336">
        <f>E336*VLOOKUP(A336,04_PROYECTOS!$A:$N,6,FALSE)</f>
        <v/>
      </c>
      <c r="G336">
        <f>E336+F336</f>
        <v/>
      </c>
      <c r="H336">
        <f>IF(VLOOKUP(A336,04_PROYECTOS!$A:$N,10,FALSE)="", IF(VLOOKUP(A336,04_PROYECTOS!$A:$N,4,FALSE)="Privado", INDEX(02B_ESCENARIOS!$B$4:$D$11, MATCH("DSO_PRIVADO_DEFAULT", 02B_ESCENARIOS!$A$4:$A$11, 0), MATCH("Base", 02B_ESCENARIOS!$B$3:$D$3, 0)), IF(VLOOKUP(A336,04_PROYECTOS!$A:$N,4,FALSE)="Publico_&lt;10M",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VLOOKUP(A336,04_PROYECTOS!$A:$N,10,FALSE))</f>
        <v/>
      </c>
      <c r="I336">
        <f>ROUNDUP(H336/30,0)</f>
        <v/>
      </c>
      <c r="J336">
        <f>EDATE(C336,I336)</f>
        <v/>
      </c>
      <c r="K336">
        <f>G336</f>
        <v/>
      </c>
    </row>
    <row r="337">
      <c r="E337">
        <f>D337*VLOOKUP(A337,04_PROYECTOS!$A:$N,5,FALSE)*(INDEX(02B_ESCENARIOS!$B$4:$D$11, MATCH("MULT_PRECIO", 02B_ESCENARIOS!$A$4:$A$11, 0), MATCH("Base", 02B_ESCENARIOS!$B$3:$D$3, 0)))*INDEX(02B_ESCENARIOS!$B$15:$D$19, MATCH(VLOOKUP(A337,04_PROYECTOS!$A:$N,9,FALSE), 02B_ESCENARIOS!$A$15:$A$19, 0), MATCH("Base", 02B_ESCENARIOS!$B$14:$D$14, 0))</f>
        <v/>
      </c>
      <c r="F337">
        <f>E337*VLOOKUP(A337,04_PROYECTOS!$A:$N,6,FALSE)</f>
        <v/>
      </c>
      <c r="G337">
        <f>E337+F337</f>
        <v/>
      </c>
      <c r="H337">
        <f>IF(VLOOKUP(A337,04_PROYECTOS!$A:$N,10,FALSE)="", IF(VLOOKUP(A337,04_PROYECTOS!$A:$N,4,FALSE)="Privado", INDEX(02B_ESCENARIOS!$B$4:$D$11, MATCH("DSO_PRIVADO_DEFAULT", 02B_ESCENARIOS!$A$4:$A$11, 0), MATCH("Base", 02B_ESCENARIOS!$B$3:$D$3, 0)), IF(VLOOKUP(A337,04_PROYECTOS!$A:$N,4,FALSE)="Publico_&lt;10M",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VLOOKUP(A337,04_PROYECTOS!$A:$N,10,FALSE))</f>
        <v/>
      </c>
      <c r="I337">
        <f>ROUNDUP(H337/30,0)</f>
        <v/>
      </c>
      <c r="J337">
        <f>EDATE(C337,I337)</f>
        <v/>
      </c>
      <c r="K337">
        <f>G337</f>
        <v/>
      </c>
    </row>
    <row r="338">
      <c r="E338">
        <f>D338*VLOOKUP(A338,04_PROYECTOS!$A:$N,5,FALSE)*(INDEX(02B_ESCENARIOS!$B$4:$D$11, MATCH("MULT_PRECIO", 02B_ESCENARIOS!$A$4:$A$11, 0), MATCH("Base", 02B_ESCENARIOS!$B$3:$D$3, 0)))*INDEX(02B_ESCENARIOS!$B$15:$D$19, MATCH(VLOOKUP(A338,04_PROYECTOS!$A:$N,9,FALSE), 02B_ESCENARIOS!$A$15:$A$19, 0), MATCH("Base", 02B_ESCENARIOS!$B$14:$D$14, 0))</f>
        <v/>
      </c>
      <c r="F338">
        <f>E338*VLOOKUP(A338,04_PROYECTOS!$A:$N,6,FALSE)</f>
        <v/>
      </c>
      <c r="G338">
        <f>E338+F338</f>
        <v/>
      </c>
      <c r="H338">
        <f>IF(VLOOKUP(A338,04_PROYECTOS!$A:$N,10,FALSE)="", IF(VLOOKUP(A338,04_PROYECTOS!$A:$N,4,FALSE)="Privado", INDEX(02B_ESCENARIOS!$B$4:$D$11, MATCH("DSO_PRIVADO_DEFAULT", 02B_ESCENARIOS!$A$4:$A$11, 0), MATCH("Base", 02B_ESCENARIOS!$B$3:$D$3, 0)), IF(VLOOKUP(A338,04_PROYECTOS!$A:$N,4,FALSE)="Publico_&lt;10M",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VLOOKUP(A338,04_PROYECTOS!$A:$N,10,FALSE))</f>
        <v/>
      </c>
      <c r="I338">
        <f>ROUNDUP(H338/30,0)</f>
        <v/>
      </c>
      <c r="J338">
        <f>EDATE(C338,I338)</f>
        <v/>
      </c>
      <c r="K338">
        <f>G338</f>
        <v/>
      </c>
    </row>
    <row r="339">
      <c r="E339">
        <f>D339*VLOOKUP(A339,04_PROYECTOS!$A:$N,5,FALSE)*(INDEX(02B_ESCENARIOS!$B$4:$D$11, MATCH("MULT_PRECIO", 02B_ESCENARIOS!$A$4:$A$11, 0), MATCH("Base", 02B_ESCENARIOS!$B$3:$D$3, 0)))*INDEX(02B_ESCENARIOS!$B$15:$D$19, MATCH(VLOOKUP(A339,04_PROYECTOS!$A:$N,9,FALSE), 02B_ESCENARIOS!$A$15:$A$19, 0), MATCH("Base", 02B_ESCENARIOS!$B$14:$D$14, 0))</f>
        <v/>
      </c>
      <c r="F339">
        <f>E339*VLOOKUP(A339,04_PROYECTOS!$A:$N,6,FALSE)</f>
        <v/>
      </c>
      <c r="G339">
        <f>E339+F339</f>
        <v/>
      </c>
      <c r="H339">
        <f>IF(VLOOKUP(A339,04_PROYECTOS!$A:$N,10,FALSE)="", IF(VLOOKUP(A339,04_PROYECTOS!$A:$N,4,FALSE)="Privado", INDEX(02B_ESCENARIOS!$B$4:$D$11, MATCH("DSO_PRIVADO_DEFAULT", 02B_ESCENARIOS!$A$4:$A$11, 0), MATCH("Base", 02B_ESCENARIOS!$B$3:$D$3, 0)), IF(VLOOKUP(A339,04_PROYECTOS!$A:$N,4,FALSE)="Publico_&lt;10M",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VLOOKUP(A339,04_PROYECTOS!$A:$N,10,FALSE))</f>
        <v/>
      </c>
      <c r="I339">
        <f>ROUNDUP(H339/30,0)</f>
        <v/>
      </c>
      <c r="J339">
        <f>EDATE(C339,I339)</f>
        <v/>
      </c>
      <c r="K339">
        <f>G339</f>
        <v/>
      </c>
    </row>
    <row r="340">
      <c r="E340">
        <f>D340*VLOOKUP(A340,04_PROYECTOS!$A:$N,5,FALSE)*(INDEX(02B_ESCENARIOS!$B$4:$D$11, MATCH("MULT_PRECIO", 02B_ESCENARIOS!$A$4:$A$11, 0), MATCH("Base", 02B_ESCENARIOS!$B$3:$D$3, 0)))*INDEX(02B_ESCENARIOS!$B$15:$D$19, MATCH(VLOOKUP(A340,04_PROYECTOS!$A:$N,9,FALSE), 02B_ESCENARIOS!$A$15:$A$19, 0), MATCH("Base", 02B_ESCENARIOS!$B$14:$D$14, 0))</f>
        <v/>
      </c>
      <c r="F340">
        <f>E340*VLOOKUP(A340,04_PROYECTOS!$A:$N,6,FALSE)</f>
        <v/>
      </c>
      <c r="G340">
        <f>E340+F340</f>
        <v/>
      </c>
      <c r="H340">
        <f>IF(VLOOKUP(A340,04_PROYECTOS!$A:$N,10,FALSE)="", IF(VLOOKUP(A340,04_PROYECTOS!$A:$N,4,FALSE)="Privado", INDEX(02B_ESCENARIOS!$B$4:$D$11, MATCH("DSO_PRIVADO_DEFAULT", 02B_ESCENARIOS!$A$4:$A$11, 0), MATCH("Base", 02B_ESCENARIOS!$B$3:$D$3, 0)), IF(VLOOKUP(A340,04_PROYECTOS!$A:$N,4,FALSE)="Publico_&lt;10M",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VLOOKUP(A340,04_PROYECTOS!$A:$N,10,FALSE))</f>
        <v/>
      </c>
      <c r="I340">
        <f>ROUNDUP(H340/30,0)</f>
        <v/>
      </c>
      <c r="J340">
        <f>EDATE(C340,I340)</f>
        <v/>
      </c>
      <c r="K340">
        <f>G340</f>
        <v/>
      </c>
    </row>
    <row r="341">
      <c r="E341">
        <f>D341*VLOOKUP(A341,04_PROYECTOS!$A:$N,5,FALSE)*(INDEX(02B_ESCENARIOS!$B$4:$D$11, MATCH("MULT_PRECIO", 02B_ESCENARIOS!$A$4:$A$11, 0), MATCH("Base", 02B_ESCENARIOS!$B$3:$D$3, 0)))*INDEX(02B_ESCENARIOS!$B$15:$D$19, MATCH(VLOOKUP(A341,04_PROYECTOS!$A:$N,9,FALSE), 02B_ESCENARIOS!$A$15:$A$19, 0), MATCH("Base", 02B_ESCENARIOS!$B$14:$D$14, 0))</f>
        <v/>
      </c>
      <c r="F341">
        <f>E341*VLOOKUP(A341,04_PROYECTOS!$A:$N,6,FALSE)</f>
        <v/>
      </c>
      <c r="G341">
        <f>E341+F341</f>
        <v/>
      </c>
      <c r="H341">
        <f>IF(VLOOKUP(A341,04_PROYECTOS!$A:$N,10,FALSE)="", IF(VLOOKUP(A341,04_PROYECTOS!$A:$N,4,FALSE)="Privado", INDEX(02B_ESCENARIOS!$B$4:$D$11, MATCH("DSO_PRIVADO_DEFAULT", 02B_ESCENARIOS!$A$4:$A$11, 0), MATCH("Base", 02B_ESCENARIOS!$B$3:$D$3, 0)), IF(VLOOKUP(A341,04_PROYECTOS!$A:$N,4,FALSE)="Publico_&lt;10M",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VLOOKUP(A341,04_PROYECTOS!$A:$N,10,FALSE))</f>
        <v/>
      </c>
      <c r="I341">
        <f>ROUNDUP(H341/30,0)</f>
        <v/>
      </c>
      <c r="J341">
        <f>EDATE(C341,I341)</f>
        <v/>
      </c>
      <c r="K341">
        <f>G341</f>
        <v/>
      </c>
    </row>
    <row r="342">
      <c r="E342">
        <f>D342*VLOOKUP(A342,04_PROYECTOS!$A:$N,5,FALSE)*(INDEX(02B_ESCENARIOS!$B$4:$D$11, MATCH("MULT_PRECIO", 02B_ESCENARIOS!$A$4:$A$11, 0), MATCH("Base", 02B_ESCENARIOS!$B$3:$D$3, 0)))*INDEX(02B_ESCENARIOS!$B$15:$D$19, MATCH(VLOOKUP(A342,04_PROYECTOS!$A:$N,9,FALSE), 02B_ESCENARIOS!$A$15:$A$19, 0), MATCH("Base", 02B_ESCENARIOS!$B$14:$D$14, 0))</f>
        <v/>
      </c>
      <c r="F342">
        <f>E342*VLOOKUP(A342,04_PROYECTOS!$A:$N,6,FALSE)</f>
        <v/>
      </c>
      <c r="G342">
        <f>E342+F342</f>
        <v/>
      </c>
      <c r="H342">
        <f>IF(VLOOKUP(A342,04_PROYECTOS!$A:$N,10,FALSE)="", IF(VLOOKUP(A342,04_PROYECTOS!$A:$N,4,FALSE)="Privado", INDEX(02B_ESCENARIOS!$B$4:$D$11, MATCH("DSO_PRIVADO_DEFAULT", 02B_ESCENARIOS!$A$4:$A$11, 0), MATCH("Base", 02B_ESCENARIOS!$B$3:$D$3, 0)), IF(VLOOKUP(A342,04_PROYECTOS!$A:$N,4,FALSE)="Publico_&lt;10M",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VLOOKUP(A342,04_PROYECTOS!$A:$N,10,FALSE))</f>
        <v/>
      </c>
      <c r="I342">
        <f>ROUNDUP(H342/30,0)</f>
        <v/>
      </c>
      <c r="J342">
        <f>EDATE(C342,I342)</f>
        <v/>
      </c>
      <c r="K342">
        <f>G342</f>
        <v/>
      </c>
    </row>
    <row r="343">
      <c r="E343">
        <f>D343*VLOOKUP(A343,04_PROYECTOS!$A:$N,5,FALSE)*(INDEX(02B_ESCENARIOS!$B$4:$D$11, MATCH("MULT_PRECIO", 02B_ESCENARIOS!$A$4:$A$11, 0), MATCH("Base", 02B_ESCENARIOS!$B$3:$D$3, 0)))*INDEX(02B_ESCENARIOS!$B$15:$D$19, MATCH(VLOOKUP(A343,04_PROYECTOS!$A:$N,9,FALSE), 02B_ESCENARIOS!$A$15:$A$19, 0), MATCH("Base", 02B_ESCENARIOS!$B$14:$D$14, 0))</f>
        <v/>
      </c>
      <c r="F343">
        <f>E343*VLOOKUP(A343,04_PROYECTOS!$A:$N,6,FALSE)</f>
        <v/>
      </c>
      <c r="G343">
        <f>E343+F343</f>
        <v/>
      </c>
      <c r="H343">
        <f>IF(VLOOKUP(A343,04_PROYECTOS!$A:$N,10,FALSE)="", IF(VLOOKUP(A343,04_PROYECTOS!$A:$N,4,FALSE)="Privado", INDEX(02B_ESCENARIOS!$B$4:$D$11, MATCH("DSO_PRIVADO_DEFAULT", 02B_ESCENARIOS!$A$4:$A$11, 0), MATCH("Base", 02B_ESCENARIOS!$B$3:$D$3, 0)), IF(VLOOKUP(A343,04_PROYECTOS!$A:$N,4,FALSE)="Publico_&lt;10M",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VLOOKUP(A343,04_PROYECTOS!$A:$N,10,FALSE))</f>
        <v/>
      </c>
      <c r="I343">
        <f>ROUNDUP(H343/30,0)</f>
        <v/>
      </c>
      <c r="J343">
        <f>EDATE(C343,I343)</f>
        <v/>
      </c>
      <c r="K343">
        <f>G343</f>
        <v/>
      </c>
    </row>
    <row r="344">
      <c r="E344">
        <f>D344*VLOOKUP(A344,04_PROYECTOS!$A:$N,5,FALSE)*(INDEX(02B_ESCENARIOS!$B$4:$D$11, MATCH("MULT_PRECIO", 02B_ESCENARIOS!$A$4:$A$11, 0), MATCH("Base", 02B_ESCENARIOS!$B$3:$D$3, 0)))*INDEX(02B_ESCENARIOS!$B$15:$D$19, MATCH(VLOOKUP(A344,04_PROYECTOS!$A:$N,9,FALSE), 02B_ESCENARIOS!$A$15:$A$19, 0), MATCH("Base", 02B_ESCENARIOS!$B$14:$D$14, 0))</f>
        <v/>
      </c>
      <c r="F344">
        <f>E344*VLOOKUP(A344,04_PROYECTOS!$A:$N,6,FALSE)</f>
        <v/>
      </c>
      <c r="G344">
        <f>E344+F344</f>
        <v/>
      </c>
      <c r="H344">
        <f>IF(VLOOKUP(A344,04_PROYECTOS!$A:$N,10,FALSE)="", IF(VLOOKUP(A344,04_PROYECTOS!$A:$N,4,FALSE)="Privado", INDEX(02B_ESCENARIOS!$B$4:$D$11, MATCH("DSO_PRIVADO_DEFAULT", 02B_ESCENARIOS!$A$4:$A$11, 0), MATCH("Base", 02B_ESCENARIOS!$B$3:$D$3, 0)), IF(VLOOKUP(A344,04_PROYECTOS!$A:$N,4,FALSE)="Publico_&lt;10M",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VLOOKUP(A344,04_PROYECTOS!$A:$N,10,FALSE))</f>
        <v/>
      </c>
      <c r="I344">
        <f>ROUNDUP(H344/30,0)</f>
        <v/>
      </c>
      <c r="J344">
        <f>EDATE(C344,I344)</f>
        <v/>
      </c>
      <c r="K344">
        <f>G344</f>
        <v/>
      </c>
    </row>
    <row r="345">
      <c r="E345">
        <f>D345*VLOOKUP(A345,04_PROYECTOS!$A:$N,5,FALSE)*(INDEX(02B_ESCENARIOS!$B$4:$D$11, MATCH("MULT_PRECIO", 02B_ESCENARIOS!$A$4:$A$11, 0), MATCH("Base", 02B_ESCENARIOS!$B$3:$D$3, 0)))*INDEX(02B_ESCENARIOS!$B$15:$D$19, MATCH(VLOOKUP(A345,04_PROYECTOS!$A:$N,9,FALSE), 02B_ESCENARIOS!$A$15:$A$19, 0), MATCH("Base", 02B_ESCENARIOS!$B$14:$D$14, 0))</f>
        <v/>
      </c>
      <c r="F345">
        <f>E345*VLOOKUP(A345,04_PROYECTOS!$A:$N,6,FALSE)</f>
        <v/>
      </c>
      <c r="G345">
        <f>E345+F345</f>
        <v/>
      </c>
      <c r="H345">
        <f>IF(VLOOKUP(A345,04_PROYECTOS!$A:$N,10,FALSE)="", IF(VLOOKUP(A345,04_PROYECTOS!$A:$N,4,FALSE)="Privado", INDEX(02B_ESCENARIOS!$B$4:$D$11, MATCH("DSO_PRIVADO_DEFAULT", 02B_ESCENARIOS!$A$4:$A$11, 0), MATCH("Base", 02B_ESCENARIOS!$B$3:$D$3, 0)), IF(VLOOKUP(A345,04_PROYECTOS!$A:$N,4,FALSE)="Publico_&lt;10M",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VLOOKUP(A345,04_PROYECTOS!$A:$N,10,FALSE))</f>
        <v/>
      </c>
      <c r="I345">
        <f>ROUNDUP(H345/30,0)</f>
        <v/>
      </c>
      <c r="J345">
        <f>EDATE(C345,I345)</f>
        <v/>
      </c>
      <c r="K345">
        <f>G345</f>
        <v/>
      </c>
    </row>
    <row r="346">
      <c r="E346">
        <f>D346*VLOOKUP(A346,04_PROYECTOS!$A:$N,5,FALSE)*(INDEX(02B_ESCENARIOS!$B$4:$D$11, MATCH("MULT_PRECIO", 02B_ESCENARIOS!$A$4:$A$11, 0), MATCH("Base", 02B_ESCENARIOS!$B$3:$D$3, 0)))*INDEX(02B_ESCENARIOS!$B$15:$D$19, MATCH(VLOOKUP(A346,04_PROYECTOS!$A:$N,9,FALSE), 02B_ESCENARIOS!$A$15:$A$19, 0), MATCH("Base", 02B_ESCENARIOS!$B$14:$D$14, 0))</f>
        <v/>
      </c>
      <c r="F346">
        <f>E346*VLOOKUP(A346,04_PROYECTOS!$A:$N,6,FALSE)</f>
        <v/>
      </c>
      <c r="G346">
        <f>E346+F346</f>
        <v/>
      </c>
      <c r="H346">
        <f>IF(VLOOKUP(A346,04_PROYECTOS!$A:$N,10,FALSE)="", IF(VLOOKUP(A346,04_PROYECTOS!$A:$N,4,FALSE)="Privado", INDEX(02B_ESCENARIOS!$B$4:$D$11, MATCH("DSO_PRIVADO_DEFAULT", 02B_ESCENARIOS!$A$4:$A$11, 0), MATCH("Base", 02B_ESCENARIOS!$B$3:$D$3, 0)), IF(VLOOKUP(A346,04_PROYECTOS!$A:$N,4,FALSE)="Publico_&lt;10M",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VLOOKUP(A346,04_PROYECTOS!$A:$N,10,FALSE))</f>
        <v/>
      </c>
      <c r="I346">
        <f>ROUNDUP(H346/30,0)</f>
        <v/>
      </c>
      <c r="J346">
        <f>EDATE(C346,I346)</f>
        <v/>
      </c>
      <c r="K346">
        <f>G346</f>
        <v/>
      </c>
    </row>
    <row r="347">
      <c r="E347">
        <f>D347*VLOOKUP(A347,04_PROYECTOS!$A:$N,5,FALSE)*(INDEX(02B_ESCENARIOS!$B$4:$D$11, MATCH("MULT_PRECIO", 02B_ESCENARIOS!$A$4:$A$11, 0), MATCH("Base", 02B_ESCENARIOS!$B$3:$D$3, 0)))*INDEX(02B_ESCENARIOS!$B$15:$D$19, MATCH(VLOOKUP(A347,04_PROYECTOS!$A:$N,9,FALSE), 02B_ESCENARIOS!$A$15:$A$19, 0), MATCH("Base", 02B_ESCENARIOS!$B$14:$D$14, 0))</f>
        <v/>
      </c>
      <c r="F347">
        <f>E347*VLOOKUP(A347,04_PROYECTOS!$A:$N,6,FALSE)</f>
        <v/>
      </c>
      <c r="G347">
        <f>E347+F347</f>
        <v/>
      </c>
      <c r="H347">
        <f>IF(VLOOKUP(A347,04_PROYECTOS!$A:$N,10,FALSE)="", IF(VLOOKUP(A347,04_PROYECTOS!$A:$N,4,FALSE)="Privado", INDEX(02B_ESCENARIOS!$B$4:$D$11, MATCH("DSO_PRIVADO_DEFAULT", 02B_ESCENARIOS!$A$4:$A$11, 0), MATCH("Base", 02B_ESCENARIOS!$B$3:$D$3, 0)), IF(VLOOKUP(A347,04_PROYECTOS!$A:$N,4,FALSE)="Publico_&lt;10M",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VLOOKUP(A347,04_PROYECTOS!$A:$N,10,FALSE))</f>
        <v/>
      </c>
      <c r="I347">
        <f>ROUNDUP(H347/30,0)</f>
        <v/>
      </c>
      <c r="J347">
        <f>EDATE(C347,I347)</f>
        <v/>
      </c>
      <c r="K347">
        <f>G347</f>
        <v/>
      </c>
    </row>
    <row r="348">
      <c r="E348">
        <f>D348*VLOOKUP(A348,04_PROYECTOS!$A:$N,5,FALSE)*(INDEX(02B_ESCENARIOS!$B$4:$D$11, MATCH("MULT_PRECIO", 02B_ESCENARIOS!$A$4:$A$11, 0), MATCH("Base", 02B_ESCENARIOS!$B$3:$D$3, 0)))*INDEX(02B_ESCENARIOS!$B$15:$D$19, MATCH(VLOOKUP(A348,04_PROYECTOS!$A:$N,9,FALSE), 02B_ESCENARIOS!$A$15:$A$19, 0), MATCH("Base", 02B_ESCENARIOS!$B$14:$D$14, 0))</f>
        <v/>
      </c>
      <c r="F348">
        <f>E348*VLOOKUP(A348,04_PROYECTOS!$A:$N,6,FALSE)</f>
        <v/>
      </c>
      <c r="G348">
        <f>E348+F348</f>
        <v/>
      </c>
      <c r="H348">
        <f>IF(VLOOKUP(A348,04_PROYECTOS!$A:$N,10,FALSE)="", IF(VLOOKUP(A348,04_PROYECTOS!$A:$N,4,FALSE)="Privado", INDEX(02B_ESCENARIOS!$B$4:$D$11, MATCH("DSO_PRIVADO_DEFAULT", 02B_ESCENARIOS!$A$4:$A$11, 0), MATCH("Base", 02B_ESCENARIOS!$B$3:$D$3, 0)), IF(VLOOKUP(A348,04_PROYECTOS!$A:$N,4,FALSE)="Publico_&lt;10M",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VLOOKUP(A348,04_PROYECTOS!$A:$N,10,FALSE))</f>
        <v/>
      </c>
      <c r="I348">
        <f>ROUNDUP(H348/30,0)</f>
        <v/>
      </c>
      <c r="J348">
        <f>EDATE(C348,I348)</f>
        <v/>
      </c>
      <c r="K348">
        <f>G348</f>
        <v/>
      </c>
    </row>
    <row r="349">
      <c r="E349">
        <f>D349*VLOOKUP(A349,04_PROYECTOS!$A:$N,5,FALSE)*(INDEX(02B_ESCENARIOS!$B$4:$D$11, MATCH("MULT_PRECIO", 02B_ESCENARIOS!$A$4:$A$11, 0), MATCH("Base", 02B_ESCENARIOS!$B$3:$D$3, 0)))*INDEX(02B_ESCENARIOS!$B$15:$D$19, MATCH(VLOOKUP(A349,04_PROYECTOS!$A:$N,9,FALSE), 02B_ESCENARIOS!$A$15:$A$19, 0), MATCH("Base", 02B_ESCENARIOS!$B$14:$D$14, 0))</f>
        <v/>
      </c>
      <c r="F349">
        <f>E349*VLOOKUP(A349,04_PROYECTOS!$A:$N,6,FALSE)</f>
        <v/>
      </c>
      <c r="G349">
        <f>E349+F349</f>
        <v/>
      </c>
      <c r="H349">
        <f>IF(VLOOKUP(A349,04_PROYECTOS!$A:$N,10,FALSE)="", IF(VLOOKUP(A349,04_PROYECTOS!$A:$N,4,FALSE)="Privado", INDEX(02B_ESCENARIOS!$B$4:$D$11, MATCH("DSO_PRIVADO_DEFAULT", 02B_ESCENARIOS!$A$4:$A$11, 0), MATCH("Base", 02B_ESCENARIOS!$B$3:$D$3, 0)), IF(VLOOKUP(A349,04_PROYECTOS!$A:$N,4,FALSE)="Publico_&lt;10M",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VLOOKUP(A349,04_PROYECTOS!$A:$N,10,FALSE))</f>
        <v/>
      </c>
      <c r="I349">
        <f>ROUNDUP(H349/30,0)</f>
        <v/>
      </c>
      <c r="J349">
        <f>EDATE(C349,I349)</f>
        <v/>
      </c>
      <c r="K349">
        <f>G349</f>
        <v/>
      </c>
    </row>
    <row r="350">
      <c r="E350">
        <f>D350*VLOOKUP(A350,04_PROYECTOS!$A:$N,5,FALSE)*(INDEX(02B_ESCENARIOS!$B$4:$D$11, MATCH("MULT_PRECIO", 02B_ESCENARIOS!$A$4:$A$11, 0), MATCH("Base", 02B_ESCENARIOS!$B$3:$D$3, 0)))*INDEX(02B_ESCENARIOS!$B$15:$D$19, MATCH(VLOOKUP(A350,04_PROYECTOS!$A:$N,9,FALSE), 02B_ESCENARIOS!$A$15:$A$19, 0), MATCH("Base", 02B_ESCENARIOS!$B$14:$D$14, 0))</f>
        <v/>
      </c>
      <c r="F350">
        <f>E350*VLOOKUP(A350,04_PROYECTOS!$A:$N,6,FALSE)</f>
        <v/>
      </c>
      <c r="G350">
        <f>E350+F350</f>
        <v/>
      </c>
      <c r="H350">
        <f>IF(VLOOKUP(A350,04_PROYECTOS!$A:$N,10,FALSE)="", IF(VLOOKUP(A350,04_PROYECTOS!$A:$N,4,FALSE)="Privado", INDEX(02B_ESCENARIOS!$B$4:$D$11, MATCH("DSO_PRIVADO_DEFAULT", 02B_ESCENARIOS!$A$4:$A$11, 0), MATCH("Base", 02B_ESCENARIOS!$B$3:$D$3, 0)), IF(VLOOKUP(A350,04_PROYECTOS!$A:$N,4,FALSE)="Publico_&lt;10M",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VLOOKUP(A350,04_PROYECTOS!$A:$N,10,FALSE))</f>
        <v/>
      </c>
      <c r="I350">
        <f>ROUNDUP(H350/30,0)</f>
        <v/>
      </c>
      <c r="J350">
        <f>EDATE(C350,I350)</f>
        <v/>
      </c>
      <c r="K350">
        <f>G350</f>
        <v/>
      </c>
    </row>
    <row r="351">
      <c r="E351">
        <f>D351*VLOOKUP(A351,04_PROYECTOS!$A:$N,5,FALSE)*(INDEX(02B_ESCENARIOS!$B$4:$D$11, MATCH("MULT_PRECIO", 02B_ESCENARIOS!$A$4:$A$11, 0), MATCH("Base", 02B_ESCENARIOS!$B$3:$D$3, 0)))*INDEX(02B_ESCENARIOS!$B$15:$D$19, MATCH(VLOOKUP(A351,04_PROYECTOS!$A:$N,9,FALSE), 02B_ESCENARIOS!$A$15:$A$19, 0), MATCH("Base", 02B_ESCENARIOS!$B$14:$D$14, 0))</f>
        <v/>
      </c>
      <c r="F351">
        <f>E351*VLOOKUP(A351,04_PROYECTOS!$A:$N,6,FALSE)</f>
        <v/>
      </c>
      <c r="G351">
        <f>E351+F351</f>
        <v/>
      </c>
      <c r="H351">
        <f>IF(VLOOKUP(A351,04_PROYECTOS!$A:$N,10,FALSE)="", IF(VLOOKUP(A351,04_PROYECTOS!$A:$N,4,FALSE)="Privado", INDEX(02B_ESCENARIOS!$B$4:$D$11, MATCH("DSO_PRIVADO_DEFAULT", 02B_ESCENARIOS!$A$4:$A$11, 0), MATCH("Base", 02B_ESCENARIOS!$B$3:$D$3, 0)), IF(VLOOKUP(A351,04_PROYECTOS!$A:$N,4,FALSE)="Publico_&lt;10M",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VLOOKUP(A351,04_PROYECTOS!$A:$N,10,FALSE))</f>
        <v/>
      </c>
      <c r="I351">
        <f>ROUNDUP(H351/30,0)</f>
        <v/>
      </c>
      <c r="J351">
        <f>EDATE(C351,I351)</f>
        <v/>
      </c>
      <c r="K351">
        <f>G351</f>
        <v/>
      </c>
    </row>
    <row r="352">
      <c r="E352">
        <f>D352*VLOOKUP(A352,04_PROYECTOS!$A:$N,5,FALSE)*(INDEX(02B_ESCENARIOS!$B$4:$D$11, MATCH("MULT_PRECIO", 02B_ESCENARIOS!$A$4:$A$11, 0), MATCH("Base", 02B_ESCENARIOS!$B$3:$D$3, 0)))*INDEX(02B_ESCENARIOS!$B$15:$D$19, MATCH(VLOOKUP(A352,04_PROYECTOS!$A:$N,9,FALSE), 02B_ESCENARIOS!$A$15:$A$19, 0), MATCH("Base", 02B_ESCENARIOS!$B$14:$D$14, 0))</f>
        <v/>
      </c>
      <c r="F352">
        <f>E352*VLOOKUP(A352,04_PROYECTOS!$A:$N,6,FALSE)</f>
        <v/>
      </c>
      <c r="G352">
        <f>E352+F352</f>
        <v/>
      </c>
      <c r="H352">
        <f>IF(VLOOKUP(A352,04_PROYECTOS!$A:$N,10,FALSE)="", IF(VLOOKUP(A352,04_PROYECTOS!$A:$N,4,FALSE)="Privado", INDEX(02B_ESCENARIOS!$B$4:$D$11, MATCH("DSO_PRIVADO_DEFAULT", 02B_ESCENARIOS!$A$4:$A$11, 0), MATCH("Base", 02B_ESCENARIOS!$B$3:$D$3, 0)), IF(VLOOKUP(A352,04_PROYECTOS!$A:$N,4,FALSE)="Publico_&lt;10M",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VLOOKUP(A352,04_PROYECTOS!$A:$N,10,FALSE))</f>
        <v/>
      </c>
      <c r="I352">
        <f>ROUNDUP(H352/30,0)</f>
        <v/>
      </c>
      <c r="J352">
        <f>EDATE(C352,I352)</f>
        <v/>
      </c>
      <c r="K352">
        <f>G352</f>
        <v/>
      </c>
    </row>
    <row r="353">
      <c r="E353">
        <f>D353*VLOOKUP(A353,04_PROYECTOS!$A:$N,5,FALSE)*(INDEX(02B_ESCENARIOS!$B$4:$D$11, MATCH("MULT_PRECIO", 02B_ESCENARIOS!$A$4:$A$11, 0), MATCH("Base", 02B_ESCENARIOS!$B$3:$D$3, 0)))*INDEX(02B_ESCENARIOS!$B$15:$D$19, MATCH(VLOOKUP(A353,04_PROYECTOS!$A:$N,9,FALSE), 02B_ESCENARIOS!$A$15:$A$19, 0), MATCH("Base", 02B_ESCENARIOS!$B$14:$D$14, 0))</f>
        <v/>
      </c>
      <c r="F353">
        <f>E353*VLOOKUP(A353,04_PROYECTOS!$A:$N,6,FALSE)</f>
        <v/>
      </c>
      <c r="G353">
        <f>E353+F353</f>
        <v/>
      </c>
      <c r="H353">
        <f>IF(VLOOKUP(A353,04_PROYECTOS!$A:$N,10,FALSE)="", IF(VLOOKUP(A353,04_PROYECTOS!$A:$N,4,FALSE)="Privado", INDEX(02B_ESCENARIOS!$B$4:$D$11, MATCH("DSO_PRIVADO_DEFAULT", 02B_ESCENARIOS!$A$4:$A$11, 0), MATCH("Base", 02B_ESCENARIOS!$B$3:$D$3, 0)), IF(VLOOKUP(A353,04_PROYECTOS!$A:$N,4,FALSE)="Publico_&lt;10M",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VLOOKUP(A353,04_PROYECTOS!$A:$N,10,FALSE))</f>
        <v/>
      </c>
      <c r="I353">
        <f>ROUNDUP(H353/30,0)</f>
        <v/>
      </c>
      <c r="J353">
        <f>EDATE(C353,I353)</f>
        <v/>
      </c>
      <c r="K353">
        <f>G353</f>
        <v/>
      </c>
    </row>
    <row r="354">
      <c r="E354">
        <f>D354*VLOOKUP(A354,04_PROYECTOS!$A:$N,5,FALSE)*(INDEX(02B_ESCENARIOS!$B$4:$D$11, MATCH("MULT_PRECIO", 02B_ESCENARIOS!$A$4:$A$11, 0), MATCH("Base", 02B_ESCENARIOS!$B$3:$D$3, 0)))*INDEX(02B_ESCENARIOS!$B$15:$D$19, MATCH(VLOOKUP(A354,04_PROYECTOS!$A:$N,9,FALSE), 02B_ESCENARIOS!$A$15:$A$19, 0), MATCH("Base", 02B_ESCENARIOS!$B$14:$D$14, 0))</f>
        <v/>
      </c>
      <c r="F354">
        <f>E354*VLOOKUP(A354,04_PROYECTOS!$A:$N,6,FALSE)</f>
        <v/>
      </c>
      <c r="G354">
        <f>E354+F354</f>
        <v/>
      </c>
      <c r="H354">
        <f>IF(VLOOKUP(A354,04_PROYECTOS!$A:$N,10,FALSE)="", IF(VLOOKUP(A354,04_PROYECTOS!$A:$N,4,FALSE)="Privado", INDEX(02B_ESCENARIOS!$B$4:$D$11, MATCH("DSO_PRIVADO_DEFAULT", 02B_ESCENARIOS!$A$4:$A$11, 0), MATCH("Base", 02B_ESCENARIOS!$B$3:$D$3, 0)), IF(VLOOKUP(A354,04_PROYECTOS!$A:$N,4,FALSE)="Publico_&lt;10M",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VLOOKUP(A354,04_PROYECTOS!$A:$N,10,FALSE))</f>
        <v/>
      </c>
      <c r="I354">
        <f>ROUNDUP(H354/30,0)</f>
        <v/>
      </c>
      <c r="J354">
        <f>EDATE(C354,I354)</f>
        <v/>
      </c>
      <c r="K354">
        <f>G354</f>
        <v/>
      </c>
    </row>
    <row r="355">
      <c r="E355">
        <f>D355*VLOOKUP(A355,04_PROYECTOS!$A:$N,5,FALSE)*(INDEX(02B_ESCENARIOS!$B$4:$D$11, MATCH("MULT_PRECIO", 02B_ESCENARIOS!$A$4:$A$11, 0), MATCH("Base", 02B_ESCENARIOS!$B$3:$D$3, 0)))*INDEX(02B_ESCENARIOS!$B$15:$D$19, MATCH(VLOOKUP(A355,04_PROYECTOS!$A:$N,9,FALSE), 02B_ESCENARIOS!$A$15:$A$19, 0), MATCH("Base", 02B_ESCENARIOS!$B$14:$D$14, 0))</f>
        <v/>
      </c>
      <c r="F355">
        <f>E355*VLOOKUP(A355,04_PROYECTOS!$A:$N,6,FALSE)</f>
        <v/>
      </c>
      <c r="G355">
        <f>E355+F355</f>
        <v/>
      </c>
      <c r="H355">
        <f>IF(VLOOKUP(A355,04_PROYECTOS!$A:$N,10,FALSE)="", IF(VLOOKUP(A355,04_PROYECTOS!$A:$N,4,FALSE)="Privado", INDEX(02B_ESCENARIOS!$B$4:$D$11, MATCH("DSO_PRIVADO_DEFAULT", 02B_ESCENARIOS!$A$4:$A$11, 0), MATCH("Base", 02B_ESCENARIOS!$B$3:$D$3, 0)), IF(VLOOKUP(A355,04_PROYECTOS!$A:$N,4,FALSE)="Publico_&lt;10M",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VLOOKUP(A355,04_PROYECTOS!$A:$N,10,FALSE))</f>
        <v/>
      </c>
      <c r="I355">
        <f>ROUNDUP(H355/30,0)</f>
        <v/>
      </c>
      <c r="J355">
        <f>EDATE(C355,I355)</f>
        <v/>
      </c>
      <c r="K355">
        <f>G355</f>
        <v/>
      </c>
    </row>
    <row r="356">
      <c r="E356">
        <f>D356*VLOOKUP(A356,04_PROYECTOS!$A:$N,5,FALSE)*(INDEX(02B_ESCENARIOS!$B$4:$D$11, MATCH("MULT_PRECIO", 02B_ESCENARIOS!$A$4:$A$11, 0), MATCH("Base", 02B_ESCENARIOS!$B$3:$D$3, 0)))*INDEX(02B_ESCENARIOS!$B$15:$D$19, MATCH(VLOOKUP(A356,04_PROYECTOS!$A:$N,9,FALSE), 02B_ESCENARIOS!$A$15:$A$19, 0), MATCH("Base", 02B_ESCENARIOS!$B$14:$D$14, 0))</f>
        <v/>
      </c>
      <c r="F356">
        <f>E356*VLOOKUP(A356,04_PROYECTOS!$A:$N,6,FALSE)</f>
        <v/>
      </c>
      <c r="G356">
        <f>E356+F356</f>
        <v/>
      </c>
      <c r="H356">
        <f>IF(VLOOKUP(A356,04_PROYECTOS!$A:$N,10,FALSE)="", IF(VLOOKUP(A356,04_PROYECTOS!$A:$N,4,FALSE)="Privado", INDEX(02B_ESCENARIOS!$B$4:$D$11, MATCH("DSO_PRIVADO_DEFAULT", 02B_ESCENARIOS!$A$4:$A$11, 0), MATCH("Base", 02B_ESCENARIOS!$B$3:$D$3, 0)), IF(VLOOKUP(A356,04_PROYECTOS!$A:$N,4,FALSE)="Publico_&lt;10M",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VLOOKUP(A356,04_PROYECTOS!$A:$N,10,FALSE))</f>
        <v/>
      </c>
      <c r="I356">
        <f>ROUNDUP(H356/30,0)</f>
        <v/>
      </c>
      <c r="J356">
        <f>EDATE(C356,I356)</f>
        <v/>
      </c>
      <c r="K356">
        <f>G356</f>
        <v/>
      </c>
    </row>
    <row r="357">
      <c r="E357">
        <f>D357*VLOOKUP(A357,04_PROYECTOS!$A:$N,5,FALSE)*(INDEX(02B_ESCENARIOS!$B$4:$D$11, MATCH("MULT_PRECIO", 02B_ESCENARIOS!$A$4:$A$11, 0), MATCH("Base", 02B_ESCENARIOS!$B$3:$D$3, 0)))*INDEX(02B_ESCENARIOS!$B$15:$D$19, MATCH(VLOOKUP(A357,04_PROYECTOS!$A:$N,9,FALSE), 02B_ESCENARIOS!$A$15:$A$19, 0), MATCH("Base", 02B_ESCENARIOS!$B$14:$D$14, 0))</f>
        <v/>
      </c>
      <c r="F357">
        <f>E357*VLOOKUP(A357,04_PROYECTOS!$A:$N,6,FALSE)</f>
        <v/>
      </c>
      <c r="G357">
        <f>E357+F357</f>
        <v/>
      </c>
      <c r="H357">
        <f>IF(VLOOKUP(A357,04_PROYECTOS!$A:$N,10,FALSE)="", IF(VLOOKUP(A357,04_PROYECTOS!$A:$N,4,FALSE)="Privado", INDEX(02B_ESCENARIOS!$B$4:$D$11, MATCH("DSO_PRIVADO_DEFAULT", 02B_ESCENARIOS!$A$4:$A$11, 0), MATCH("Base", 02B_ESCENARIOS!$B$3:$D$3, 0)), IF(VLOOKUP(A357,04_PROYECTOS!$A:$N,4,FALSE)="Publico_&lt;10M",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VLOOKUP(A357,04_PROYECTOS!$A:$N,10,FALSE))</f>
        <v/>
      </c>
      <c r="I357">
        <f>ROUNDUP(H357/30,0)</f>
        <v/>
      </c>
      <c r="J357">
        <f>EDATE(C357,I357)</f>
        <v/>
      </c>
      <c r="K357">
        <f>G357</f>
        <v/>
      </c>
    </row>
    <row r="358">
      <c r="E358">
        <f>D358*VLOOKUP(A358,04_PROYECTOS!$A:$N,5,FALSE)*(INDEX(02B_ESCENARIOS!$B$4:$D$11, MATCH("MULT_PRECIO", 02B_ESCENARIOS!$A$4:$A$11, 0), MATCH("Base", 02B_ESCENARIOS!$B$3:$D$3, 0)))*INDEX(02B_ESCENARIOS!$B$15:$D$19, MATCH(VLOOKUP(A358,04_PROYECTOS!$A:$N,9,FALSE), 02B_ESCENARIOS!$A$15:$A$19, 0), MATCH("Base", 02B_ESCENARIOS!$B$14:$D$14, 0))</f>
        <v/>
      </c>
      <c r="F358">
        <f>E358*VLOOKUP(A358,04_PROYECTOS!$A:$N,6,FALSE)</f>
        <v/>
      </c>
      <c r="G358">
        <f>E358+F358</f>
        <v/>
      </c>
      <c r="H358">
        <f>IF(VLOOKUP(A358,04_PROYECTOS!$A:$N,10,FALSE)="", IF(VLOOKUP(A358,04_PROYECTOS!$A:$N,4,FALSE)="Privado", INDEX(02B_ESCENARIOS!$B$4:$D$11, MATCH("DSO_PRIVADO_DEFAULT", 02B_ESCENARIOS!$A$4:$A$11, 0), MATCH("Base", 02B_ESCENARIOS!$B$3:$D$3, 0)), IF(VLOOKUP(A358,04_PROYECTOS!$A:$N,4,FALSE)="Publico_&lt;10M",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VLOOKUP(A358,04_PROYECTOS!$A:$N,10,FALSE))</f>
        <v/>
      </c>
      <c r="I358">
        <f>ROUNDUP(H358/30,0)</f>
        <v/>
      </c>
      <c r="J358">
        <f>EDATE(C358,I358)</f>
        <v/>
      </c>
      <c r="K358">
        <f>G358</f>
        <v/>
      </c>
    </row>
    <row r="359">
      <c r="E359">
        <f>D359*VLOOKUP(A359,04_PROYECTOS!$A:$N,5,FALSE)*(INDEX(02B_ESCENARIOS!$B$4:$D$11, MATCH("MULT_PRECIO", 02B_ESCENARIOS!$A$4:$A$11, 0), MATCH("Base", 02B_ESCENARIOS!$B$3:$D$3, 0)))*INDEX(02B_ESCENARIOS!$B$15:$D$19, MATCH(VLOOKUP(A359,04_PROYECTOS!$A:$N,9,FALSE), 02B_ESCENARIOS!$A$15:$A$19, 0), MATCH("Base", 02B_ESCENARIOS!$B$14:$D$14, 0))</f>
        <v/>
      </c>
      <c r="F359">
        <f>E359*VLOOKUP(A359,04_PROYECTOS!$A:$N,6,FALSE)</f>
        <v/>
      </c>
      <c r="G359">
        <f>E359+F359</f>
        <v/>
      </c>
      <c r="H359">
        <f>IF(VLOOKUP(A359,04_PROYECTOS!$A:$N,10,FALSE)="", IF(VLOOKUP(A359,04_PROYECTOS!$A:$N,4,FALSE)="Privado", INDEX(02B_ESCENARIOS!$B$4:$D$11, MATCH("DSO_PRIVADO_DEFAULT", 02B_ESCENARIOS!$A$4:$A$11, 0), MATCH("Base", 02B_ESCENARIOS!$B$3:$D$3, 0)), IF(VLOOKUP(A359,04_PROYECTOS!$A:$N,4,FALSE)="Publico_&lt;10M",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VLOOKUP(A359,04_PROYECTOS!$A:$N,10,FALSE))</f>
        <v/>
      </c>
      <c r="I359">
        <f>ROUNDUP(H359/30,0)</f>
        <v/>
      </c>
      <c r="J359">
        <f>EDATE(C359,I359)</f>
        <v/>
      </c>
      <c r="K359">
        <f>G359</f>
        <v/>
      </c>
    </row>
    <row r="360">
      <c r="E360">
        <f>D360*VLOOKUP(A360,04_PROYECTOS!$A:$N,5,FALSE)*(INDEX(02B_ESCENARIOS!$B$4:$D$11, MATCH("MULT_PRECIO", 02B_ESCENARIOS!$A$4:$A$11, 0), MATCH("Base", 02B_ESCENARIOS!$B$3:$D$3, 0)))*INDEX(02B_ESCENARIOS!$B$15:$D$19, MATCH(VLOOKUP(A360,04_PROYECTOS!$A:$N,9,FALSE), 02B_ESCENARIOS!$A$15:$A$19, 0), MATCH("Base", 02B_ESCENARIOS!$B$14:$D$14, 0))</f>
        <v/>
      </c>
      <c r="F360">
        <f>E360*VLOOKUP(A360,04_PROYECTOS!$A:$N,6,FALSE)</f>
        <v/>
      </c>
      <c r="G360">
        <f>E360+F360</f>
        <v/>
      </c>
      <c r="H360">
        <f>IF(VLOOKUP(A360,04_PROYECTOS!$A:$N,10,FALSE)="", IF(VLOOKUP(A360,04_PROYECTOS!$A:$N,4,FALSE)="Privado", INDEX(02B_ESCENARIOS!$B$4:$D$11, MATCH("DSO_PRIVADO_DEFAULT", 02B_ESCENARIOS!$A$4:$A$11, 0), MATCH("Base", 02B_ESCENARIOS!$B$3:$D$3, 0)), IF(VLOOKUP(A360,04_PROYECTOS!$A:$N,4,FALSE)="Publico_&lt;10M",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VLOOKUP(A360,04_PROYECTOS!$A:$N,10,FALSE))</f>
        <v/>
      </c>
      <c r="I360">
        <f>ROUNDUP(H360/30,0)</f>
        <v/>
      </c>
      <c r="J360">
        <f>EDATE(C360,I360)</f>
        <v/>
      </c>
      <c r="K360">
        <f>G360</f>
        <v/>
      </c>
    </row>
    <row r="361">
      <c r="E361">
        <f>D361*VLOOKUP(A361,04_PROYECTOS!$A:$N,5,FALSE)*(INDEX(02B_ESCENARIOS!$B$4:$D$11, MATCH("MULT_PRECIO", 02B_ESCENARIOS!$A$4:$A$11, 0), MATCH("Base", 02B_ESCENARIOS!$B$3:$D$3, 0)))*INDEX(02B_ESCENARIOS!$B$15:$D$19, MATCH(VLOOKUP(A361,04_PROYECTOS!$A:$N,9,FALSE), 02B_ESCENARIOS!$A$15:$A$19, 0), MATCH("Base", 02B_ESCENARIOS!$B$14:$D$14, 0))</f>
        <v/>
      </c>
      <c r="F361">
        <f>E361*VLOOKUP(A361,04_PROYECTOS!$A:$N,6,FALSE)</f>
        <v/>
      </c>
      <c r="G361">
        <f>E361+F361</f>
        <v/>
      </c>
      <c r="H361">
        <f>IF(VLOOKUP(A361,04_PROYECTOS!$A:$N,10,FALSE)="", IF(VLOOKUP(A361,04_PROYECTOS!$A:$N,4,FALSE)="Privado", INDEX(02B_ESCENARIOS!$B$4:$D$11, MATCH("DSO_PRIVADO_DEFAULT", 02B_ESCENARIOS!$A$4:$A$11, 0), MATCH("Base", 02B_ESCENARIOS!$B$3:$D$3, 0)), IF(VLOOKUP(A361,04_PROYECTOS!$A:$N,4,FALSE)="Publico_&lt;10M",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VLOOKUP(A361,04_PROYECTOS!$A:$N,10,FALSE))</f>
        <v/>
      </c>
      <c r="I361">
        <f>ROUNDUP(H361/30,0)</f>
        <v/>
      </c>
      <c r="J361">
        <f>EDATE(C361,I361)</f>
        <v/>
      </c>
      <c r="K361">
        <f>G361</f>
        <v/>
      </c>
    </row>
    <row r="362">
      <c r="E362">
        <f>D362*VLOOKUP(A362,04_PROYECTOS!$A:$N,5,FALSE)*(INDEX(02B_ESCENARIOS!$B$4:$D$11, MATCH("MULT_PRECIO", 02B_ESCENARIOS!$A$4:$A$11, 0), MATCH("Base", 02B_ESCENARIOS!$B$3:$D$3, 0)))*INDEX(02B_ESCENARIOS!$B$15:$D$19, MATCH(VLOOKUP(A362,04_PROYECTOS!$A:$N,9,FALSE), 02B_ESCENARIOS!$A$15:$A$19, 0), MATCH("Base", 02B_ESCENARIOS!$B$14:$D$14, 0))</f>
        <v/>
      </c>
      <c r="F362">
        <f>E362*VLOOKUP(A362,04_PROYECTOS!$A:$N,6,FALSE)</f>
        <v/>
      </c>
      <c r="G362">
        <f>E362+F362</f>
        <v/>
      </c>
      <c r="H362">
        <f>IF(VLOOKUP(A362,04_PROYECTOS!$A:$N,10,FALSE)="", IF(VLOOKUP(A362,04_PROYECTOS!$A:$N,4,FALSE)="Privado", INDEX(02B_ESCENARIOS!$B$4:$D$11, MATCH("DSO_PRIVADO_DEFAULT", 02B_ESCENARIOS!$A$4:$A$11, 0), MATCH("Base", 02B_ESCENARIOS!$B$3:$D$3, 0)), IF(VLOOKUP(A362,04_PROYECTOS!$A:$N,4,FALSE)="Publico_&lt;10M",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VLOOKUP(A362,04_PROYECTOS!$A:$N,10,FALSE))</f>
        <v/>
      </c>
      <c r="I362">
        <f>ROUNDUP(H362/30,0)</f>
        <v/>
      </c>
      <c r="J362">
        <f>EDATE(C362,I362)</f>
        <v/>
      </c>
      <c r="K362">
        <f>G362</f>
        <v/>
      </c>
    </row>
    <row r="363">
      <c r="E363">
        <f>D363*VLOOKUP(A363,04_PROYECTOS!$A:$N,5,FALSE)*(INDEX(02B_ESCENARIOS!$B$4:$D$11, MATCH("MULT_PRECIO", 02B_ESCENARIOS!$A$4:$A$11, 0), MATCH("Base", 02B_ESCENARIOS!$B$3:$D$3, 0)))*INDEX(02B_ESCENARIOS!$B$15:$D$19, MATCH(VLOOKUP(A363,04_PROYECTOS!$A:$N,9,FALSE), 02B_ESCENARIOS!$A$15:$A$19, 0), MATCH("Base", 02B_ESCENARIOS!$B$14:$D$14, 0))</f>
        <v/>
      </c>
      <c r="F363">
        <f>E363*VLOOKUP(A363,04_PROYECTOS!$A:$N,6,FALSE)</f>
        <v/>
      </c>
      <c r="G363">
        <f>E363+F363</f>
        <v/>
      </c>
      <c r="H363">
        <f>IF(VLOOKUP(A363,04_PROYECTOS!$A:$N,10,FALSE)="", IF(VLOOKUP(A363,04_PROYECTOS!$A:$N,4,FALSE)="Privado", INDEX(02B_ESCENARIOS!$B$4:$D$11, MATCH("DSO_PRIVADO_DEFAULT", 02B_ESCENARIOS!$A$4:$A$11, 0), MATCH("Base", 02B_ESCENARIOS!$B$3:$D$3, 0)), IF(VLOOKUP(A363,04_PROYECTOS!$A:$N,4,FALSE)="Publico_&lt;10M",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VLOOKUP(A363,04_PROYECTOS!$A:$N,10,FALSE))</f>
        <v/>
      </c>
      <c r="I363">
        <f>ROUNDUP(H363/30,0)</f>
        <v/>
      </c>
      <c r="J363">
        <f>EDATE(C363,I363)</f>
        <v/>
      </c>
      <c r="K363">
        <f>G363</f>
        <v/>
      </c>
    </row>
    <row r="364">
      <c r="E364">
        <f>D364*VLOOKUP(A364,04_PROYECTOS!$A:$N,5,FALSE)*(INDEX(02B_ESCENARIOS!$B$4:$D$11, MATCH("MULT_PRECIO", 02B_ESCENARIOS!$A$4:$A$11, 0), MATCH("Base", 02B_ESCENARIOS!$B$3:$D$3, 0)))*INDEX(02B_ESCENARIOS!$B$15:$D$19, MATCH(VLOOKUP(A364,04_PROYECTOS!$A:$N,9,FALSE), 02B_ESCENARIOS!$A$15:$A$19, 0), MATCH("Base", 02B_ESCENARIOS!$B$14:$D$14, 0))</f>
        <v/>
      </c>
      <c r="F364">
        <f>E364*VLOOKUP(A364,04_PROYECTOS!$A:$N,6,FALSE)</f>
        <v/>
      </c>
      <c r="G364">
        <f>E364+F364</f>
        <v/>
      </c>
      <c r="H364">
        <f>IF(VLOOKUP(A364,04_PROYECTOS!$A:$N,10,FALSE)="", IF(VLOOKUP(A364,04_PROYECTOS!$A:$N,4,FALSE)="Privado", INDEX(02B_ESCENARIOS!$B$4:$D$11, MATCH("DSO_PRIVADO_DEFAULT", 02B_ESCENARIOS!$A$4:$A$11, 0), MATCH("Base", 02B_ESCENARIOS!$B$3:$D$3, 0)), IF(VLOOKUP(A364,04_PROYECTOS!$A:$N,4,FALSE)="Publico_&lt;10M",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VLOOKUP(A364,04_PROYECTOS!$A:$N,10,FALSE))</f>
        <v/>
      </c>
      <c r="I364">
        <f>ROUNDUP(H364/30,0)</f>
        <v/>
      </c>
      <c r="J364">
        <f>EDATE(C364,I364)</f>
        <v/>
      </c>
      <c r="K364">
        <f>G364</f>
        <v/>
      </c>
    </row>
    <row r="365">
      <c r="E365">
        <f>D365*VLOOKUP(A365,04_PROYECTOS!$A:$N,5,FALSE)*(INDEX(02B_ESCENARIOS!$B$4:$D$11, MATCH("MULT_PRECIO", 02B_ESCENARIOS!$A$4:$A$11, 0), MATCH("Base", 02B_ESCENARIOS!$B$3:$D$3, 0)))*INDEX(02B_ESCENARIOS!$B$15:$D$19, MATCH(VLOOKUP(A365,04_PROYECTOS!$A:$N,9,FALSE), 02B_ESCENARIOS!$A$15:$A$19, 0), MATCH("Base", 02B_ESCENARIOS!$B$14:$D$14, 0))</f>
        <v/>
      </c>
      <c r="F365">
        <f>E365*VLOOKUP(A365,04_PROYECTOS!$A:$N,6,FALSE)</f>
        <v/>
      </c>
      <c r="G365">
        <f>E365+F365</f>
        <v/>
      </c>
      <c r="H365">
        <f>IF(VLOOKUP(A365,04_PROYECTOS!$A:$N,10,FALSE)="", IF(VLOOKUP(A365,04_PROYECTOS!$A:$N,4,FALSE)="Privado", INDEX(02B_ESCENARIOS!$B$4:$D$11, MATCH("DSO_PRIVADO_DEFAULT", 02B_ESCENARIOS!$A$4:$A$11, 0), MATCH("Base", 02B_ESCENARIOS!$B$3:$D$3, 0)), IF(VLOOKUP(A365,04_PROYECTOS!$A:$N,4,FALSE)="Publico_&lt;10M",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VLOOKUP(A365,04_PROYECTOS!$A:$N,10,FALSE))</f>
        <v/>
      </c>
      <c r="I365">
        <f>ROUNDUP(H365/30,0)</f>
        <v/>
      </c>
      <c r="J365">
        <f>EDATE(C365,I365)</f>
        <v/>
      </c>
      <c r="K365">
        <f>G365</f>
        <v/>
      </c>
    </row>
    <row r="366">
      <c r="E366">
        <f>D366*VLOOKUP(A366,04_PROYECTOS!$A:$N,5,FALSE)*(INDEX(02B_ESCENARIOS!$B$4:$D$11, MATCH("MULT_PRECIO", 02B_ESCENARIOS!$A$4:$A$11, 0), MATCH("Base", 02B_ESCENARIOS!$B$3:$D$3, 0)))*INDEX(02B_ESCENARIOS!$B$15:$D$19, MATCH(VLOOKUP(A366,04_PROYECTOS!$A:$N,9,FALSE), 02B_ESCENARIOS!$A$15:$A$19, 0), MATCH("Base", 02B_ESCENARIOS!$B$14:$D$14, 0))</f>
        <v/>
      </c>
      <c r="F366">
        <f>E366*VLOOKUP(A366,04_PROYECTOS!$A:$N,6,FALSE)</f>
        <v/>
      </c>
      <c r="G366">
        <f>E366+F366</f>
        <v/>
      </c>
      <c r="H366">
        <f>IF(VLOOKUP(A366,04_PROYECTOS!$A:$N,10,FALSE)="", IF(VLOOKUP(A366,04_PROYECTOS!$A:$N,4,FALSE)="Privado", INDEX(02B_ESCENARIOS!$B$4:$D$11, MATCH("DSO_PRIVADO_DEFAULT", 02B_ESCENARIOS!$A$4:$A$11, 0), MATCH("Base", 02B_ESCENARIOS!$B$3:$D$3, 0)), IF(VLOOKUP(A366,04_PROYECTOS!$A:$N,4,FALSE)="Publico_&lt;10M",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VLOOKUP(A366,04_PROYECTOS!$A:$N,10,FALSE))</f>
        <v/>
      </c>
      <c r="I366">
        <f>ROUNDUP(H366/30,0)</f>
        <v/>
      </c>
      <c r="J366">
        <f>EDATE(C366,I366)</f>
        <v/>
      </c>
      <c r="K366">
        <f>G366</f>
        <v/>
      </c>
    </row>
    <row r="367">
      <c r="E367">
        <f>D367*VLOOKUP(A367,04_PROYECTOS!$A:$N,5,FALSE)*(INDEX(02B_ESCENARIOS!$B$4:$D$11, MATCH("MULT_PRECIO", 02B_ESCENARIOS!$A$4:$A$11, 0), MATCH("Base", 02B_ESCENARIOS!$B$3:$D$3, 0)))*INDEX(02B_ESCENARIOS!$B$15:$D$19, MATCH(VLOOKUP(A367,04_PROYECTOS!$A:$N,9,FALSE), 02B_ESCENARIOS!$A$15:$A$19, 0), MATCH("Base", 02B_ESCENARIOS!$B$14:$D$14, 0))</f>
        <v/>
      </c>
      <c r="F367">
        <f>E367*VLOOKUP(A367,04_PROYECTOS!$A:$N,6,FALSE)</f>
        <v/>
      </c>
      <c r="G367">
        <f>E367+F367</f>
        <v/>
      </c>
      <c r="H367">
        <f>IF(VLOOKUP(A367,04_PROYECTOS!$A:$N,10,FALSE)="", IF(VLOOKUP(A367,04_PROYECTOS!$A:$N,4,FALSE)="Privado", INDEX(02B_ESCENARIOS!$B$4:$D$11, MATCH("DSO_PRIVADO_DEFAULT", 02B_ESCENARIOS!$A$4:$A$11, 0), MATCH("Base", 02B_ESCENARIOS!$B$3:$D$3, 0)), IF(VLOOKUP(A367,04_PROYECTOS!$A:$N,4,FALSE)="Publico_&lt;10M",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VLOOKUP(A367,04_PROYECTOS!$A:$N,10,FALSE))</f>
        <v/>
      </c>
      <c r="I367">
        <f>ROUNDUP(H367/30,0)</f>
        <v/>
      </c>
      <c r="J367">
        <f>EDATE(C367,I367)</f>
        <v/>
      </c>
      <c r="K367">
        <f>G367</f>
        <v/>
      </c>
    </row>
    <row r="368">
      <c r="E368">
        <f>D368*VLOOKUP(A368,04_PROYECTOS!$A:$N,5,FALSE)*(INDEX(02B_ESCENARIOS!$B$4:$D$11, MATCH("MULT_PRECIO", 02B_ESCENARIOS!$A$4:$A$11, 0), MATCH("Base", 02B_ESCENARIOS!$B$3:$D$3, 0)))*INDEX(02B_ESCENARIOS!$B$15:$D$19, MATCH(VLOOKUP(A368,04_PROYECTOS!$A:$N,9,FALSE), 02B_ESCENARIOS!$A$15:$A$19, 0), MATCH("Base", 02B_ESCENARIOS!$B$14:$D$14, 0))</f>
        <v/>
      </c>
      <c r="F368">
        <f>E368*VLOOKUP(A368,04_PROYECTOS!$A:$N,6,FALSE)</f>
        <v/>
      </c>
      <c r="G368">
        <f>E368+F368</f>
        <v/>
      </c>
      <c r="H368">
        <f>IF(VLOOKUP(A368,04_PROYECTOS!$A:$N,10,FALSE)="", IF(VLOOKUP(A368,04_PROYECTOS!$A:$N,4,FALSE)="Privado", INDEX(02B_ESCENARIOS!$B$4:$D$11, MATCH("DSO_PRIVADO_DEFAULT", 02B_ESCENARIOS!$A$4:$A$11, 0), MATCH("Base", 02B_ESCENARIOS!$B$3:$D$3, 0)), IF(VLOOKUP(A368,04_PROYECTOS!$A:$N,4,FALSE)="Publico_&lt;10M",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VLOOKUP(A368,04_PROYECTOS!$A:$N,10,FALSE))</f>
        <v/>
      </c>
      <c r="I368">
        <f>ROUNDUP(H368/30,0)</f>
        <v/>
      </c>
      <c r="J368">
        <f>EDATE(C368,I368)</f>
        <v/>
      </c>
      <c r="K368">
        <f>G368</f>
        <v/>
      </c>
    </row>
    <row r="369">
      <c r="E369">
        <f>D369*VLOOKUP(A369,04_PROYECTOS!$A:$N,5,FALSE)*(INDEX(02B_ESCENARIOS!$B$4:$D$11, MATCH("MULT_PRECIO", 02B_ESCENARIOS!$A$4:$A$11, 0), MATCH("Base", 02B_ESCENARIOS!$B$3:$D$3, 0)))*INDEX(02B_ESCENARIOS!$B$15:$D$19, MATCH(VLOOKUP(A369,04_PROYECTOS!$A:$N,9,FALSE), 02B_ESCENARIOS!$A$15:$A$19, 0), MATCH("Base", 02B_ESCENARIOS!$B$14:$D$14, 0))</f>
        <v/>
      </c>
      <c r="F369">
        <f>E369*VLOOKUP(A369,04_PROYECTOS!$A:$N,6,FALSE)</f>
        <v/>
      </c>
      <c r="G369">
        <f>E369+F369</f>
        <v/>
      </c>
      <c r="H369">
        <f>IF(VLOOKUP(A369,04_PROYECTOS!$A:$N,10,FALSE)="", IF(VLOOKUP(A369,04_PROYECTOS!$A:$N,4,FALSE)="Privado", INDEX(02B_ESCENARIOS!$B$4:$D$11, MATCH("DSO_PRIVADO_DEFAULT", 02B_ESCENARIOS!$A$4:$A$11, 0), MATCH("Base", 02B_ESCENARIOS!$B$3:$D$3, 0)), IF(VLOOKUP(A369,04_PROYECTOS!$A:$N,4,FALSE)="Publico_&lt;10M",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VLOOKUP(A369,04_PROYECTOS!$A:$N,10,FALSE))</f>
        <v/>
      </c>
      <c r="I369">
        <f>ROUNDUP(H369/30,0)</f>
        <v/>
      </c>
      <c r="J369">
        <f>EDATE(C369,I369)</f>
        <v/>
      </c>
      <c r="K369">
        <f>G369</f>
        <v/>
      </c>
    </row>
    <row r="370">
      <c r="E370">
        <f>D370*VLOOKUP(A370,04_PROYECTOS!$A:$N,5,FALSE)*(INDEX(02B_ESCENARIOS!$B$4:$D$11, MATCH("MULT_PRECIO", 02B_ESCENARIOS!$A$4:$A$11, 0), MATCH("Base", 02B_ESCENARIOS!$B$3:$D$3, 0)))*INDEX(02B_ESCENARIOS!$B$15:$D$19, MATCH(VLOOKUP(A370,04_PROYECTOS!$A:$N,9,FALSE), 02B_ESCENARIOS!$A$15:$A$19, 0), MATCH("Base", 02B_ESCENARIOS!$B$14:$D$14, 0))</f>
        <v/>
      </c>
      <c r="F370">
        <f>E370*VLOOKUP(A370,04_PROYECTOS!$A:$N,6,FALSE)</f>
        <v/>
      </c>
      <c r="G370">
        <f>E370+F370</f>
        <v/>
      </c>
      <c r="H370">
        <f>IF(VLOOKUP(A370,04_PROYECTOS!$A:$N,10,FALSE)="", IF(VLOOKUP(A370,04_PROYECTOS!$A:$N,4,FALSE)="Privado", INDEX(02B_ESCENARIOS!$B$4:$D$11, MATCH("DSO_PRIVADO_DEFAULT", 02B_ESCENARIOS!$A$4:$A$11, 0), MATCH("Base", 02B_ESCENARIOS!$B$3:$D$3, 0)), IF(VLOOKUP(A370,04_PROYECTOS!$A:$N,4,FALSE)="Publico_&lt;10M",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VLOOKUP(A370,04_PROYECTOS!$A:$N,10,FALSE))</f>
        <v/>
      </c>
      <c r="I370">
        <f>ROUNDUP(H370/30,0)</f>
        <v/>
      </c>
      <c r="J370">
        <f>EDATE(C370,I370)</f>
        <v/>
      </c>
      <c r="K370">
        <f>G370</f>
        <v/>
      </c>
    </row>
    <row r="371">
      <c r="E371">
        <f>D371*VLOOKUP(A371,04_PROYECTOS!$A:$N,5,FALSE)*(INDEX(02B_ESCENARIOS!$B$4:$D$11, MATCH("MULT_PRECIO", 02B_ESCENARIOS!$A$4:$A$11, 0), MATCH("Base", 02B_ESCENARIOS!$B$3:$D$3, 0)))*INDEX(02B_ESCENARIOS!$B$15:$D$19, MATCH(VLOOKUP(A371,04_PROYECTOS!$A:$N,9,FALSE), 02B_ESCENARIOS!$A$15:$A$19, 0), MATCH("Base", 02B_ESCENARIOS!$B$14:$D$14, 0))</f>
        <v/>
      </c>
      <c r="F371">
        <f>E371*VLOOKUP(A371,04_PROYECTOS!$A:$N,6,FALSE)</f>
        <v/>
      </c>
      <c r="G371">
        <f>E371+F371</f>
        <v/>
      </c>
      <c r="H371">
        <f>IF(VLOOKUP(A371,04_PROYECTOS!$A:$N,10,FALSE)="", IF(VLOOKUP(A371,04_PROYECTOS!$A:$N,4,FALSE)="Privado", INDEX(02B_ESCENARIOS!$B$4:$D$11, MATCH("DSO_PRIVADO_DEFAULT", 02B_ESCENARIOS!$A$4:$A$11, 0), MATCH("Base", 02B_ESCENARIOS!$B$3:$D$3, 0)), IF(VLOOKUP(A371,04_PROYECTOS!$A:$N,4,FALSE)="Publico_&lt;10M",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VLOOKUP(A371,04_PROYECTOS!$A:$N,10,FALSE))</f>
        <v/>
      </c>
      <c r="I371">
        <f>ROUNDUP(H371/30,0)</f>
        <v/>
      </c>
      <c r="J371">
        <f>EDATE(C371,I371)</f>
        <v/>
      </c>
      <c r="K371">
        <f>G371</f>
        <v/>
      </c>
    </row>
    <row r="372">
      <c r="E372">
        <f>D372*VLOOKUP(A372,04_PROYECTOS!$A:$N,5,FALSE)*(INDEX(02B_ESCENARIOS!$B$4:$D$11, MATCH("MULT_PRECIO", 02B_ESCENARIOS!$A$4:$A$11, 0), MATCH("Base", 02B_ESCENARIOS!$B$3:$D$3, 0)))*INDEX(02B_ESCENARIOS!$B$15:$D$19, MATCH(VLOOKUP(A372,04_PROYECTOS!$A:$N,9,FALSE), 02B_ESCENARIOS!$A$15:$A$19, 0), MATCH("Base", 02B_ESCENARIOS!$B$14:$D$14, 0))</f>
        <v/>
      </c>
      <c r="F372">
        <f>E372*VLOOKUP(A372,04_PROYECTOS!$A:$N,6,FALSE)</f>
        <v/>
      </c>
      <c r="G372">
        <f>E372+F372</f>
        <v/>
      </c>
      <c r="H372">
        <f>IF(VLOOKUP(A372,04_PROYECTOS!$A:$N,10,FALSE)="", IF(VLOOKUP(A372,04_PROYECTOS!$A:$N,4,FALSE)="Privado", INDEX(02B_ESCENARIOS!$B$4:$D$11, MATCH("DSO_PRIVADO_DEFAULT", 02B_ESCENARIOS!$A$4:$A$11, 0), MATCH("Base", 02B_ESCENARIOS!$B$3:$D$3, 0)), IF(VLOOKUP(A372,04_PROYECTOS!$A:$N,4,FALSE)="Publico_&lt;10M",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VLOOKUP(A372,04_PROYECTOS!$A:$N,10,FALSE))</f>
        <v/>
      </c>
      <c r="I372">
        <f>ROUNDUP(H372/30,0)</f>
        <v/>
      </c>
      <c r="J372">
        <f>EDATE(C372,I372)</f>
        <v/>
      </c>
      <c r="K372">
        <f>G372</f>
        <v/>
      </c>
    </row>
    <row r="373">
      <c r="E373">
        <f>D373*VLOOKUP(A373,04_PROYECTOS!$A:$N,5,FALSE)*(INDEX(02B_ESCENARIOS!$B$4:$D$11, MATCH("MULT_PRECIO", 02B_ESCENARIOS!$A$4:$A$11, 0), MATCH("Base", 02B_ESCENARIOS!$B$3:$D$3, 0)))*INDEX(02B_ESCENARIOS!$B$15:$D$19, MATCH(VLOOKUP(A373,04_PROYECTOS!$A:$N,9,FALSE), 02B_ESCENARIOS!$A$15:$A$19, 0), MATCH("Base", 02B_ESCENARIOS!$B$14:$D$14, 0))</f>
        <v/>
      </c>
      <c r="F373">
        <f>E373*VLOOKUP(A373,04_PROYECTOS!$A:$N,6,FALSE)</f>
        <v/>
      </c>
      <c r="G373">
        <f>E373+F373</f>
        <v/>
      </c>
      <c r="H373">
        <f>IF(VLOOKUP(A373,04_PROYECTOS!$A:$N,10,FALSE)="", IF(VLOOKUP(A373,04_PROYECTOS!$A:$N,4,FALSE)="Privado", INDEX(02B_ESCENARIOS!$B$4:$D$11, MATCH("DSO_PRIVADO_DEFAULT", 02B_ESCENARIOS!$A$4:$A$11, 0), MATCH("Base", 02B_ESCENARIOS!$B$3:$D$3, 0)), IF(VLOOKUP(A373,04_PROYECTOS!$A:$N,4,FALSE)="Publico_&lt;10M",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VLOOKUP(A373,04_PROYECTOS!$A:$N,10,FALSE))</f>
        <v/>
      </c>
      <c r="I373">
        <f>ROUNDUP(H373/30,0)</f>
        <v/>
      </c>
      <c r="J373">
        <f>EDATE(C373,I373)</f>
        <v/>
      </c>
      <c r="K373">
        <f>G373</f>
        <v/>
      </c>
    </row>
    <row r="374">
      <c r="E374">
        <f>D374*VLOOKUP(A374,04_PROYECTOS!$A:$N,5,FALSE)*(INDEX(02B_ESCENARIOS!$B$4:$D$11, MATCH("MULT_PRECIO", 02B_ESCENARIOS!$A$4:$A$11, 0), MATCH("Base", 02B_ESCENARIOS!$B$3:$D$3, 0)))*INDEX(02B_ESCENARIOS!$B$15:$D$19, MATCH(VLOOKUP(A374,04_PROYECTOS!$A:$N,9,FALSE), 02B_ESCENARIOS!$A$15:$A$19, 0), MATCH("Base", 02B_ESCENARIOS!$B$14:$D$14, 0))</f>
        <v/>
      </c>
      <c r="F374">
        <f>E374*VLOOKUP(A374,04_PROYECTOS!$A:$N,6,FALSE)</f>
        <v/>
      </c>
      <c r="G374">
        <f>E374+F374</f>
        <v/>
      </c>
      <c r="H374">
        <f>IF(VLOOKUP(A374,04_PROYECTOS!$A:$N,10,FALSE)="", IF(VLOOKUP(A374,04_PROYECTOS!$A:$N,4,FALSE)="Privado", INDEX(02B_ESCENARIOS!$B$4:$D$11, MATCH("DSO_PRIVADO_DEFAULT", 02B_ESCENARIOS!$A$4:$A$11, 0), MATCH("Base", 02B_ESCENARIOS!$B$3:$D$3, 0)), IF(VLOOKUP(A374,04_PROYECTOS!$A:$N,4,FALSE)="Publico_&lt;10M",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VLOOKUP(A374,04_PROYECTOS!$A:$N,10,FALSE))</f>
        <v/>
      </c>
      <c r="I374">
        <f>ROUNDUP(H374/30,0)</f>
        <v/>
      </c>
      <c r="J374">
        <f>EDATE(C374,I374)</f>
        <v/>
      </c>
      <c r="K374">
        <f>G374</f>
        <v/>
      </c>
    </row>
    <row r="375">
      <c r="E375">
        <f>D375*VLOOKUP(A375,04_PROYECTOS!$A:$N,5,FALSE)*(INDEX(02B_ESCENARIOS!$B$4:$D$11, MATCH("MULT_PRECIO", 02B_ESCENARIOS!$A$4:$A$11, 0), MATCH("Base", 02B_ESCENARIOS!$B$3:$D$3, 0)))*INDEX(02B_ESCENARIOS!$B$15:$D$19, MATCH(VLOOKUP(A375,04_PROYECTOS!$A:$N,9,FALSE), 02B_ESCENARIOS!$A$15:$A$19, 0), MATCH("Base", 02B_ESCENARIOS!$B$14:$D$14, 0))</f>
        <v/>
      </c>
      <c r="F375">
        <f>E375*VLOOKUP(A375,04_PROYECTOS!$A:$N,6,FALSE)</f>
        <v/>
      </c>
      <c r="G375">
        <f>E375+F375</f>
        <v/>
      </c>
      <c r="H375">
        <f>IF(VLOOKUP(A375,04_PROYECTOS!$A:$N,10,FALSE)="", IF(VLOOKUP(A375,04_PROYECTOS!$A:$N,4,FALSE)="Privado", INDEX(02B_ESCENARIOS!$B$4:$D$11, MATCH("DSO_PRIVADO_DEFAULT", 02B_ESCENARIOS!$A$4:$A$11, 0), MATCH("Base", 02B_ESCENARIOS!$B$3:$D$3, 0)), IF(VLOOKUP(A375,04_PROYECTOS!$A:$N,4,FALSE)="Publico_&lt;10M",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VLOOKUP(A375,04_PROYECTOS!$A:$N,10,FALSE))</f>
        <v/>
      </c>
      <c r="I375">
        <f>ROUNDUP(H375/30,0)</f>
        <v/>
      </c>
      <c r="J375">
        <f>EDATE(C375,I375)</f>
        <v/>
      </c>
      <c r="K375">
        <f>G375</f>
        <v/>
      </c>
    </row>
    <row r="376">
      <c r="E376">
        <f>D376*VLOOKUP(A376,04_PROYECTOS!$A:$N,5,FALSE)*(INDEX(02B_ESCENARIOS!$B$4:$D$11, MATCH("MULT_PRECIO", 02B_ESCENARIOS!$A$4:$A$11, 0), MATCH("Base", 02B_ESCENARIOS!$B$3:$D$3, 0)))*INDEX(02B_ESCENARIOS!$B$15:$D$19, MATCH(VLOOKUP(A376,04_PROYECTOS!$A:$N,9,FALSE), 02B_ESCENARIOS!$A$15:$A$19, 0), MATCH("Base", 02B_ESCENARIOS!$B$14:$D$14, 0))</f>
        <v/>
      </c>
      <c r="F376">
        <f>E376*VLOOKUP(A376,04_PROYECTOS!$A:$N,6,FALSE)</f>
        <v/>
      </c>
      <c r="G376">
        <f>E376+F376</f>
        <v/>
      </c>
      <c r="H376">
        <f>IF(VLOOKUP(A376,04_PROYECTOS!$A:$N,10,FALSE)="", IF(VLOOKUP(A376,04_PROYECTOS!$A:$N,4,FALSE)="Privado", INDEX(02B_ESCENARIOS!$B$4:$D$11, MATCH("DSO_PRIVADO_DEFAULT", 02B_ESCENARIOS!$A$4:$A$11, 0), MATCH("Base", 02B_ESCENARIOS!$B$3:$D$3, 0)), IF(VLOOKUP(A376,04_PROYECTOS!$A:$N,4,FALSE)="Publico_&lt;10M",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VLOOKUP(A376,04_PROYECTOS!$A:$N,10,FALSE))</f>
        <v/>
      </c>
      <c r="I376">
        <f>ROUNDUP(H376/30,0)</f>
        <v/>
      </c>
      <c r="J376">
        <f>EDATE(C376,I376)</f>
        <v/>
      </c>
      <c r="K376">
        <f>G376</f>
        <v/>
      </c>
    </row>
    <row r="377">
      <c r="E377">
        <f>D377*VLOOKUP(A377,04_PROYECTOS!$A:$N,5,FALSE)*(INDEX(02B_ESCENARIOS!$B$4:$D$11, MATCH("MULT_PRECIO", 02B_ESCENARIOS!$A$4:$A$11, 0), MATCH("Base", 02B_ESCENARIOS!$B$3:$D$3, 0)))*INDEX(02B_ESCENARIOS!$B$15:$D$19, MATCH(VLOOKUP(A377,04_PROYECTOS!$A:$N,9,FALSE), 02B_ESCENARIOS!$A$15:$A$19, 0), MATCH("Base", 02B_ESCENARIOS!$B$14:$D$14, 0))</f>
        <v/>
      </c>
      <c r="F377">
        <f>E377*VLOOKUP(A377,04_PROYECTOS!$A:$N,6,FALSE)</f>
        <v/>
      </c>
      <c r="G377">
        <f>E377+F377</f>
        <v/>
      </c>
      <c r="H377">
        <f>IF(VLOOKUP(A377,04_PROYECTOS!$A:$N,10,FALSE)="", IF(VLOOKUP(A377,04_PROYECTOS!$A:$N,4,FALSE)="Privado", INDEX(02B_ESCENARIOS!$B$4:$D$11, MATCH("DSO_PRIVADO_DEFAULT", 02B_ESCENARIOS!$A$4:$A$11, 0), MATCH("Base", 02B_ESCENARIOS!$B$3:$D$3, 0)), IF(VLOOKUP(A377,04_PROYECTOS!$A:$N,4,FALSE)="Publico_&lt;10M",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VLOOKUP(A377,04_PROYECTOS!$A:$N,10,FALSE))</f>
        <v/>
      </c>
      <c r="I377">
        <f>ROUNDUP(H377/30,0)</f>
        <v/>
      </c>
      <c r="J377">
        <f>EDATE(C377,I377)</f>
        <v/>
      </c>
      <c r="K377">
        <f>G377</f>
        <v/>
      </c>
    </row>
    <row r="378">
      <c r="E378">
        <f>D378*VLOOKUP(A378,04_PROYECTOS!$A:$N,5,FALSE)*(INDEX(02B_ESCENARIOS!$B$4:$D$11, MATCH("MULT_PRECIO", 02B_ESCENARIOS!$A$4:$A$11, 0), MATCH("Base", 02B_ESCENARIOS!$B$3:$D$3, 0)))*INDEX(02B_ESCENARIOS!$B$15:$D$19, MATCH(VLOOKUP(A378,04_PROYECTOS!$A:$N,9,FALSE), 02B_ESCENARIOS!$A$15:$A$19, 0), MATCH("Base", 02B_ESCENARIOS!$B$14:$D$14, 0))</f>
        <v/>
      </c>
      <c r="F378">
        <f>E378*VLOOKUP(A378,04_PROYECTOS!$A:$N,6,FALSE)</f>
        <v/>
      </c>
      <c r="G378">
        <f>E378+F378</f>
        <v/>
      </c>
      <c r="H378">
        <f>IF(VLOOKUP(A378,04_PROYECTOS!$A:$N,10,FALSE)="", IF(VLOOKUP(A378,04_PROYECTOS!$A:$N,4,FALSE)="Privado", INDEX(02B_ESCENARIOS!$B$4:$D$11, MATCH("DSO_PRIVADO_DEFAULT", 02B_ESCENARIOS!$A$4:$A$11, 0), MATCH("Base", 02B_ESCENARIOS!$B$3:$D$3, 0)), IF(VLOOKUP(A378,04_PROYECTOS!$A:$N,4,FALSE)="Publico_&lt;10M",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VLOOKUP(A378,04_PROYECTOS!$A:$N,10,FALSE))</f>
        <v/>
      </c>
      <c r="I378">
        <f>ROUNDUP(H378/30,0)</f>
        <v/>
      </c>
      <c r="J378">
        <f>EDATE(C378,I378)</f>
        <v/>
      </c>
      <c r="K378">
        <f>G378</f>
        <v/>
      </c>
    </row>
    <row r="379">
      <c r="E379">
        <f>D379*VLOOKUP(A379,04_PROYECTOS!$A:$N,5,FALSE)*(INDEX(02B_ESCENARIOS!$B$4:$D$11, MATCH("MULT_PRECIO", 02B_ESCENARIOS!$A$4:$A$11, 0), MATCH("Base", 02B_ESCENARIOS!$B$3:$D$3, 0)))*INDEX(02B_ESCENARIOS!$B$15:$D$19, MATCH(VLOOKUP(A379,04_PROYECTOS!$A:$N,9,FALSE), 02B_ESCENARIOS!$A$15:$A$19, 0), MATCH("Base", 02B_ESCENARIOS!$B$14:$D$14, 0))</f>
        <v/>
      </c>
      <c r="F379">
        <f>E379*VLOOKUP(A379,04_PROYECTOS!$A:$N,6,FALSE)</f>
        <v/>
      </c>
      <c r="G379">
        <f>E379+F379</f>
        <v/>
      </c>
      <c r="H379">
        <f>IF(VLOOKUP(A379,04_PROYECTOS!$A:$N,10,FALSE)="", IF(VLOOKUP(A379,04_PROYECTOS!$A:$N,4,FALSE)="Privado", INDEX(02B_ESCENARIOS!$B$4:$D$11, MATCH("DSO_PRIVADO_DEFAULT", 02B_ESCENARIOS!$A$4:$A$11, 0), MATCH("Base", 02B_ESCENARIOS!$B$3:$D$3, 0)), IF(VLOOKUP(A379,04_PROYECTOS!$A:$N,4,FALSE)="Publico_&lt;10M",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VLOOKUP(A379,04_PROYECTOS!$A:$N,10,FALSE))</f>
        <v/>
      </c>
      <c r="I379">
        <f>ROUNDUP(H379/30,0)</f>
        <v/>
      </c>
      <c r="J379">
        <f>EDATE(C379,I379)</f>
        <v/>
      </c>
      <c r="K379">
        <f>G379</f>
        <v/>
      </c>
    </row>
    <row r="380">
      <c r="E380">
        <f>D380*VLOOKUP(A380,04_PROYECTOS!$A:$N,5,FALSE)*(INDEX(02B_ESCENARIOS!$B$4:$D$11, MATCH("MULT_PRECIO", 02B_ESCENARIOS!$A$4:$A$11, 0), MATCH("Base", 02B_ESCENARIOS!$B$3:$D$3, 0)))*INDEX(02B_ESCENARIOS!$B$15:$D$19, MATCH(VLOOKUP(A380,04_PROYECTOS!$A:$N,9,FALSE), 02B_ESCENARIOS!$A$15:$A$19, 0), MATCH("Base", 02B_ESCENARIOS!$B$14:$D$14, 0))</f>
        <v/>
      </c>
      <c r="F380">
        <f>E380*VLOOKUP(A380,04_PROYECTOS!$A:$N,6,FALSE)</f>
        <v/>
      </c>
      <c r="G380">
        <f>E380+F380</f>
        <v/>
      </c>
      <c r="H380">
        <f>IF(VLOOKUP(A380,04_PROYECTOS!$A:$N,10,FALSE)="", IF(VLOOKUP(A380,04_PROYECTOS!$A:$N,4,FALSE)="Privado", INDEX(02B_ESCENARIOS!$B$4:$D$11, MATCH("DSO_PRIVADO_DEFAULT", 02B_ESCENARIOS!$A$4:$A$11, 0), MATCH("Base", 02B_ESCENARIOS!$B$3:$D$3, 0)), IF(VLOOKUP(A380,04_PROYECTOS!$A:$N,4,FALSE)="Publico_&lt;10M",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VLOOKUP(A380,04_PROYECTOS!$A:$N,10,FALSE))</f>
        <v/>
      </c>
      <c r="I380">
        <f>ROUNDUP(H380/30,0)</f>
        <v/>
      </c>
      <c r="J380">
        <f>EDATE(C380,I380)</f>
        <v/>
      </c>
      <c r="K380">
        <f>G380</f>
        <v/>
      </c>
    </row>
    <row r="381">
      <c r="E381">
        <f>D381*VLOOKUP(A381,04_PROYECTOS!$A:$N,5,FALSE)*(INDEX(02B_ESCENARIOS!$B$4:$D$11, MATCH("MULT_PRECIO", 02B_ESCENARIOS!$A$4:$A$11, 0), MATCH("Base", 02B_ESCENARIOS!$B$3:$D$3, 0)))*INDEX(02B_ESCENARIOS!$B$15:$D$19, MATCH(VLOOKUP(A381,04_PROYECTOS!$A:$N,9,FALSE), 02B_ESCENARIOS!$A$15:$A$19, 0), MATCH("Base", 02B_ESCENARIOS!$B$14:$D$14, 0))</f>
        <v/>
      </c>
      <c r="F381">
        <f>E381*VLOOKUP(A381,04_PROYECTOS!$A:$N,6,FALSE)</f>
        <v/>
      </c>
      <c r="G381">
        <f>E381+F381</f>
        <v/>
      </c>
      <c r="H381">
        <f>IF(VLOOKUP(A381,04_PROYECTOS!$A:$N,10,FALSE)="", IF(VLOOKUP(A381,04_PROYECTOS!$A:$N,4,FALSE)="Privado", INDEX(02B_ESCENARIOS!$B$4:$D$11, MATCH("DSO_PRIVADO_DEFAULT", 02B_ESCENARIOS!$A$4:$A$11, 0), MATCH("Base", 02B_ESCENARIOS!$B$3:$D$3, 0)), IF(VLOOKUP(A381,04_PROYECTOS!$A:$N,4,FALSE)="Publico_&lt;10M",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VLOOKUP(A381,04_PROYECTOS!$A:$N,10,FALSE))</f>
        <v/>
      </c>
      <c r="I381">
        <f>ROUNDUP(H381/30,0)</f>
        <v/>
      </c>
      <c r="J381">
        <f>EDATE(C381,I381)</f>
        <v/>
      </c>
      <c r="K381">
        <f>G381</f>
        <v/>
      </c>
    </row>
    <row r="382">
      <c r="E382">
        <f>D382*VLOOKUP(A382,04_PROYECTOS!$A:$N,5,FALSE)*(INDEX(02B_ESCENARIOS!$B$4:$D$11, MATCH("MULT_PRECIO", 02B_ESCENARIOS!$A$4:$A$11, 0), MATCH("Base", 02B_ESCENARIOS!$B$3:$D$3, 0)))*INDEX(02B_ESCENARIOS!$B$15:$D$19, MATCH(VLOOKUP(A382,04_PROYECTOS!$A:$N,9,FALSE), 02B_ESCENARIOS!$A$15:$A$19, 0), MATCH("Base", 02B_ESCENARIOS!$B$14:$D$14, 0))</f>
        <v/>
      </c>
      <c r="F382">
        <f>E382*VLOOKUP(A382,04_PROYECTOS!$A:$N,6,FALSE)</f>
        <v/>
      </c>
      <c r="G382">
        <f>E382+F382</f>
        <v/>
      </c>
      <c r="H382">
        <f>IF(VLOOKUP(A382,04_PROYECTOS!$A:$N,10,FALSE)="", IF(VLOOKUP(A382,04_PROYECTOS!$A:$N,4,FALSE)="Privado", INDEX(02B_ESCENARIOS!$B$4:$D$11, MATCH("DSO_PRIVADO_DEFAULT", 02B_ESCENARIOS!$A$4:$A$11, 0), MATCH("Base", 02B_ESCENARIOS!$B$3:$D$3, 0)), IF(VLOOKUP(A382,04_PROYECTOS!$A:$N,4,FALSE)="Publico_&lt;10M",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VLOOKUP(A382,04_PROYECTOS!$A:$N,10,FALSE))</f>
        <v/>
      </c>
      <c r="I382">
        <f>ROUNDUP(H382/30,0)</f>
        <v/>
      </c>
      <c r="J382">
        <f>EDATE(C382,I382)</f>
        <v/>
      </c>
      <c r="K382">
        <f>G382</f>
        <v/>
      </c>
    </row>
    <row r="383">
      <c r="E383">
        <f>D383*VLOOKUP(A383,04_PROYECTOS!$A:$N,5,FALSE)*(INDEX(02B_ESCENARIOS!$B$4:$D$11, MATCH("MULT_PRECIO", 02B_ESCENARIOS!$A$4:$A$11, 0), MATCH("Base", 02B_ESCENARIOS!$B$3:$D$3, 0)))*INDEX(02B_ESCENARIOS!$B$15:$D$19, MATCH(VLOOKUP(A383,04_PROYECTOS!$A:$N,9,FALSE), 02B_ESCENARIOS!$A$15:$A$19, 0), MATCH("Base", 02B_ESCENARIOS!$B$14:$D$14, 0))</f>
        <v/>
      </c>
      <c r="F383">
        <f>E383*VLOOKUP(A383,04_PROYECTOS!$A:$N,6,FALSE)</f>
        <v/>
      </c>
      <c r="G383">
        <f>E383+F383</f>
        <v/>
      </c>
      <c r="H383">
        <f>IF(VLOOKUP(A383,04_PROYECTOS!$A:$N,10,FALSE)="", IF(VLOOKUP(A383,04_PROYECTOS!$A:$N,4,FALSE)="Privado", INDEX(02B_ESCENARIOS!$B$4:$D$11, MATCH("DSO_PRIVADO_DEFAULT", 02B_ESCENARIOS!$A$4:$A$11, 0), MATCH("Base", 02B_ESCENARIOS!$B$3:$D$3, 0)), IF(VLOOKUP(A383,04_PROYECTOS!$A:$N,4,FALSE)="Publico_&lt;10M",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VLOOKUP(A383,04_PROYECTOS!$A:$N,10,FALSE))</f>
        <v/>
      </c>
      <c r="I383">
        <f>ROUNDUP(H383/30,0)</f>
        <v/>
      </c>
      <c r="J383">
        <f>EDATE(C383,I383)</f>
        <v/>
      </c>
      <c r="K383">
        <f>G383</f>
        <v/>
      </c>
    </row>
    <row r="384">
      <c r="E384">
        <f>D384*VLOOKUP(A384,04_PROYECTOS!$A:$N,5,FALSE)*(INDEX(02B_ESCENARIOS!$B$4:$D$11, MATCH("MULT_PRECIO", 02B_ESCENARIOS!$A$4:$A$11, 0), MATCH("Base", 02B_ESCENARIOS!$B$3:$D$3, 0)))*INDEX(02B_ESCENARIOS!$B$15:$D$19, MATCH(VLOOKUP(A384,04_PROYECTOS!$A:$N,9,FALSE), 02B_ESCENARIOS!$A$15:$A$19, 0), MATCH("Base", 02B_ESCENARIOS!$B$14:$D$14, 0))</f>
        <v/>
      </c>
      <c r="F384">
        <f>E384*VLOOKUP(A384,04_PROYECTOS!$A:$N,6,FALSE)</f>
        <v/>
      </c>
      <c r="G384">
        <f>E384+F384</f>
        <v/>
      </c>
      <c r="H384">
        <f>IF(VLOOKUP(A384,04_PROYECTOS!$A:$N,10,FALSE)="", IF(VLOOKUP(A384,04_PROYECTOS!$A:$N,4,FALSE)="Privado", INDEX(02B_ESCENARIOS!$B$4:$D$11, MATCH("DSO_PRIVADO_DEFAULT", 02B_ESCENARIOS!$A$4:$A$11, 0), MATCH("Base", 02B_ESCENARIOS!$B$3:$D$3, 0)), IF(VLOOKUP(A384,04_PROYECTOS!$A:$N,4,FALSE)="Publico_&lt;10M",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VLOOKUP(A384,04_PROYECTOS!$A:$N,10,FALSE))</f>
        <v/>
      </c>
      <c r="I384">
        <f>ROUNDUP(H384/30,0)</f>
        <v/>
      </c>
      <c r="J384">
        <f>EDATE(C384,I384)</f>
        <v/>
      </c>
      <c r="K384">
        <f>G384</f>
        <v/>
      </c>
    </row>
    <row r="385">
      <c r="E385">
        <f>D385*VLOOKUP(A385,04_PROYECTOS!$A:$N,5,FALSE)*(INDEX(02B_ESCENARIOS!$B$4:$D$11, MATCH("MULT_PRECIO", 02B_ESCENARIOS!$A$4:$A$11, 0), MATCH("Base", 02B_ESCENARIOS!$B$3:$D$3, 0)))*INDEX(02B_ESCENARIOS!$B$15:$D$19, MATCH(VLOOKUP(A385,04_PROYECTOS!$A:$N,9,FALSE), 02B_ESCENARIOS!$A$15:$A$19, 0), MATCH("Base", 02B_ESCENARIOS!$B$14:$D$14, 0))</f>
        <v/>
      </c>
      <c r="F385">
        <f>E385*VLOOKUP(A385,04_PROYECTOS!$A:$N,6,FALSE)</f>
        <v/>
      </c>
      <c r="G385">
        <f>E385+F385</f>
        <v/>
      </c>
      <c r="H385">
        <f>IF(VLOOKUP(A385,04_PROYECTOS!$A:$N,10,FALSE)="", IF(VLOOKUP(A385,04_PROYECTOS!$A:$N,4,FALSE)="Privado", INDEX(02B_ESCENARIOS!$B$4:$D$11, MATCH("DSO_PRIVADO_DEFAULT", 02B_ESCENARIOS!$A$4:$A$11, 0), MATCH("Base", 02B_ESCENARIOS!$B$3:$D$3, 0)), IF(VLOOKUP(A385,04_PROYECTOS!$A:$N,4,FALSE)="Publico_&lt;10M",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VLOOKUP(A385,04_PROYECTOS!$A:$N,10,FALSE))</f>
        <v/>
      </c>
      <c r="I385">
        <f>ROUNDUP(H385/30,0)</f>
        <v/>
      </c>
      <c r="J385">
        <f>EDATE(C385,I385)</f>
        <v/>
      </c>
      <c r="K385">
        <f>G385</f>
        <v/>
      </c>
    </row>
    <row r="386">
      <c r="E386">
        <f>D386*VLOOKUP(A386,04_PROYECTOS!$A:$N,5,FALSE)*(INDEX(02B_ESCENARIOS!$B$4:$D$11, MATCH("MULT_PRECIO", 02B_ESCENARIOS!$A$4:$A$11, 0), MATCH("Base", 02B_ESCENARIOS!$B$3:$D$3, 0)))*INDEX(02B_ESCENARIOS!$B$15:$D$19, MATCH(VLOOKUP(A386,04_PROYECTOS!$A:$N,9,FALSE), 02B_ESCENARIOS!$A$15:$A$19, 0), MATCH("Base", 02B_ESCENARIOS!$B$14:$D$14, 0))</f>
        <v/>
      </c>
      <c r="F386">
        <f>E386*VLOOKUP(A386,04_PROYECTOS!$A:$N,6,FALSE)</f>
        <v/>
      </c>
      <c r="G386">
        <f>E386+F386</f>
        <v/>
      </c>
      <c r="H386">
        <f>IF(VLOOKUP(A386,04_PROYECTOS!$A:$N,10,FALSE)="", IF(VLOOKUP(A386,04_PROYECTOS!$A:$N,4,FALSE)="Privado", INDEX(02B_ESCENARIOS!$B$4:$D$11, MATCH("DSO_PRIVADO_DEFAULT", 02B_ESCENARIOS!$A$4:$A$11, 0), MATCH("Base", 02B_ESCENARIOS!$B$3:$D$3, 0)), IF(VLOOKUP(A386,04_PROYECTOS!$A:$N,4,FALSE)="Publico_&lt;10M",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VLOOKUP(A386,04_PROYECTOS!$A:$N,10,FALSE))</f>
        <v/>
      </c>
      <c r="I386">
        <f>ROUNDUP(H386/30,0)</f>
        <v/>
      </c>
      <c r="J386">
        <f>EDATE(C386,I386)</f>
        <v/>
      </c>
      <c r="K386">
        <f>G386</f>
        <v/>
      </c>
    </row>
    <row r="387">
      <c r="E387">
        <f>D387*VLOOKUP(A387,04_PROYECTOS!$A:$N,5,FALSE)*(INDEX(02B_ESCENARIOS!$B$4:$D$11, MATCH("MULT_PRECIO", 02B_ESCENARIOS!$A$4:$A$11, 0), MATCH("Base", 02B_ESCENARIOS!$B$3:$D$3, 0)))*INDEX(02B_ESCENARIOS!$B$15:$D$19, MATCH(VLOOKUP(A387,04_PROYECTOS!$A:$N,9,FALSE), 02B_ESCENARIOS!$A$15:$A$19, 0), MATCH("Base", 02B_ESCENARIOS!$B$14:$D$14, 0))</f>
        <v/>
      </c>
      <c r="F387">
        <f>E387*VLOOKUP(A387,04_PROYECTOS!$A:$N,6,FALSE)</f>
        <v/>
      </c>
      <c r="G387">
        <f>E387+F387</f>
        <v/>
      </c>
      <c r="H387">
        <f>IF(VLOOKUP(A387,04_PROYECTOS!$A:$N,10,FALSE)="", IF(VLOOKUP(A387,04_PROYECTOS!$A:$N,4,FALSE)="Privado", INDEX(02B_ESCENARIOS!$B$4:$D$11, MATCH("DSO_PRIVADO_DEFAULT", 02B_ESCENARIOS!$A$4:$A$11, 0), MATCH("Base", 02B_ESCENARIOS!$B$3:$D$3, 0)), IF(VLOOKUP(A387,04_PROYECTOS!$A:$N,4,FALSE)="Publico_&lt;10M",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VLOOKUP(A387,04_PROYECTOS!$A:$N,10,FALSE))</f>
        <v/>
      </c>
      <c r="I387">
        <f>ROUNDUP(H387/30,0)</f>
        <v/>
      </c>
      <c r="J387">
        <f>EDATE(C387,I387)</f>
        <v/>
      </c>
      <c r="K387">
        <f>G387</f>
        <v/>
      </c>
    </row>
    <row r="388">
      <c r="E388">
        <f>D388*VLOOKUP(A388,04_PROYECTOS!$A:$N,5,FALSE)*(INDEX(02B_ESCENARIOS!$B$4:$D$11, MATCH("MULT_PRECIO", 02B_ESCENARIOS!$A$4:$A$11, 0), MATCH("Base", 02B_ESCENARIOS!$B$3:$D$3, 0)))*INDEX(02B_ESCENARIOS!$B$15:$D$19, MATCH(VLOOKUP(A388,04_PROYECTOS!$A:$N,9,FALSE), 02B_ESCENARIOS!$A$15:$A$19, 0), MATCH("Base", 02B_ESCENARIOS!$B$14:$D$14, 0))</f>
        <v/>
      </c>
      <c r="F388">
        <f>E388*VLOOKUP(A388,04_PROYECTOS!$A:$N,6,FALSE)</f>
        <v/>
      </c>
      <c r="G388">
        <f>E388+F388</f>
        <v/>
      </c>
      <c r="H388">
        <f>IF(VLOOKUP(A388,04_PROYECTOS!$A:$N,10,FALSE)="", IF(VLOOKUP(A388,04_PROYECTOS!$A:$N,4,FALSE)="Privado", INDEX(02B_ESCENARIOS!$B$4:$D$11, MATCH("DSO_PRIVADO_DEFAULT", 02B_ESCENARIOS!$A$4:$A$11, 0), MATCH("Base", 02B_ESCENARIOS!$B$3:$D$3, 0)), IF(VLOOKUP(A388,04_PROYECTOS!$A:$N,4,FALSE)="Publico_&lt;10M",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VLOOKUP(A388,04_PROYECTOS!$A:$N,10,FALSE))</f>
        <v/>
      </c>
      <c r="I388">
        <f>ROUNDUP(H388/30,0)</f>
        <v/>
      </c>
      <c r="J388">
        <f>EDATE(C388,I388)</f>
        <v/>
      </c>
      <c r="K388">
        <f>G388</f>
        <v/>
      </c>
    </row>
    <row r="389">
      <c r="E389">
        <f>D389*VLOOKUP(A389,04_PROYECTOS!$A:$N,5,FALSE)*(INDEX(02B_ESCENARIOS!$B$4:$D$11, MATCH("MULT_PRECIO", 02B_ESCENARIOS!$A$4:$A$11, 0), MATCH("Base", 02B_ESCENARIOS!$B$3:$D$3, 0)))*INDEX(02B_ESCENARIOS!$B$15:$D$19, MATCH(VLOOKUP(A389,04_PROYECTOS!$A:$N,9,FALSE), 02B_ESCENARIOS!$A$15:$A$19, 0), MATCH("Base", 02B_ESCENARIOS!$B$14:$D$14, 0))</f>
        <v/>
      </c>
      <c r="F389">
        <f>E389*VLOOKUP(A389,04_PROYECTOS!$A:$N,6,FALSE)</f>
        <v/>
      </c>
      <c r="G389">
        <f>E389+F389</f>
        <v/>
      </c>
      <c r="H389">
        <f>IF(VLOOKUP(A389,04_PROYECTOS!$A:$N,10,FALSE)="", IF(VLOOKUP(A389,04_PROYECTOS!$A:$N,4,FALSE)="Privado", INDEX(02B_ESCENARIOS!$B$4:$D$11, MATCH("DSO_PRIVADO_DEFAULT", 02B_ESCENARIOS!$A$4:$A$11, 0), MATCH("Base", 02B_ESCENARIOS!$B$3:$D$3, 0)), IF(VLOOKUP(A389,04_PROYECTOS!$A:$N,4,FALSE)="Publico_&lt;10M",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VLOOKUP(A389,04_PROYECTOS!$A:$N,10,FALSE))</f>
        <v/>
      </c>
      <c r="I389">
        <f>ROUNDUP(H389/30,0)</f>
        <v/>
      </c>
      <c r="J389">
        <f>EDATE(C389,I389)</f>
        <v/>
      </c>
      <c r="K389">
        <f>G389</f>
        <v/>
      </c>
    </row>
    <row r="390">
      <c r="E390">
        <f>D390*VLOOKUP(A390,04_PROYECTOS!$A:$N,5,FALSE)*(INDEX(02B_ESCENARIOS!$B$4:$D$11, MATCH("MULT_PRECIO", 02B_ESCENARIOS!$A$4:$A$11, 0), MATCH("Base", 02B_ESCENARIOS!$B$3:$D$3, 0)))*INDEX(02B_ESCENARIOS!$B$15:$D$19, MATCH(VLOOKUP(A390,04_PROYECTOS!$A:$N,9,FALSE), 02B_ESCENARIOS!$A$15:$A$19, 0), MATCH("Base", 02B_ESCENARIOS!$B$14:$D$14, 0))</f>
        <v/>
      </c>
      <c r="F390">
        <f>E390*VLOOKUP(A390,04_PROYECTOS!$A:$N,6,FALSE)</f>
        <v/>
      </c>
      <c r="G390">
        <f>E390+F390</f>
        <v/>
      </c>
      <c r="H390">
        <f>IF(VLOOKUP(A390,04_PROYECTOS!$A:$N,10,FALSE)="", IF(VLOOKUP(A390,04_PROYECTOS!$A:$N,4,FALSE)="Privado", INDEX(02B_ESCENARIOS!$B$4:$D$11, MATCH("DSO_PRIVADO_DEFAULT", 02B_ESCENARIOS!$A$4:$A$11, 0), MATCH("Base", 02B_ESCENARIOS!$B$3:$D$3, 0)), IF(VLOOKUP(A390,04_PROYECTOS!$A:$N,4,FALSE)="Publico_&lt;10M",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VLOOKUP(A390,04_PROYECTOS!$A:$N,10,FALSE))</f>
        <v/>
      </c>
      <c r="I390">
        <f>ROUNDUP(H390/30,0)</f>
        <v/>
      </c>
      <c r="J390">
        <f>EDATE(C390,I390)</f>
        <v/>
      </c>
      <c r="K390">
        <f>G390</f>
        <v/>
      </c>
    </row>
    <row r="391">
      <c r="E391">
        <f>D391*VLOOKUP(A391,04_PROYECTOS!$A:$N,5,FALSE)*(INDEX(02B_ESCENARIOS!$B$4:$D$11, MATCH("MULT_PRECIO", 02B_ESCENARIOS!$A$4:$A$11, 0), MATCH("Base", 02B_ESCENARIOS!$B$3:$D$3, 0)))*INDEX(02B_ESCENARIOS!$B$15:$D$19, MATCH(VLOOKUP(A391,04_PROYECTOS!$A:$N,9,FALSE), 02B_ESCENARIOS!$A$15:$A$19, 0), MATCH("Base", 02B_ESCENARIOS!$B$14:$D$14, 0))</f>
        <v/>
      </c>
      <c r="F391">
        <f>E391*VLOOKUP(A391,04_PROYECTOS!$A:$N,6,FALSE)</f>
        <v/>
      </c>
      <c r="G391">
        <f>E391+F391</f>
        <v/>
      </c>
      <c r="H391">
        <f>IF(VLOOKUP(A391,04_PROYECTOS!$A:$N,10,FALSE)="", IF(VLOOKUP(A391,04_PROYECTOS!$A:$N,4,FALSE)="Privado", INDEX(02B_ESCENARIOS!$B$4:$D$11, MATCH("DSO_PRIVADO_DEFAULT", 02B_ESCENARIOS!$A$4:$A$11, 0), MATCH("Base", 02B_ESCENARIOS!$B$3:$D$3, 0)), IF(VLOOKUP(A391,04_PROYECTOS!$A:$N,4,FALSE)="Publico_&lt;10M",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VLOOKUP(A391,04_PROYECTOS!$A:$N,10,FALSE))</f>
        <v/>
      </c>
      <c r="I391">
        <f>ROUNDUP(H391/30,0)</f>
        <v/>
      </c>
      <c r="J391">
        <f>EDATE(C391,I391)</f>
        <v/>
      </c>
      <c r="K391">
        <f>G391</f>
        <v/>
      </c>
    </row>
    <row r="392">
      <c r="E392">
        <f>D392*VLOOKUP(A392,04_PROYECTOS!$A:$N,5,FALSE)*(INDEX(02B_ESCENARIOS!$B$4:$D$11, MATCH("MULT_PRECIO", 02B_ESCENARIOS!$A$4:$A$11, 0), MATCH("Base", 02B_ESCENARIOS!$B$3:$D$3, 0)))*INDEX(02B_ESCENARIOS!$B$15:$D$19, MATCH(VLOOKUP(A392,04_PROYECTOS!$A:$N,9,FALSE), 02B_ESCENARIOS!$A$15:$A$19, 0), MATCH("Base", 02B_ESCENARIOS!$B$14:$D$14, 0))</f>
        <v/>
      </c>
      <c r="F392">
        <f>E392*VLOOKUP(A392,04_PROYECTOS!$A:$N,6,FALSE)</f>
        <v/>
      </c>
      <c r="G392">
        <f>E392+F392</f>
        <v/>
      </c>
      <c r="H392">
        <f>IF(VLOOKUP(A392,04_PROYECTOS!$A:$N,10,FALSE)="", IF(VLOOKUP(A392,04_PROYECTOS!$A:$N,4,FALSE)="Privado", INDEX(02B_ESCENARIOS!$B$4:$D$11, MATCH("DSO_PRIVADO_DEFAULT", 02B_ESCENARIOS!$A$4:$A$11, 0), MATCH("Base", 02B_ESCENARIOS!$B$3:$D$3, 0)), IF(VLOOKUP(A392,04_PROYECTOS!$A:$N,4,FALSE)="Publico_&lt;10M",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VLOOKUP(A392,04_PROYECTOS!$A:$N,10,FALSE))</f>
        <v/>
      </c>
      <c r="I392">
        <f>ROUNDUP(H392/30,0)</f>
        <v/>
      </c>
      <c r="J392">
        <f>EDATE(C392,I392)</f>
        <v/>
      </c>
      <c r="K392">
        <f>G392</f>
        <v/>
      </c>
    </row>
    <row r="393">
      <c r="E393">
        <f>D393*VLOOKUP(A393,04_PROYECTOS!$A:$N,5,FALSE)*(INDEX(02B_ESCENARIOS!$B$4:$D$11, MATCH("MULT_PRECIO", 02B_ESCENARIOS!$A$4:$A$11, 0), MATCH("Base", 02B_ESCENARIOS!$B$3:$D$3, 0)))*INDEX(02B_ESCENARIOS!$B$15:$D$19, MATCH(VLOOKUP(A393,04_PROYECTOS!$A:$N,9,FALSE), 02B_ESCENARIOS!$A$15:$A$19, 0), MATCH("Base", 02B_ESCENARIOS!$B$14:$D$14, 0))</f>
        <v/>
      </c>
      <c r="F393">
        <f>E393*VLOOKUP(A393,04_PROYECTOS!$A:$N,6,FALSE)</f>
        <v/>
      </c>
      <c r="G393">
        <f>E393+F393</f>
        <v/>
      </c>
      <c r="H393">
        <f>IF(VLOOKUP(A393,04_PROYECTOS!$A:$N,10,FALSE)="", IF(VLOOKUP(A393,04_PROYECTOS!$A:$N,4,FALSE)="Privado", INDEX(02B_ESCENARIOS!$B$4:$D$11, MATCH("DSO_PRIVADO_DEFAULT", 02B_ESCENARIOS!$A$4:$A$11, 0), MATCH("Base", 02B_ESCENARIOS!$B$3:$D$3, 0)), IF(VLOOKUP(A393,04_PROYECTOS!$A:$N,4,FALSE)="Publico_&lt;10M",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VLOOKUP(A393,04_PROYECTOS!$A:$N,10,FALSE))</f>
        <v/>
      </c>
      <c r="I393">
        <f>ROUNDUP(H393/30,0)</f>
        <v/>
      </c>
      <c r="J393">
        <f>EDATE(C393,I393)</f>
        <v/>
      </c>
      <c r="K393">
        <f>G393</f>
        <v/>
      </c>
    </row>
    <row r="394">
      <c r="E394">
        <f>D394*VLOOKUP(A394,04_PROYECTOS!$A:$N,5,FALSE)*(INDEX(02B_ESCENARIOS!$B$4:$D$11, MATCH("MULT_PRECIO", 02B_ESCENARIOS!$A$4:$A$11, 0), MATCH("Base", 02B_ESCENARIOS!$B$3:$D$3, 0)))*INDEX(02B_ESCENARIOS!$B$15:$D$19, MATCH(VLOOKUP(A394,04_PROYECTOS!$A:$N,9,FALSE), 02B_ESCENARIOS!$A$15:$A$19, 0), MATCH("Base", 02B_ESCENARIOS!$B$14:$D$14, 0))</f>
        <v/>
      </c>
      <c r="F394">
        <f>E394*VLOOKUP(A394,04_PROYECTOS!$A:$N,6,FALSE)</f>
        <v/>
      </c>
      <c r="G394">
        <f>E394+F394</f>
        <v/>
      </c>
      <c r="H394">
        <f>IF(VLOOKUP(A394,04_PROYECTOS!$A:$N,10,FALSE)="", IF(VLOOKUP(A394,04_PROYECTOS!$A:$N,4,FALSE)="Privado", INDEX(02B_ESCENARIOS!$B$4:$D$11, MATCH("DSO_PRIVADO_DEFAULT", 02B_ESCENARIOS!$A$4:$A$11, 0), MATCH("Base", 02B_ESCENARIOS!$B$3:$D$3, 0)), IF(VLOOKUP(A394,04_PROYECTOS!$A:$N,4,FALSE)="Publico_&lt;10M",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VLOOKUP(A394,04_PROYECTOS!$A:$N,10,FALSE))</f>
        <v/>
      </c>
      <c r="I394">
        <f>ROUNDUP(H394/30,0)</f>
        <v/>
      </c>
      <c r="J394">
        <f>EDATE(C394,I394)</f>
        <v/>
      </c>
      <c r="K394">
        <f>G394</f>
        <v/>
      </c>
    </row>
    <row r="395">
      <c r="E395">
        <f>D395*VLOOKUP(A395,04_PROYECTOS!$A:$N,5,FALSE)*(INDEX(02B_ESCENARIOS!$B$4:$D$11, MATCH("MULT_PRECIO", 02B_ESCENARIOS!$A$4:$A$11, 0), MATCH("Base", 02B_ESCENARIOS!$B$3:$D$3, 0)))*INDEX(02B_ESCENARIOS!$B$15:$D$19, MATCH(VLOOKUP(A395,04_PROYECTOS!$A:$N,9,FALSE), 02B_ESCENARIOS!$A$15:$A$19, 0), MATCH("Base", 02B_ESCENARIOS!$B$14:$D$14, 0))</f>
        <v/>
      </c>
      <c r="F395">
        <f>E395*VLOOKUP(A395,04_PROYECTOS!$A:$N,6,FALSE)</f>
        <v/>
      </c>
      <c r="G395">
        <f>E395+F395</f>
        <v/>
      </c>
      <c r="H395">
        <f>IF(VLOOKUP(A395,04_PROYECTOS!$A:$N,10,FALSE)="", IF(VLOOKUP(A395,04_PROYECTOS!$A:$N,4,FALSE)="Privado", INDEX(02B_ESCENARIOS!$B$4:$D$11, MATCH("DSO_PRIVADO_DEFAULT", 02B_ESCENARIOS!$A$4:$A$11, 0), MATCH("Base", 02B_ESCENARIOS!$B$3:$D$3, 0)), IF(VLOOKUP(A395,04_PROYECTOS!$A:$N,4,FALSE)="Publico_&lt;10M",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VLOOKUP(A395,04_PROYECTOS!$A:$N,10,FALSE))</f>
        <v/>
      </c>
      <c r="I395">
        <f>ROUNDUP(H395/30,0)</f>
        <v/>
      </c>
      <c r="J395">
        <f>EDATE(C395,I395)</f>
        <v/>
      </c>
      <c r="K395">
        <f>G395</f>
        <v/>
      </c>
    </row>
    <row r="396">
      <c r="E396">
        <f>D396*VLOOKUP(A396,04_PROYECTOS!$A:$N,5,FALSE)*(INDEX(02B_ESCENARIOS!$B$4:$D$11, MATCH("MULT_PRECIO", 02B_ESCENARIOS!$A$4:$A$11, 0), MATCH("Base", 02B_ESCENARIOS!$B$3:$D$3, 0)))*INDEX(02B_ESCENARIOS!$B$15:$D$19, MATCH(VLOOKUP(A396,04_PROYECTOS!$A:$N,9,FALSE), 02B_ESCENARIOS!$A$15:$A$19, 0), MATCH("Base", 02B_ESCENARIOS!$B$14:$D$14, 0))</f>
        <v/>
      </c>
      <c r="F396">
        <f>E396*VLOOKUP(A396,04_PROYECTOS!$A:$N,6,FALSE)</f>
        <v/>
      </c>
      <c r="G396">
        <f>E396+F396</f>
        <v/>
      </c>
      <c r="H396">
        <f>IF(VLOOKUP(A396,04_PROYECTOS!$A:$N,10,FALSE)="", IF(VLOOKUP(A396,04_PROYECTOS!$A:$N,4,FALSE)="Privado", INDEX(02B_ESCENARIOS!$B$4:$D$11, MATCH("DSO_PRIVADO_DEFAULT", 02B_ESCENARIOS!$A$4:$A$11, 0), MATCH("Base", 02B_ESCENARIOS!$B$3:$D$3, 0)), IF(VLOOKUP(A396,04_PROYECTOS!$A:$N,4,FALSE)="Publico_&lt;10M",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VLOOKUP(A396,04_PROYECTOS!$A:$N,10,FALSE))</f>
        <v/>
      </c>
      <c r="I396">
        <f>ROUNDUP(H396/30,0)</f>
        <v/>
      </c>
      <c r="J396">
        <f>EDATE(C396,I396)</f>
        <v/>
      </c>
      <c r="K396">
        <f>G396</f>
        <v/>
      </c>
    </row>
    <row r="397">
      <c r="E397">
        <f>D397*VLOOKUP(A397,04_PROYECTOS!$A:$N,5,FALSE)*(INDEX(02B_ESCENARIOS!$B$4:$D$11, MATCH("MULT_PRECIO", 02B_ESCENARIOS!$A$4:$A$11, 0), MATCH("Base", 02B_ESCENARIOS!$B$3:$D$3, 0)))*INDEX(02B_ESCENARIOS!$B$15:$D$19, MATCH(VLOOKUP(A397,04_PROYECTOS!$A:$N,9,FALSE), 02B_ESCENARIOS!$A$15:$A$19, 0), MATCH("Base", 02B_ESCENARIOS!$B$14:$D$14, 0))</f>
        <v/>
      </c>
      <c r="F397">
        <f>E397*VLOOKUP(A397,04_PROYECTOS!$A:$N,6,FALSE)</f>
        <v/>
      </c>
      <c r="G397">
        <f>E397+F397</f>
        <v/>
      </c>
      <c r="H397">
        <f>IF(VLOOKUP(A397,04_PROYECTOS!$A:$N,10,FALSE)="", IF(VLOOKUP(A397,04_PROYECTOS!$A:$N,4,FALSE)="Privado", INDEX(02B_ESCENARIOS!$B$4:$D$11, MATCH("DSO_PRIVADO_DEFAULT", 02B_ESCENARIOS!$A$4:$A$11, 0), MATCH("Base", 02B_ESCENARIOS!$B$3:$D$3, 0)), IF(VLOOKUP(A397,04_PROYECTOS!$A:$N,4,FALSE)="Publico_&lt;10M",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VLOOKUP(A397,04_PROYECTOS!$A:$N,10,FALSE))</f>
        <v/>
      </c>
      <c r="I397">
        <f>ROUNDUP(H397/30,0)</f>
        <v/>
      </c>
      <c r="J397">
        <f>EDATE(C397,I397)</f>
        <v/>
      </c>
      <c r="K397">
        <f>G397</f>
        <v/>
      </c>
    </row>
    <row r="398">
      <c r="E398">
        <f>D398*VLOOKUP(A398,04_PROYECTOS!$A:$N,5,FALSE)*(INDEX(02B_ESCENARIOS!$B$4:$D$11, MATCH("MULT_PRECIO", 02B_ESCENARIOS!$A$4:$A$11, 0), MATCH("Base", 02B_ESCENARIOS!$B$3:$D$3, 0)))*INDEX(02B_ESCENARIOS!$B$15:$D$19, MATCH(VLOOKUP(A398,04_PROYECTOS!$A:$N,9,FALSE), 02B_ESCENARIOS!$A$15:$A$19, 0), MATCH("Base", 02B_ESCENARIOS!$B$14:$D$14, 0))</f>
        <v/>
      </c>
      <c r="F398">
        <f>E398*VLOOKUP(A398,04_PROYECTOS!$A:$N,6,FALSE)</f>
        <v/>
      </c>
      <c r="G398">
        <f>E398+F398</f>
        <v/>
      </c>
      <c r="H398">
        <f>IF(VLOOKUP(A398,04_PROYECTOS!$A:$N,10,FALSE)="", IF(VLOOKUP(A398,04_PROYECTOS!$A:$N,4,FALSE)="Privado", INDEX(02B_ESCENARIOS!$B$4:$D$11, MATCH("DSO_PRIVADO_DEFAULT", 02B_ESCENARIOS!$A$4:$A$11, 0), MATCH("Base", 02B_ESCENARIOS!$B$3:$D$3, 0)), IF(VLOOKUP(A398,04_PROYECTOS!$A:$N,4,FALSE)="Publico_&lt;10M",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VLOOKUP(A398,04_PROYECTOS!$A:$N,10,FALSE))</f>
        <v/>
      </c>
      <c r="I398">
        <f>ROUNDUP(H398/30,0)</f>
        <v/>
      </c>
      <c r="J398">
        <f>EDATE(C398,I398)</f>
        <v/>
      </c>
      <c r="K398">
        <f>G398</f>
        <v/>
      </c>
    </row>
    <row r="399">
      <c r="E399">
        <f>D399*VLOOKUP(A399,04_PROYECTOS!$A:$N,5,FALSE)*(INDEX(02B_ESCENARIOS!$B$4:$D$11, MATCH("MULT_PRECIO", 02B_ESCENARIOS!$A$4:$A$11, 0), MATCH("Base", 02B_ESCENARIOS!$B$3:$D$3, 0)))*INDEX(02B_ESCENARIOS!$B$15:$D$19, MATCH(VLOOKUP(A399,04_PROYECTOS!$A:$N,9,FALSE), 02B_ESCENARIOS!$A$15:$A$19, 0), MATCH("Base", 02B_ESCENARIOS!$B$14:$D$14, 0))</f>
        <v/>
      </c>
      <c r="F399">
        <f>E399*VLOOKUP(A399,04_PROYECTOS!$A:$N,6,FALSE)</f>
        <v/>
      </c>
      <c r="G399">
        <f>E399+F399</f>
        <v/>
      </c>
      <c r="H399">
        <f>IF(VLOOKUP(A399,04_PROYECTOS!$A:$N,10,FALSE)="", IF(VLOOKUP(A399,04_PROYECTOS!$A:$N,4,FALSE)="Privado", INDEX(02B_ESCENARIOS!$B$4:$D$11, MATCH("DSO_PRIVADO_DEFAULT", 02B_ESCENARIOS!$A$4:$A$11, 0), MATCH("Base", 02B_ESCENARIOS!$B$3:$D$3, 0)), IF(VLOOKUP(A399,04_PROYECTOS!$A:$N,4,FALSE)="Publico_&lt;10M",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VLOOKUP(A399,04_PROYECTOS!$A:$N,10,FALSE))</f>
        <v/>
      </c>
      <c r="I399">
        <f>ROUNDUP(H399/30,0)</f>
        <v/>
      </c>
      <c r="J399">
        <f>EDATE(C399,I399)</f>
        <v/>
      </c>
      <c r="K399">
        <f>G399</f>
        <v/>
      </c>
    </row>
    <row r="400">
      <c r="E400">
        <f>D400*VLOOKUP(A400,04_PROYECTOS!$A:$N,5,FALSE)*(INDEX(02B_ESCENARIOS!$B$4:$D$11, MATCH("MULT_PRECIO", 02B_ESCENARIOS!$A$4:$A$11, 0), MATCH("Base", 02B_ESCENARIOS!$B$3:$D$3, 0)))*INDEX(02B_ESCENARIOS!$B$15:$D$19, MATCH(VLOOKUP(A400,04_PROYECTOS!$A:$N,9,FALSE), 02B_ESCENARIOS!$A$15:$A$19, 0), MATCH("Base", 02B_ESCENARIOS!$B$14:$D$14, 0))</f>
        <v/>
      </c>
      <c r="F400">
        <f>E400*VLOOKUP(A400,04_PROYECTOS!$A:$N,6,FALSE)</f>
        <v/>
      </c>
      <c r="G400">
        <f>E400+F400</f>
        <v/>
      </c>
      <c r="H400">
        <f>IF(VLOOKUP(A400,04_PROYECTOS!$A:$N,10,FALSE)="", IF(VLOOKUP(A400,04_PROYECTOS!$A:$N,4,FALSE)="Privado", INDEX(02B_ESCENARIOS!$B$4:$D$11, MATCH("DSO_PRIVADO_DEFAULT", 02B_ESCENARIOS!$A$4:$A$11, 0), MATCH("Base", 02B_ESCENARIOS!$B$3:$D$3, 0)), IF(VLOOKUP(A400,04_PROYECTOS!$A:$N,4,FALSE)="Publico_&lt;10M",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VLOOKUP(A400,04_PROYECTOS!$A:$N,10,FALSE))</f>
        <v/>
      </c>
      <c r="I400">
        <f>ROUNDUP(H400/30,0)</f>
        <v/>
      </c>
      <c r="J400">
        <f>EDATE(C400,I400)</f>
        <v/>
      </c>
      <c r="K400">
        <f>G400</f>
        <v/>
      </c>
    </row>
    <row r="401">
      <c r="E401">
        <f>D401*VLOOKUP(A401,04_PROYECTOS!$A:$N,5,FALSE)*(INDEX(02B_ESCENARIOS!$B$4:$D$11, MATCH("MULT_PRECIO", 02B_ESCENARIOS!$A$4:$A$11, 0), MATCH("Base", 02B_ESCENARIOS!$B$3:$D$3, 0)))*INDEX(02B_ESCENARIOS!$B$15:$D$19, MATCH(VLOOKUP(A401,04_PROYECTOS!$A:$N,9,FALSE), 02B_ESCENARIOS!$A$15:$A$19, 0), MATCH("Base", 02B_ESCENARIOS!$B$14:$D$14, 0))</f>
        <v/>
      </c>
      <c r="F401">
        <f>E401*VLOOKUP(A401,04_PROYECTOS!$A:$N,6,FALSE)</f>
        <v/>
      </c>
      <c r="G401">
        <f>E401+F401</f>
        <v/>
      </c>
      <c r="H401">
        <f>IF(VLOOKUP(A401,04_PROYECTOS!$A:$N,10,FALSE)="", IF(VLOOKUP(A401,04_PROYECTOS!$A:$N,4,FALSE)="Privado", INDEX(02B_ESCENARIOS!$B$4:$D$11, MATCH("DSO_PRIVADO_DEFAULT", 02B_ESCENARIOS!$A$4:$A$11, 0), MATCH("Base", 02B_ESCENARIOS!$B$3:$D$3, 0)), IF(VLOOKUP(A401,04_PROYECTOS!$A:$N,4,FALSE)="Publico_&lt;10M",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VLOOKUP(A401,04_PROYECTOS!$A:$N,10,FALSE))</f>
        <v/>
      </c>
      <c r="I401">
        <f>ROUNDUP(H401/30,0)</f>
        <v/>
      </c>
      <c r="J401">
        <f>EDATE(C401,I401)</f>
        <v/>
      </c>
      <c r="K401">
        <f>G401</f>
        <v/>
      </c>
    </row>
    <row r="402">
      <c r="E402">
        <f>D402*VLOOKUP(A402,04_PROYECTOS!$A:$N,5,FALSE)*(INDEX(02B_ESCENARIOS!$B$4:$D$11, MATCH("MULT_PRECIO", 02B_ESCENARIOS!$A$4:$A$11, 0), MATCH("Base", 02B_ESCENARIOS!$B$3:$D$3, 0)))*INDEX(02B_ESCENARIOS!$B$15:$D$19, MATCH(VLOOKUP(A402,04_PROYECTOS!$A:$N,9,FALSE), 02B_ESCENARIOS!$A$15:$A$19, 0), MATCH("Base", 02B_ESCENARIOS!$B$14:$D$14, 0))</f>
        <v/>
      </c>
      <c r="F402">
        <f>E402*VLOOKUP(A402,04_PROYECTOS!$A:$N,6,FALSE)</f>
        <v/>
      </c>
      <c r="G402">
        <f>E402+F402</f>
        <v/>
      </c>
      <c r="H402">
        <f>IF(VLOOKUP(A402,04_PROYECTOS!$A:$N,10,FALSE)="", IF(VLOOKUP(A402,04_PROYECTOS!$A:$N,4,FALSE)="Privado", INDEX(02B_ESCENARIOS!$B$4:$D$11, MATCH("DSO_PRIVADO_DEFAULT", 02B_ESCENARIOS!$A$4:$A$11, 0), MATCH("Base", 02B_ESCENARIOS!$B$3:$D$3, 0)), IF(VLOOKUP(A402,04_PROYECTOS!$A:$N,4,FALSE)="Publico_&lt;10M",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VLOOKUP(A402,04_PROYECTOS!$A:$N,10,FALSE))</f>
        <v/>
      </c>
      <c r="I402">
        <f>ROUNDUP(H402/30,0)</f>
        <v/>
      </c>
      <c r="J402">
        <f>EDATE(C402,I402)</f>
        <v/>
      </c>
      <c r="K402">
        <f>G402</f>
        <v/>
      </c>
    </row>
    <row r="403">
      <c r="E403">
        <f>D403*VLOOKUP(A403,04_PROYECTOS!$A:$N,5,FALSE)*(INDEX(02B_ESCENARIOS!$B$4:$D$11, MATCH("MULT_PRECIO", 02B_ESCENARIOS!$A$4:$A$11, 0), MATCH("Base", 02B_ESCENARIOS!$B$3:$D$3, 0)))*INDEX(02B_ESCENARIOS!$B$15:$D$19, MATCH(VLOOKUP(A403,04_PROYECTOS!$A:$N,9,FALSE), 02B_ESCENARIOS!$A$15:$A$19, 0), MATCH("Base", 02B_ESCENARIOS!$B$14:$D$14, 0))</f>
        <v/>
      </c>
      <c r="F403">
        <f>E403*VLOOKUP(A403,04_PROYECTOS!$A:$N,6,FALSE)</f>
        <v/>
      </c>
      <c r="G403">
        <f>E403+F403</f>
        <v/>
      </c>
      <c r="H403">
        <f>IF(VLOOKUP(A403,04_PROYECTOS!$A:$N,10,FALSE)="", IF(VLOOKUP(A403,04_PROYECTOS!$A:$N,4,FALSE)="Privado", INDEX(02B_ESCENARIOS!$B$4:$D$11, MATCH("DSO_PRIVADO_DEFAULT", 02B_ESCENARIOS!$A$4:$A$11, 0), MATCH("Base", 02B_ESCENARIOS!$B$3:$D$3, 0)), IF(VLOOKUP(A403,04_PROYECTOS!$A:$N,4,FALSE)="Publico_&lt;10M",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VLOOKUP(A403,04_PROYECTOS!$A:$N,10,FALSE))</f>
        <v/>
      </c>
      <c r="I403">
        <f>ROUNDUP(H403/30,0)</f>
        <v/>
      </c>
      <c r="J403">
        <f>EDATE(C403,I403)</f>
        <v/>
      </c>
      <c r="K403">
        <f>G403</f>
        <v/>
      </c>
    </row>
    <row r="404">
      <c r="E404">
        <f>D404*VLOOKUP(A404,04_PROYECTOS!$A:$N,5,FALSE)*(INDEX(02B_ESCENARIOS!$B$4:$D$11, MATCH("MULT_PRECIO", 02B_ESCENARIOS!$A$4:$A$11, 0), MATCH("Base", 02B_ESCENARIOS!$B$3:$D$3, 0)))*INDEX(02B_ESCENARIOS!$B$15:$D$19, MATCH(VLOOKUP(A404,04_PROYECTOS!$A:$N,9,FALSE), 02B_ESCENARIOS!$A$15:$A$19, 0), MATCH("Base", 02B_ESCENARIOS!$B$14:$D$14, 0))</f>
        <v/>
      </c>
      <c r="F404">
        <f>E404*VLOOKUP(A404,04_PROYECTOS!$A:$N,6,FALSE)</f>
        <v/>
      </c>
      <c r="G404">
        <f>E404+F404</f>
        <v/>
      </c>
      <c r="H404">
        <f>IF(VLOOKUP(A404,04_PROYECTOS!$A:$N,10,FALSE)="", IF(VLOOKUP(A404,04_PROYECTOS!$A:$N,4,FALSE)="Privado", INDEX(02B_ESCENARIOS!$B$4:$D$11, MATCH("DSO_PRIVADO_DEFAULT", 02B_ESCENARIOS!$A$4:$A$11, 0), MATCH("Base", 02B_ESCENARIOS!$B$3:$D$3, 0)), IF(VLOOKUP(A404,04_PROYECTOS!$A:$N,4,FALSE)="Publico_&lt;10M",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VLOOKUP(A404,04_PROYECTOS!$A:$N,10,FALSE))</f>
        <v/>
      </c>
      <c r="I404">
        <f>ROUNDUP(H404/30,0)</f>
        <v/>
      </c>
      <c r="J404">
        <f>EDATE(C404,I404)</f>
        <v/>
      </c>
      <c r="K404">
        <f>G404</f>
        <v/>
      </c>
    </row>
    <row r="405">
      <c r="E405">
        <f>D405*VLOOKUP(A405,04_PROYECTOS!$A:$N,5,FALSE)*(INDEX(02B_ESCENARIOS!$B$4:$D$11, MATCH("MULT_PRECIO", 02B_ESCENARIOS!$A$4:$A$11, 0), MATCH("Base", 02B_ESCENARIOS!$B$3:$D$3, 0)))*INDEX(02B_ESCENARIOS!$B$15:$D$19, MATCH(VLOOKUP(A405,04_PROYECTOS!$A:$N,9,FALSE), 02B_ESCENARIOS!$A$15:$A$19, 0), MATCH("Base", 02B_ESCENARIOS!$B$14:$D$14, 0))</f>
        <v/>
      </c>
      <c r="F405">
        <f>E405*VLOOKUP(A405,04_PROYECTOS!$A:$N,6,FALSE)</f>
        <v/>
      </c>
      <c r="G405">
        <f>E405+F405</f>
        <v/>
      </c>
      <c r="H405">
        <f>IF(VLOOKUP(A405,04_PROYECTOS!$A:$N,10,FALSE)="", IF(VLOOKUP(A405,04_PROYECTOS!$A:$N,4,FALSE)="Privado", INDEX(02B_ESCENARIOS!$B$4:$D$11, MATCH("DSO_PRIVADO_DEFAULT", 02B_ESCENARIOS!$A$4:$A$11, 0), MATCH("Base", 02B_ESCENARIOS!$B$3:$D$3, 0)), IF(VLOOKUP(A405,04_PROYECTOS!$A:$N,4,FALSE)="Publico_&lt;10M",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VLOOKUP(A405,04_PROYECTOS!$A:$N,10,FALSE))</f>
        <v/>
      </c>
      <c r="I405">
        <f>ROUNDUP(H405/30,0)</f>
        <v/>
      </c>
      <c r="J405">
        <f>EDATE(C405,I405)</f>
        <v/>
      </c>
      <c r="K405">
        <f>G405</f>
        <v/>
      </c>
    </row>
    <row r="406">
      <c r="E406">
        <f>D406*VLOOKUP(A406,04_PROYECTOS!$A:$N,5,FALSE)*(INDEX(02B_ESCENARIOS!$B$4:$D$11, MATCH("MULT_PRECIO", 02B_ESCENARIOS!$A$4:$A$11, 0), MATCH("Base", 02B_ESCENARIOS!$B$3:$D$3, 0)))*INDEX(02B_ESCENARIOS!$B$15:$D$19, MATCH(VLOOKUP(A406,04_PROYECTOS!$A:$N,9,FALSE), 02B_ESCENARIOS!$A$15:$A$19, 0), MATCH("Base", 02B_ESCENARIOS!$B$14:$D$14, 0))</f>
        <v/>
      </c>
      <c r="F406">
        <f>E406*VLOOKUP(A406,04_PROYECTOS!$A:$N,6,FALSE)</f>
        <v/>
      </c>
      <c r="G406">
        <f>E406+F406</f>
        <v/>
      </c>
      <c r="H406">
        <f>IF(VLOOKUP(A406,04_PROYECTOS!$A:$N,10,FALSE)="", IF(VLOOKUP(A406,04_PROYECTOS!$A:$N,4,FALSE)="Privado", INDEX(02B_ESCENARIOS!$B$4:$D$11, MATCH("DSO_PRIVADO_DEFAULT", 02B_ESCENARIOS!$A$4:$A$11, 0), MATCH("Base", 02B_ESCENARIOS!$B$3:$D$3, 0)), IF(VLOOKUP(A406,04_PROYECTOS!$A:$N,4,FALSE)="Publico_&lt;10M",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VLOOKUP(A406,04_PROYECTOS!$A:$N,10,FALSE))</f>
        <v/>
      </c>
      <c r="I406">
        <f>ROUNDUP(H406/30,0)</f>
        <v/>
      </c>
      <c r="J406">
        <f>EDATE(C406,I406)</f>
        <v/>
      </c>
      <c r="K406">
        <f>G406</f>
        <v/>
      </c>
    </row>
    <row r="407">
      <c r="E407">
        <f>D407*VLOOKUP(A407,04_PROYECTOS!$A:$N,5,FALSE)*(INDEX(02B_ESCENARIOS!$B$4:$D$11, MATCH("MULT_PRECIO", 02B_ESCENARIOS!$A$4:$A$11, 0), MATCH("Base", 02B_ESCENARIOS!$B$3:$D$3, 0)))*INDEX(02B_ESCENARIOS!$B$15:$D$19, MATCH(VLOOKUP(A407,04_PROYECTOS!$A:$N,9,FALSE), 02B_ESCENARIOS!$A$15:$A$19, 0), MATCH("Base", 02B_ESCENARIOS!$B$14:$D$14, 0))</f>
        <v/>
      </c>
      <c r="F407">
        <f>E407*VLOOKUP(A407,04_PROYECTOS!$A:$N,6,FALSE)</f>
        <v/>
      </c>
      <c r="G407">
        <f>E407+F407</f>
        <v/>
      </c>
      <c r="H407">
        <f>IF(VLOOKUP(A407,04_PROYECTOS!$A:$N,10,FALSE)="", IF(VLOOKUP(A407,04_PROYECTOS!$A:$N,4,FALSE)="Privado", INDEX(02B_ESCENARIOS!$B$4:$D$11, MATCH("DSO_PRIVADO_DEFAULT", 02B_ESCENARIOS!$A$4:$A$11, 0), MATCH("Base", 02B_ESCENARIOS!$B$3:$D$3, 0)), IF(VLOOKUP(A407,04_PROYECTOS!$A:$N,4,FALSE)="Publico_&lt;10M",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VLOOKUP(A407,04_PROYECTOS!$A:$N,10,FALSE))</f>
        <v/>
      </c>
      <c r="I407">
        <f>ROUNDUP(H407/30,0)</f>
        <v/>
      </c>
      <c r="J407">
        <f>EDATE(C407,I407)</f>
        <v/>
      </c>
      <c r="K407">
        <f>G407</f>
        <v/>
      </c>
    </row>
    <row r="408">
      <c r="E408">
        <f>D408*VLOOKUP(A408,04_PROYECTOS!$A:$N,5,FALSE)*(INDEX(02B_ESCENARIOS!$B$4:$D$11, MATCH("MULT_PRECIO", 02B_ESCENARIOS!$A$4:$A$11, 0), MATCH("Base", 02B_ESCENARIOS!$B$3:$D$3, 0)))*INDEX(02B_ESCENARIOS!$B$15:$D$19, MATCH(VLOOKUP(A408,04_PROYECTOS!$A:$N,9,FALSE), 02B_ESCENARIOS!$A$15:$A$19, 0), MATCH("Base", 02B_ESCENARIOS!$B$14:$D$14, 0))</f>
        <v/>
      </c>
      <c r="F408">
        <f>E408*VLOOKUP(A408,04_PROYECTOS!$A:$N,6,FALSE)</f>
        <v/>
      </c>
      <c r="G408">
        <f>E408+F408</f>
        <v/>
      </c>
      <c r="H408">
        <f>IF(VLOOKUP(A408,04_PROYECTOS!$A:$N,10,FALSE)="", IF(VLOOKUP(A408,04_PROYECTOS!$A:$N,4,FALSE)="Privado", INDEX(02B_ESCENARIOS!$B$4:$D$11, MATCH("DSO_PRIVADO_DEFAULT", 02B_ESCENARIOS!$A$4:$A$11, 0), MATCH("Base", 02B_ESCENARIOS!$B$3:$D$3, 0)), IF(VLOOKUP(A408,04_PROYECTOS!$A:$N,4,FALSE)="Publico_&lt;10M",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VLOOKUP(A408,04_PROYECTOS!$A:$N,10,FALSE))</f>
        <v/>
      </c>
      <c r="I408">
        <f>ROUNDUP(H408/30,0)</f>
        <v/>
      </c>
      <c r="J408">
        <f>EDATE(C408,I408)</f>
        <v/>
      </c>
      <c r="K408">
        <f>G408</f>
        <v/>
      </c>
    </row>
    <row r="409">
      <c r="E409">
        <f>D409*VLOOKUP(A409,04_PROYECTOS!$A:$N,5,FALSE)*(INDEX(02B_ESCENARIOS!$B$4:$D$11, MATCH("MULT_PRECIO", 02B_ESCENARIOS!$A$4:$A$11, 0), MATCH("Base", 02B_ESCENARIOS!$B$3:$D$3, 0)))*INDEX(02B_ESCENARIOS!$B$15:$D$19, MATCH(VLOOKUP(A409,04_PROYECTOS!$A:$N,9,FALSE), 02B_ESCENARIOS!$A$15:$A$19, 0), MATCH("Base", 02B_ESCENARIOS!$B$14:$D$14, 0))</f>
        <v/>
      </c>
      <c r="F409">
        <f>E409*VLOOKUP(A409,04_PROYECTOS!$A:$N,6,FALSE)</f>
        <v/>
      </c>
      <c r="G409">
        <f>E409+F409</f>
        <v/>
      </c>
      <c r="H409">
        <f>IF(VLOOKUP(A409,04_PROYECTOS!$A:$N,10,FALSE)="", IF(VLOOKUP(A409,04_PROYECTOS!$A:$N,4,FALSE)="Privado", INDEX(02B_ESCENARIOS!$B$4:$D$11, MATCH("DSO_PRIVADO_DEFAULT", 02B_ESCENARIOS!$A$4:$A$11, 0), MATCH("Base", 02B_ESCENARIOS!$B$3:$D$3, 0)), IF(VLOOKUP(A409,04_PROYECTOS!$A:$N,4,FALSE)="Publico_&lt;10M",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VLOOKUP(A409,04_PROYECTOS!$A:$N,10,FALSE))</f>
        <v/>
      </c>
      <c r="I409">
        <f>ROUNDUP(H409/30,0)</f>
        <v/>
      </c>
      <c r="J409">
        <f>EDATE(C409,I409)</f>
        <v/>
      </c>
      <c r="K409">
        <f>G409</f>
        <v/>
      </c>
    </row>
    <row r="410">
      <c r="E410">
        <f>D410*VLOOKUP(A410,04_PROYECTOS!$A:$N,5,FALSE)*(INDEX(02B_ESCENARIOS!$B$4:$D$11, MATCH("MULT_PRECIO", 02B_ESCENARIOS!$A$4:$A$11, 0), MATCH("Base", 02B_ESCENARIOS!$B$3:$D$3, 0)))*INDEX(02B_ESCENARIOS!$B$15:$D$19, MATCH(VLOOKUP(A410,04_PROYECTOS!$A:$N,9,FALSE), 02B_ESCENARIOS!$A$15:$A$19, 0), MATCH("Base", 02B_ESCENARIOS!$B$14:$D$14, 0))</f>
        <v/>
      </c>
      <c r="F410">
        <f>E410*VLOOKUP(A410,04_PROYECTOS!$A:$N,6,FALSE)</f>
        <v/>
      </c>
      <c r="G410">
        <f>E410+F410</f>
        <v/>
      </c>
      <c r="H410">
        <f>IF(VLOOKUP(A410,04_PROYECTOS!$A:$N,10,FALSE)="", IF(VLOOKUP(A410,04_PROYECTOS!$A:$N,4,FALSE)="Privado", INDEX(02B_ESCENARIOS!$B$4:$D$11, MATCH("DSO_PRIVADO_DEFAULT", 02B_ESCENARIOS!$A$4:$A$11, 0), MATCH("Base", 02B_ESCENARIOS!$B$3:$D$3, 0)), IF(VLOOKUP(A410,04_PROYECTOS!$A:$N,4,FALSE)="Publico_&lt;10M",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VLOOKUP(A410,04_PROYECTOS!$A:$N,10,FALSE))</f>
        <v/>
      </c>
      <c r="I410">
        <f>ROUNDUP(H410/30,0)</f>
        <v/>
      </c>
      <c r="J410">
        <f>EDATE(C410,I410)</f>
        <v/>
      </c>
      <c r="K410">
        <f>G410</f>
        <v/>
      </c>
    </row>
    <row r="411">
      <c r="E411">
        <f>D411*VLOOKUP(A411,04_PROYECTOS!$A:$N,5,FALSE)*(INDEX(02B_ESCENARIOS!$B$4:$D$11, MATCH("MULT_PRECIO", 02B_ESCENARIOS!$A$4:$A$11, 0), MATCH("Base", 02B_ESCENARIOS!$B$3:$D$3, 0)))*INDEX(02B_ESCENARIOS!$B$15:$D$19, MATCH(VLOOKUP(A411,04_PROYECTOS!$A:$N,9,FALSE), 02B_ESCENARIOS!$A$15:$A$19, 0), MATCH("Base", 02B_ESCENARIOS!$B$14:$D$14, 0))</f>
        <v/>
      </c>
      <c r="F411">
        <f>E411*VLOOKUP(A411,04_PROYECTOS!$A:$N,6,FALSE)</f>
        <v/>
      </c>
      <c r="G411">
        <f>E411+F411</f>
        <v/>
      </c>
      <c r="H411">
        <f>IF(VLOOKUP(A411,04_PROYECTOS!$A:$N,10,FALSE)="", IF(VLOOKUP(A411,04_PROYECTOS!$A:$N,4,FALSE)="Privado", INDEX(02B_ESCENARIOS!$B$4:$D$11, MATCH("DSO_PRIVADO_DEFAULT", 02B_ESCENARIOS!$A$4:$A$11, 0), MATCH("Base", 02B_ESCENARIOS!$B$3:$D$3, 0)), IF(VLOOKUP(A411,04_PROYECTOS!$A:$N,4,FALSE)="Publico_&lt;10M",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VLOOKUP(A411,04_PROYECTOS!$A:$N,10,FALSE))</f>
        <v/>
      </c>
      <c r="I411">
        <f>ROUNDUP(H411/30,0)</f>
        <v/>
      </c>
      <c r="J411">
        <f>EDATE(C411,I411)</f>
        <v/>
      </c>
      <c r="K411">
        <f>G411</f>
        <v/>
      </c>
    </row>
    <row r="412">
      <c r="E412">
        <f>D412*VLOOKUP(A412,04_PROYECTOS!$A:$N,5,FALSE)*(INDEX(02B_ESCENARIOS!$B$4:$D$11, MATCH("MULT_PRECIO", 02B_ESCENARIOS!$A$4:$A$11, 0), MATCH("Base", 02B_ESCENARIOS!$B$3:$D$3, 0)))*INDEX(02B_ESCENARIOS!$B$15:$D$19, MATCH(VLOOKUP(A412,04_PROYECTOS!$A:$N,9,FALSE), 02B_ESCENARIOS!$A$15:$A$19, 0), MATCH("Base", 02B_ESCENARIOS!$B$14:$D$14, 0))</f>
        <v/>
      </c>
      <c r="F412">
        <f>E412*VLOOKUP(A412,04_PROYECTOS!$A:$N,6,FALSE)</f>
        <v/>
      </c>
      <c r="G412">
        <f>E412+F412</f>
        <v/>
      </c>
      <c r="H412">
        <f>IF(VLOOKUP(A412,04_PROYECTOS!$A:$N,10,FALSE)="", IF(VLOOKUP(A412,04_PROYECTOS!$A:$N,4,FALSE)="Privado", INDEX(02B_ESCENARIOS!$B$4:$D$11, MATCH("DSO_PRIVADO_DEFAULT", 02B_ESCENARIOS!$A$4:$A$11, 0), MATCH("Base", 02B_ESCENARIOS!$B$3:$D$3, 0)), IF(VLOOKUP(A412,04_PROYECTOS!$A:$N,4,FALSE)="Publico_&lt;10M",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VLOOKUP(A412,04_PROYECTOS!$A:$N,10,FALSE))</f>
        <v/>
      </c>
      <c r="I412">
        <f>ROUNDUP(H412/30,0)</f>
        <v/>
      </c>
      <c r="J412">
        <f>EDATE(C412,I412)</f>
        <v/>
      </c>
      <c r="K412">
        <f>G412</f>
        <v/>
      </c>
    </row>
    <row r="413">
      <c r="E413">
        <f>D413*VLOOKUP(A413,04_PROYECTOS!$A:$N,5,FALSE)*(INDEX(02B_ESCENARIOS!$B$4:$D$11, MATCH("MULT_PRECIO", 02B_ESCENARIOS!$A$4:$A$11, 0), MATCH("Base", 02B_ESCENARIOS!$B$3:$D$3, 0)))*INDEX(02B_ESCENARIOS!$B$15:$D$19, MATCH(VLOOKUP(A413,04_PROYECTOS!$A:$N,9,FALSE), 02B_ESCENARIOS!$A$15:$A$19, 0), MATCH("Base", 02B_ESCENARIOS!$B$14:$D$14, 0))</f>
        <v/>
      </c>
      <c r="F413">
        <f>E413*VLOOKUP(A413,04_PROYECTOS!$A:$N,6,FALSE)</f>
        <v/>
      </c>
      <c r="G413">
        <f>E413+F413</f>
        <v/>
      </c>
      <c r="H413">
        <f>IF(VLOOKUP(A413,04_PROYECTOS!$A:$N,10,FALSE)="", IF(VLOOKUP(A413,04_PROYECTOS!$A:$N,4,FALSE)="Privado", INDEX(02B_ESCENARIOS!$B$4:$D$11, MATCH("DSO_PRIVADO_DEFAULT", 02B_ESCENARIOS!$A$4:$A$11, 0), MATCH("Base", 02B_ESCENARIOS!$B$3:$D$3, 0)), IF(VLOOKUP(A413,04_PROYECTOS!$A:$N,4,FALSE)="Publico_&lt;10M",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VLOOKUP(A413,04_PROYECTOS!$A:$N,10,FALSE))</f>
        <v/>
      </c>
      <c r="I413">
        <f>ROUNDUP(H413/30,0)</f>
        <v/>
      </c>
      <c r="J413">
        <f>EDATE(C413,I413)</f>
        <v/>
      </c>
      <c r="K413">
        <f>G413</f>
        <v/>
      </c>
    </row>
    <row r="414">
      <c r="E414">
        <f>D414*VLOOKUP(A414,04_PROYECTOS!$A:$N,5,FALSE)*(INDEX(02B_ESCENARIOS!$B$4:$D$11, MATCH("MULT_PRECIO", 02B_ESCENARIOS!$A$4:$A$11, 0), MATCH("Base", 02B_ESCENARIOS!$B$3:$D$3, 0)))*INDEX(02B_ESCENARIOS!$B$15:$D$19, MATCH(VLOOKUP(A414,04_PROYECTOS!$A:$N,9,FALSE), 02B_ESCENARIOS!$A$15:$A$19, 0), MATCH("Base", 02B_ESCENARIOS!$B$14:$D$14, 0))</f>
        <v/>
      </c>
      <c r="F414">
        <f>E414*VLOOKUP(A414,04_PROYECTOS!$A:$N,6,FALSE)</f>
        <v/>
      </c>
      <c r="G414">
        <f>E414+F414</f>
        <v/>
      </c>
      <c r="H414">
        <f>IF(VLOOKUP(A414,04_PROYECTOS!$A:$N,10,FALSE)="", IF(VLOOKUP(A414,04_PROYECTOS!$A:$N,4,FALSE)="Privado", INDEX(02B_ESCENARIOS!$B$4:$D$11, MATCH("DSO_PRIVADO_DEFAULT", 02B_ESCENARIOS!$A$4:$A$11, 0), MATCH("Base", 02B_ESCENARIOS!$B$3:$D$3, 0)), IF(VLOOKUP(A414,04_PROYECTOS!$A:$N,4,FALSE)="Publico_&lt;10M",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VLOOKUP(A414,04_PROYECTOS!$A:$N,10,FALSE))</f>
        <v/>
      </c>
      <c r="I414">
        <f>ROUNDUP(H414/30,0)</f>
        <v/>
      </c>
      <c r="J414">
        <f>EDATE(C414,I414)</f>
        <v/>
      </c>
      <c r="K414">
        <f>G414</f>
        <v/>
      </c>
    </row>
    <row r="415">
      <c r="E415">
        <f>D415*VLOOKUP(A415,04_PROYECTOS!$A:$N,5,FALSE)*(INDEX(02B_ESCENARIOS!$B$4:$D$11, MATCH("MULT_PRECIO", 02B_ESCENARIOS!$A$4:$A$11, 0), MATCH("Base", 02B_ESCENARIOS!$B$3:$D$3, 0)))*INDEX(02B_ESCENARIOS!$B$15:$D$19, MATCH(VLOOKUP(A415,04_PROYECTOS!$A:$N,9,FALSE), 02B_ESCENARIOS!$A$15:$A$19, 0), MATCH("Base", 02B_ESCENARIOS!$B$14:$D$14, 0))</f>
        <v/>
      </c>
      <c r="F415">
        <f>E415*VLOOKUP(A415,04_PROYECTOS!$A:$N,6,FALSE)</f>
        <v/>
      </c>
      <c r="G415">
        <f>E415+F415</f>
        <v/>
      </c>
      <c r="H415">
        <f>IF(VLOOKUP(A415,04_PROYECTOS!$A:$N,10,FALSE)="", IF(VLOOKUP(A415,04_PROYECTOS!$A:$N,4,FALSE)="Privado", INDEX(02B_ESCENARIOS!$B$4:$D$11, MATCH("DSO_PRIVADO_DEFAULT", 02B_ESCENARIOS!$A$4:$A$11, 0), MATCH("Base", 02B_ESCENARIOS!$B$3:$D$3, 0)), IF(VLOOKUP(A415,04_PROYECTOS!$A:$N,4,FALSE)="Publico_&lt;10M",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VLOOKUP(A415,04_PROYECTOS!$A:$N,10,FALSE))</f>
        <v/>
      </c>
      <c r="I415">
        <f>ROUNDUP(H415/30,0)</f>
        <v/>
      </c>
      <c r="J415">
        <f>EDATE(C415,I415)</f>
        <v/>
      </c>
      <c r="K415">
        <f>G415</f>
        <v/>
      </c>
    </row>
    <row r="416">
      <c r="E416">
        <f>D416*VLOOKUP(A416,04_PROYECTOS!$A:$N,5,FALSE)*(INDEX(02B_ESCENARIOS!$B$4:$D$11, MATCH("MULT_PRECIO", 02B_ESCENARIOS!$A$4:$A$11, 0), MATCH("Base", 02B_ESCENARIOS!$B$3:$D$3, 0)))*INDEX(02B_ESCENARIOS!$B$15:$D$19, MATCH(VLOOKUP(A416,04_PROYECTOS!$A:$N,9,FALSE), 02B_ESCENARIOS!$A$15:$A$19, 0), MATCH("Base", 02B_ESCENARIOS!$B$14:$D$14, 0))</f>
        <v/>
      </c>
      <c r="F416">
        <f>E416*VLOOKUP(A416,04_PROYECTOS!$A:$N,6,FALSE)</f>
        <v/>
      </c>
      <c r="G416">
        <f>E416+F416</f>
        <v/>
      </c>
      <c r="H416">
        <f>IF(VLOOKUP(A416,04_PROYECTOS!$A:$N,10,FALSE)="", IF(VLOOKUP(A416,04_PROYECTOS!$A:$N,4,FALSE)="Privado", INDEX(02B_ESCENARIOS!$B$4:$D$11, MATCH("DSO_PRIVADO_DEFAULT", 02B_ESCENARIOS!$A$4:$A$11, 0), MATCH("Base", 02B_ESCENARIOS!$B$3:$D$3, 0)), IF(VLOOKUP(A416,04_PROYECTOS!$A:$N,4,FALSE)="Publico_&lt;10M",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VLOOKUP(A416,04_PROYECTOS!$A:$N,10,FALSE))</f>
        <v/>
      </c>
      <c r="I416">
        <f>ROUNDUP(H416/30,0)</f>
        <v/>
      </c>
      <c r="J416">
        <f>EDATE(C416,I416)</f>
        <v/>
      </c>
      <c r="K416">
        <f>G416</f>
        <v/>
      </c>
    </row>
    <row r="417">
      <c r="E417">
        <f>D417*VLOOKUP(A417,04_PROYECTOS!$A:$N,5,FALSE)*(INDEX(02B_ESCENARIOS!$B$4:$D$11, MATCH("MULT_PRECIO", 02B_ESCENARIOS!$A$4:$A$11, 0), MATCH("Base", 02B_ESCENARIOS!$B$3:$D$3, 0)))*INDEX(02B_ESCENARIOS!$B$15:$D$19, MATCH(VLOOKUP(A417,04_PROYECTOS!$A:$N,9,FALSE), 02B_ESCENARIOS!$A$15:$A$19, 0), MATCH("Base", 02B_ESCENARIOS!$B$14:$D$14, 0))</f>
        <v/>
      </c>
      <c r="F417">
        <f>E417*VLOOKUP(A417,04_PROYECTOS!$A:$N,6,FALSE)</f>
        <v/>
      </c>
      <c r="G417">
        <f>E417+F417</f>
        <v/>
      </c>
      <c r="H417">
        <f>IF(VLOOKUP(A417,04_PROYECTOS!$A:$N,10,FALSE)="", IF(VLOOKUP(A417,04_PROYECTOS!$A:$N,4,FALSE)="Privado", INDEX(02B_ESCENARIOS!$B$4:$D$11, MATCH("DSO_PRIVADO_DEFAULT", 02B_ESCENARIOS!$A$4:$A$11, 0), MATCH("Base", 02B_ESCENARIOS!$B$3:$D$3, 0)), IF(VLOOKUP(A417,04_PROYECTOS!$A:$N,4,FALSE)="Publico_&lt;10M",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VLOOKUP(A417,04_PROYECTOS!$A:$N,10,FALSE))</f>
        <v/>
      </c>
      <c r="I417">
        <f>ROUNDUP(H417/30,0)</f>
        <v/>
      </c>
      <c r="J417">
        <f>EDATE(C417,I417)</f>
        <v/>
      </c>
      <c r="K417">
        <f>G417</f>
        <v/>
      </c>
    </row>
    <row r="418">
      <c r="E418">
        <f>D418*VLOOKUP(A418,04_PROYECTOS!$A:$N,5,FALSE)*(INDEX(02B_ESCENARIOS!$B$4:$D$11, MATCH("MULT_PRECIO", 02B_ESCENARIOS!$A$4:$A$11, 0), MATCH("Base", 02B_ESCENARIOS!$B$3:$D$3, 0)))*INDEX(02B_ESCENARIOS!$B$15:$D$19, MATCH(VLOOKUP(A418,04_PROYECTOS!$A:$N,9,FALSE), 02B_ESCENARIOS!$A$15:$A$19, 0), MATCH("Base", 02B_ESCENARIOS!$B$14:$D$14, 0))</f>
        <v/>
      </c>
      <c r="F418">
        <f>E418*VLOOKUP(A418,04_PROYECTOS!$A:$N,6,FALSE)</f>
        <v/>
      </c>
      <c r="G418">
        <f>E418+F418</f>
        <v/>
      </c>
      <c r="H418">
        <f>IF(VLOOKUP(A418,04_PROYECTOS!$A:$N,10,FALSE)="", IF(VLOOKUP(A418,04_PROYECTOS!$A:$N,4,FALSE)="Privado", INDEX(02B_ESCENARIOS!$B$4:$D$11, MATCH("DSO_PRIVADO_DEFAULT", 02B_ESCENARIOS!$A$4:$A$11, 0), MATCH("Base", 02B_ESCENARIOS!$B$3:$D$3, 0)), IF(VLOOKUP(A418,04_PROYECTOS!$A:$N,4,FALSE)="Publico_&lt;10M",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VLOOKUP(A418,04_PROYECTOS!$A:$N,10,FALSE))</f>
        <v/>
      </c>
      <c r="I418">
        <f>ROUNDUP(H418/30,0)</f>
        <v/>
      </c>
      <c r="J418">
        <f>EDATE(C418,I418)</f>
        <v/>
      </c>
      <c r="K418">
        <f>G418</f>
        <v/>
      </c>
    </row>
    <row r="419">
      <c r="E419">
        <f>D419*VLOOKUP(A419,04_PROYECTOS!$A:$N,5,FALSE)*(INDEX(02B_ESCENARIOS!$B$4:$D$11, MATCH("MULT_PRECIO", 02B_ESCENARIOS!$A$4:$A$11, 0), MATCH("Base", 02B_ESCENARIOS!$B$3:$D$3, 0)))*INDEX(02B_ESCENARIOS!$B$15:$D$19, MATCH(VLOOKUP(A419,04_PROYECTOS!$A:$N,9,FALSE), 02B_ESCENARIOS!$A$15:$A$19, 0), MATCH("Base", 02B_ESCENARIOS!$B$14:$D$14, 0))</f>
        <v/>
      </c>
      <c r="F419">
        <f>E419*VLOOKUP(A419,04_PROYECTOS!$A:$N,6,FALSE)</f>
        <v/>
      </c>
      <c r="G419">
        <f>E419+F419</f>
        <v/>
      </c>
      <c r="H419">
        <f>IF(VLOOKUP(A419,04_PROYECTOS!$A:$N,10,FALSE)="", IF(VLOOKUP(A419,04_PROYECTOS!$A:$N,4,FALSE)="Privado", INDEX(02B_ESCENARIOS!$B$4:$D$11, MATCH("DSO_PRIVADO_DEFAULT", 02B_ESCENARIOS!$A$4:$A$11, 0), MATCH("Base", 02B_ESCENARIOS!$B$3:$D$3, 0)), IF(VLOOKUP(A419,04_PROYECTOS!$A:$N,4,FALSE)="Publico_&lt;10M",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VLOOKUP(A419,04_PROYECTOS!$A:$N,10,FALSE))</f>
        <v/>
      </c>
      <c r="I419">
        <f>ROUNDUP(H419/30,0)</f>
        <v/>
      </c>
      <c r="J419">
        <f>EDATE(C419,I419)</f>
        <v/>
      </c>
      <c r="K419">
        <f>G419</f>
        <v/>
      </c>
    </row>
    <row r="420">
      <c r="E420">
        <f>D420*VLOOKUP(A420,04_PROYECTOS!$A:$N,5,FALSE)*(INDEX(02B_ESCENARIOS!$B$4:$D$11, MATCH("MULT_PRECIO", 02B_ESCENARIOS!$A$4:$A$11, 0), MATCH("Base", 02B_ESCENARIOS!$B$3:$D$3, 0)))*INDEX(02B_ESCENARIOS!$B$15:$D$19, MATCH(VLOOKUP(A420,04_PROYECTOS!$A:$N,9,FALSE), 02B_ESCENARIOS!$A$15:$A$19, 0), MATCH("Base", 02B_ESCENARIOS!$B$14:$D$14, 0))</f>
        <v/>
      </c>
      <c r="F420">
        <f>E420*VLOOKUP(A420,04_PROYECTOS!$A:$N,6,FALSE)</f>
        <v/>
      </c>
      <c r="G420">
        <f>E420+F420</f>
        <v/>
      </c>
      <c r="H420">
        <f>IF(VLOOKUP(A420,04_PROYECTOS!$A:$N,10,FALSE)="", IF(VLOOKUP(A420,04_PROYECTOS!$A:$N,4,FALSE)="Privado", INDEX(02B_ESCENARIOS!$B$4:$D$11, MATCH("DSO_PRIVADO_DEFAULT", 02B_ESCENARIOS!$A$4:$A$11, 0), MATCH("Base", 02B_ESCENARIOS!$B$3:$D$3, 0)), IF(VLOOKUP(A420,04_PROYECTOS!$A:$N,4,FALSE)="Publico_&lt;10M",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VLOOKUP(A420,04_PROYECTOS!$A:$N,10,FALSE))</f>
        <v/>
      </c>
      <c r="I420">
        <f>ROUNDUP(H420/30,0)</f>
        <v/>
      </c>
      <c r="J420">
        <f>EDATE(C420,I420)</f>
        <v/>
      </c>
      <c r="K420">
        <f>G420</f>
        <v/>
      </c>
    </row>
    <row r="421">
      <c r="E421">
        <f>D421*VLOOKUP(A421,04_PROYECTOS!$A:$N,5,FALSE)*(INDEX(02B_ESCENARIOS!$B$4:$D$11, MATCH("MULT_PRECIO", 02B_ESCENARIOS!$A$4:$A$11, 0), MATCH("Base", 02B_ESCENARIOS!$B$3:$D$3, 0)))*INDEX(02B_ESCENARIOS!$B$15:$D$19, MATCH(VLOOKUP(A421,04_PROYECTOS!$A:$N,9,FALSE), 02B_ESCENARIOS!$A$15:$A$19, 0), MATCH("Base", 02B_ESCENARIOS!$B$14:$D$14, 0))</f>
        <v/>
      </c>
      <c r="F421">
        <f>E421*VLOOKUP(A421,04_PROYECTOS!$A:$N,6,FALSE)</f>
        <v/>
      </c>
      <c r="G421">
        <f>E421+F421</f>
        <v/>
      </c>
      <c r="H421">
        <f>IF(VLOOKUP(A421,04_PROYECTOS!$A:$N,10,FALSE)="", IF(VLOOKUP(A421,04_PROYECTOS!$A:$N,4,FALSE)="Privado", INDEX(02B_ESCENARIOS!$B$4:$D$11, MATCH("DSO_PRIVADO_DEFAULT", 02B_ESCENARIOS!$A$4:$A$11, 0), MATCH("Base", 02B_ESCENARIOS!$B$3:$D$3, 0)), IF(VLOOKUP(A421,04_PROYECTOS!$A:$N,4,FALSE)="Publico_&lt;10M",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VLOOKUP(A421,04_PROYECTOS!$A:$N,10,FALSE))</f>
        <v/>
      </c>
      <c r="I421">
        <f>ROUNDUP(H421/30,0)</f>
        <v/>
      </c>
      <c r="J421">
        <f>EDATE(C421,I421)</f>
        <v/>
      </c>
      <c r="K421">
        <f>G421</f>
        <v/>
      </c>
    </row>
    <row r="422">
      <c r="E422">
        <f>D422*VLOOKUP(A422,04_PROYECTOS!$A:$N,5,FALSE)*(INDEX(02B_ESCENARIOS!$B$4:$D$11, MATCH("MULT_PRECIO", 02B_ESCENARIOS!$A$4:$A$11, 0), MATCH("Base", 02B_ESCENARIOS!$B$3:$D$3, 0)))*INDEX(02B_ESCENARIOS!$B$15:$D$19, MATCH(VLOOKUP(A422,04_PROYECTOS!$A:$N,9,FALSE), 02B_ESCENARIOS!$A$15:$A$19, 0), MATCH("Base", 02B_ESCENARIOS!$B$14:$D$14, 0))</f>
        <v/>
      </c>
      <c r="F422">
        <f>E422*VLOOKUP(A422,04_PROYECTOS!$A:$N,6,FALSE)</f>
        <v/>
      </c>
      <c r="G422">
        <f>E422+F422</f>
        <v/>
      </c>
      <c r="H422">
        <f>IF(VLOOKUP(A422,04_PROYECTOS!$A:$N,10,FALSE)="", IF(VLOOKUP(A422,04_PROYECTOS!$A:$N,4,FALSE)="Privado", INDEX(02B_ESCENARIOS!$B$4:$D$11, MATCH("DSO_PRIVADO_DEFAULT", 02B_ESCENARIOS!$A$4:$A$11, 0), MATCH("Base", 02B_ESCENARIOS!$B$3:$D$3, 0)), IF(VLOOKUP(A422,04_PROYECTOS!$A:$N,4,FALSE)="Publico_&lt;10M",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VLOOKUP(A422,04_PROYECTOS!$A:$N,10,FALSE))</f>
        <v/>
      </c>
      <c r="I422">
        <f>ROUNDUP(H422/30,0)</f>
        <v/>
      </c>
      <c r="J422">
        <f>EDATE(C422,I422)</f>
        <v/>
      </c>
      <c r="K422">
        <f>G422</f>
        <v/>
      </c>
    </row>
    <row r="423">
      <c r="E423">
        <f>D423*VLOOKUP(A423,04_PROYECTOS!$A:$N,5,FALSE)*(INDEX(02B_ESCENARIOS!$B$4:$D$11, MATCH("MULT_PRECIO", 02B_ESCENARIOS!$A$4:$A$11, 0), MATCH("Base", 02B_ESCENARIOS!$B$3:$D$3, 0)))*INDEX(02B_ESCENARIOS!$B$15:$D$19, MATCH(VLOOKUP(A423,04_PROYECTOS!$A:$N,9,FALSE), 02B_ESCENARIOS!$A$15:$A$19, 0), MATCH("Base", 02B_ESCENARIOS!$B$14:$D$14, 0))</f>
        <v/>
      </c>
      <c r="F423">
        <f>E423*VLOOKUP(A423,04_PROYECTOS!$A:$N,6,FALSE)</f>
        <v/>
      </c>
      <c r="G423">
        <f>E423+F423</f>
        <v/>
      </c>
      <c r="H423">
        <f>IF(VLOOKUP(A423,04_PROYECTOS!$A:$N,10,FALSE)="", IF(VLOOKUP(A423,04_PROYECTOS!$A:$N,4,FALSE)="Privado", INDEX(02B_ESCENARIOS!$B$4:$D$11, MATCH("DSO_PRIVADO_DEFAULT", 02B_ESCENARIOS!$A$4:$A$11, 0), MATCH("Base", 02B_ESCENARIOS!$B$3:$D$3, 0)), IF(VLOOKUP(A423,04_PROYECTOS!$A:$N,4,FALSE)="Publico_&lt;10M",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VLOOKUP(A423,04_PROYECTOS!$A:$N,10,FALSE))</f>
        <v/>
      </c>
      <c r="I423">
        <f>ROUNDUP(H423/30,0)</f>
        <v/>
      </c>
      <c r="J423">
        <f>EDATE(C423,I423)</f>
        <v/>
      </c>
      <c r="K423">
        <f>G423</f>
        <v/>
      </c>
    </row>
    <row r="424">
      <c r="E424">
        <f>D424*VLOOKUP(A424,04_PROYECTOS!$A:$N,5,FALSE)*(INDEX(02B_ESCENARIOS!$B$4:$D$11, MATCH("MULT_PRECIO", 02B_ESCENARIOS!$A$4:$A$11, 0), MATCH("Base", 02B_ESCENARIOS!$B$3:$D$3, 0)))*INDEX(02B_ESCENARIOS!$B$15:$D$19, MATCH(VLOOKUP(A424,04_PROYECTOS!$A:$N,9,FALSE), 02B_ESCENARIOS!$A$15:$A$19, 0), MATCH("Base", 02B_ESCENARIOS!$B$14:$D$14, 0))</f>
        <v/>
      </c>
      <c r="F424">
        <f>E424*VLOOKUP(A424,04_PROYECTOS!$A:$N,6,FALSE)</f>
        <v/>
      </c>
      <c r="G424">
        <f>E424+F424</f>
        <v/>
      </c>
      <c r="H424">
        <f>IF(VLOOKUP(A424,04_PROYECTOS!$A:$N,10,FALSE)="", IF(VLOOKUP(A424,04_PROYECTOS!$A:$N,4,FALSE)="Privado", INDEX(02B_ESCENARIOS!$B$4:$D$11, MATCH("DSO_PRIVADO_DEFAULT", 02B_ESCENARIOS!$A$4:$A$11, 0), MATCH("Base", 02B_ESCENARIOS!$B$3:$D$3, 0)), IF(VLOOKUP(A424,04_PROYECTOS!$A:$N,4,FALSE)="Publico_&lt;10M",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VLOOKUP(A424,04_PROYECTOS!$A:$N,10,FALSE))</f>
        <v/>
      </c>
      <c r="I424">
        <f>ROUNDUP(H424/30,0)</f>
        <v/>
      </c>
      <c r="J424">
        <f>EDATE(C424,I424)</f>
        <v/>
      </c>
      <c r="K424">
        <f>G424</f>
        <v/>
      </c>
    </row>
    <row r="425">
      <c r="E425">
        <f>D425*VLOOKUP(A425,04_PROYECTOS!$A:$N,5,FALSE)*(INDEX(02B_ESCENARIOS!$B$4:$D$11, MATCH("MULT_PRECIO", 02B_ESCENARIOS!$A$4:$A$11, 0), MATCH("Base", 02B_ESCENARIOS!$B$3:$D$3, 0)))*INDEX(02B_ESCENARIOS!$B$15:$D$19, MATCH(VLOOKUP(A425,04_PROYECTOS!$A:$N,9,FALSE), 02B_ESCENARIOS!$A$15:$A$19, 0), MATCH("Base", 02B_ESCENARIOS!$B$14:$D$14, 0))</f>
        <v/>
      </c>
      <c r="F425">
        <f>E425*VLOOKUP(A425,04_PROYECTOS!$A:$N,6,FALSE)</f>
        <v/>
      </c>
      <c r="G425">
        <f>E425+F425</f>
        <v/>
      </c>
      <c r="H425">
        <f>IF(VLOOKUP(A425,04_PROYECTOS!$A:$N,10,FALSE)="", IF(VLOOKUP(A425,04_PROYECTOS!$A:$N,4,FALSE)="Privado", INDEX(02B_ESCENARIOS!$B$4:$D$11, MATCH("DSO_PRIVADO_DEFAULT", 02B_ESCENARIOS!$A$4:$A$11, 0), MATCH("Base", 02B_ESCENARIOS!$B$3:$D$3, 0)), IF(VLOOKUP(A425,04_PROYECTOS!$A:$N,4,FALSE)="Publico_&lt;10M",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VLOOKUP(A425,04_PROYECTOS!$A:$N,10,FALSE))</f>
        <v/>
      </c>
      <c r="I425">
        <f>ROUNDUP(H425/30,0)</f>
        <v/>
      </c>
      <c r="J425">
        <f>EDATE(C425,I425)</f>
        <v/>
      </c>
      <c r="K425">
        <f>G425</f>
        <v/>
      </c>
    </row>
    <row r="426">
      <c r="E426">
        <f>D426*VLOOKUP(A426,04_PROYECTOS!$A:$N,5,FALSE)*(INDEX(02B_ESCENARIOS!$B$4:$D$11, MATCH("MULT_PRECIO", 02B_ESCENARIOS!$A$4:$A$11, 0), MATCH("Base", 02B_ESCENARIOS!$B$3:$D$3, 0)))*INDEX(02B_ESCENARIOS!$B$15:$D$19, MATCH(VLOOKUP(A426,04_PROYECTOS!$A:$N,9,FALSE), 02B_ESCENARIOS!$A$15:$A$19, 0), MATCH("Base", 02B_ESCENARIOS!$B$14:$D$14, 0))</f>
        <v/>
      </c>
      <c r="F426">
        <f>E426*VLOOKUP(A426,04_PROYECTOS!$A:$N,6,FALSE)</f>
        <v/>
      </c>
      <c r="G426">
        <f>E426+F426</f>
        <v/>
      </c>
      <c r="H426">
        <f>IF(VLOOKUP(A426,04_PROYECTOS!$A:$N,10,FALSE)="", IF(VLOOKUP(A426,04_PROYECTOS!$A:$N,4,FALSE)="Privado", INDEX(02B_ESCENARIOS!$B$4:$D$11, MATCH("DSO_PRIVADO_DEFAULT", 02B_ESCENARIOS!$A$4:$A$11, 0), MATCH("Base", 02B_ESCENARIOS!$B$3:$D$3, 0)), IF(VLOOKUP(A426,04_PROYECTOS!$A:$N,4,FALSE)="Publico_&lt;10M",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VLOOKUP(A426,04_PROYECTOS!$A:$N,10,FALSE))</f>
        <v/>
      </c>
      <c r="I426">
        <f>ROUNDUP(H426/30,0)</f>
        <v/>
      </c>
      <c r="J426">
        <f>EDATE(C426,I426)</f>
        <v/>
      </c>
      <c r="K426">
        <f>G426</f>
        <v/>
      </c>
    </row>
    <row r="427">
      <c r="E427">
        <f>D427*VLOOKUP(A427,04_PROYECTOS!$A:$N,5,FALSE)*(INDEX(02B_ESCENARIOS!$B$4:$D$11, MATCH("MULT_PRECIO", 02B_ESCENARIOS!$A$4:$A$11, 0), MATCH("Base", 02B_ESCENARIOS!$B$3:$D$3, 0)))*INDEX(02B_ESCENARIOS!$B$15:$D$19, MATCH(VLOOKUP(A427,04_PROYECTOS!$A:$N,9,FALSE), 02B_ESCENARIOS!$A$15:$A$19, 0), MATCH("Base", 02B_ESCENARIOS!$B$14:$D$14, 0))</f>
        <v/>
      </c>
      <c r="F427">
        <f>E427*VLOOKUP(A427,04_PROYECTOS!$A:$N,6,FALSE)</f>
        <v/>
      </c>
      <c r="G427">
        <f>E427+F427</f>
        <v/>
      </c>
      <c r="H427">
        <f>IF(VLOOKUP(A427,04_PROYECTOS!$A:$N,10,FALSE)="", IF(VLOOKUP(A427,04_PROYECTOS!$A:$N,4,FALSE)="Privado", INDEX(02B_ESCENARIOS!$B$4:$D$11, MATCH("DSO_PRIVADO_DEFAULT", 02B_ESCENARIOS!$A$4:$A$11, 0), MATCH("Base", 02B_ESCENARIOS!$B$3:$D$3, 0)), IF(VLOOKUP(A427,04_PROYECTOS!$A:$N,4,FALSE)="Publico_&lt;10M",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VLOOKUP(A427,04_PROYECTOS!$A:$N,10,FALSE))</f>
        <v/>
      </c>
      <c r="I427">
        <f>ROUNDUP(H427/30,0)</f>
        <v/>
      </c>
      <c r="J427">
        <f>EDATE(C427,I427)</f>
        <v/>
      </c>
      <c r="K427">
        <f>G427</f>
        <v/>
      </c>
    </row>
    <row r="428">
      <c r="E428">
        <f>D428*VLOOKUP(A428,04_PROYECTOS!$A:$N,5,FALSE)*(INDEX(02B_ESCENARIOS!$B$4:$D$11, MATCH("MULT_PRECIO", 02B_ESCENARIOS!$A$4:$A$11, 0), MATCH("Base", 02B_ESCENARIOS!$B$3:$D$3, 0)))*INDEX(02B_ESCENARIOS!$B$15:$D$19, MATCH(VLOOKUP(A428,04_PROYECTOS!$A:$N,9,FALSE), 02B_ESCENARIOS!$A$15:$A$19, 0), MATCH("Base", 02B_ESCENARIOS!$B$14:$D$14, 0))</f>
        <v/>
      </c>
      <c r="F428">
        <f>E428*VLOOKUP(A428,04_PROYECTOS!$A:$N,6,FALSE)</f>
        <v/>
      </c>
      <c r="G428">
        <f>E428+F428</f>
        <v/>
      </c>
      <c r="H428">
        <f>IF(VLOOKUP(A428,04_PROYECTOS!$A:$N,10,FALSE)="", IF(VLOOKUP(A428,04_PROYECTOS!$A:$N,4,FALSE)="Privado", INDEX(02B_ESCENARIOS!$B$4:$D$11, MATCH("DSO_PRIVADO_DEFAULT", 02B_ESCENARIOS!$A$4:$A$11, 0), MATCH("Base", 02B_ESCENARIOS!$B$3:$D$3, 0)), IF(VLOOKUP(A428,04_PROYECTOS!$A:$N,4,FALSE)="Publico_&lt;10M",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VLOOKUP(A428,04_PROYECTOS!$A:$N,10,FALSE))</f>
        <v/>
      </c>
      <c r="I428">
        <f>ROUNDUP(H428/30,0)</f>
        <v/>
      </c>
      <c r="J428">
        <f>EDATE(C428,I428)</f>
        <v/>
      </c>
      <c r="K428">
        <f>G428</f>
        <v/>
      </c>
    </row>
    <row r="429">
      <c r="E429">
        <f>D429*VLOOKUP(A429,04_PROYECTOS!$A:$N,5,FALSE)*(INDEX(02B_ESCENARIOS!$B$4:$D$11, MATCH("MULT_PRECIO", 02B_ESCENARIOS!$A$4:$A$11, 0), MATCH("Base", 02B_ESCENARIOS!$B$3:$D$3, 0)))*INDEX(02B_ESCENARIOS!$B$15:$D$19, MATCH(VLOOKUP(A429,04_PROYECTOS!$A:$N,9,FALSE), 02B_ESCENARIOS!$A$15:$A$19, 0), MATCH("Base", 02B_ESCENARIOS!$B$14:$D$14, 0))</f>
        <v/>
      </c>
      <c r="F429">
        <f>E429*VLOOKUP(A429,04_PROYECTOS!$A:$N,6,FALSE)</f>
        <v/>
      </c>
      <c r="G429">
        <f>E429+F429</f>
        <v/>
      </c>
      <c r="H429">
        <f>IF(VLOOKUP(A429,04_PROYECTOS!$A:$N,10,FALSE)="", IF(VLOOKUP(A429,04_PROYECTOS!$A:$N,4,FALSE)="Privado", INDEX(02B_ESCENARIOS!$B$4:$D$11, MATCH("DSO_PRIVADO_DEFAULT", 02B_ESCENARIOS!$A$4:$A$11, 0), MATCH("Base", 02B_ESCENARIOS!$B$3:$D$3, 0)), IF(VLOOKUP(A429,04_PROYECTOS!$A:$N,4,FALSE)="Publico_&lt;10M",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VLOOKUP(A429,04_PROYECTOS!$A:$N,10,FALSE))</f>
        <v/>
      </c>
      <c r="I429">
        <f>ROUNDUP(H429/30,0)</f>
        <v/>
      </c>
      <c r="J429">
        <f>EDATE(C429,I429)</f>
        <v/>
      </c>
      <c r="K429">
        <f>G429</f>
        <v/>
      </c>
    </row>
    <row r="430">
      <c r="E430">
        <f>D430*VLOOKUP(A430,04_PROYECTOS!$A:$N,5,FALSE)*(INDEX(02B_ESCENARIOS!$B$4:$D$11, MATCH("MULT_PRECIO", 02B_ESCENARIOS!$A$4:$A$11, 0), MATCH("Base", 02B_ESCENARIOS!$B$3:$D$3, 0)))*INDEX(02B_ESCENARIOS!$B$15:$D$19, MATCH(VLOOKUP(A430,04_PROYECTOS!$A:$N,9,FALSE), 02B_ESCENARIOS!$A$15:$A$19, 0), MATCH("Base", 02B_ESCENARIOS!$B$14:$D$14, 0))</f>
        <v/>
      </c>
      <c r="F430">
        <f>E430*VLOOKUP(A430,04_PROYECTOS!$A:$N,6,FALSE)</f>
        <v/>
      </c>
      <c r="G430">
        <f>E430+F430</f>
        <v/>
      </c>
      <c r="H430">
        <f>IF(VLOOKUP(A430,04_PROYECTOS!$A:$N,10,FALSE)="", IF(VLOOKUP(A430,04_PROYECTOS!$A:$N,4,FALSE)="Privado", INDEX(02B_ESCENARIOS!$B$4:$D$11, MATCH("DSO_PRIVADO_DEFAULT", 02B_ESCENARIOS!$A$4:$A$11, 0), MATCH("Base", 02B_ESCENARIOS!$B$3:$D$3, 0)), IF(VLOOKUP(A430,04_PROYECTOS!$A:$N,4,FALSE)="Publico_&lt;10M",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VLOOKUP(A430,04_PROYECTOS!$A:$N,10,FALSE))</f>
        <v/>
      </c>
      <c r="I430">
        <f>ROUNDUP(H430/30,0)</f>
        <v/>
      </c>
      <c r="J430">
        <f>EDATE(C430,I430)</f>
        <v/>
      </c>
      <c r="K430">
        <f>G430</f>
        <v/>
      </c>
    </row>
    <row r="431">
      <c r="E431">
        <f>D431*VLOOKUP(A431,04_PROYECTOS!$A:$N,5,FALSE)*(INDEX(02B_ESCENARIOS!$B$4:$D$11, MATCH("MULT_PRECIO", 02B_ESCENARIOS!$A$4:$A$11, 0), MATCH("Base", 02B_ESCENARIOS!$B$3:$D$3, 0)))*INDEX(02B_ESCENARIOS!$B$15:$D$19, MATCH(VLOOKUP(A431,04_PROYECTOS!$A:$N,9,FALSE), 02B_ESCENARIOS!$A$15:$A$19, 0), MATCH("Base", 02B_ESCENARIOS!$B$14:$D$14, 0))</f>
        <v/>
      </c>
      <c r="F431">
        <f>E431*VLOOKUP(A431,04_PROYECTOS!$A:$N,6,FALSE)</f>
        <v/>
      </c>
      <c r="G431">
        <f>E431+F431</f>
        <v/>
      </c>
      <c r="H431">
        <f>IF(VLOOKUP(A431,04_PROYECTOS!$A:$N,10,FALSE)="", IF(VLOOKUP(A431,04_PROYECTOS!$A:$N,4,FALSE)="Privado", INDEX(02B_ESCENARIOS!$B$4:$D$11, MATCH("DSO_PRIVADO_DEFAULT", 02B_ESCENARIOS!$A$4:$A$11, 0), MATCH("Base", 02B_ESCENARIOS!$B$3:$D$3, 0)), IF(VLOOKUP(A431,04_PROYECTOS!$A:$N,4,FALSE)="Publico_&lt;10M",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VLOOKUP(A431,04_PROYECTOS!$A:$N,10,FALSE))</f>
        <v/>
      </c>
      <c r="I431">
        <f>ROUNDUP(H431/30,0)</f>
        <v/>
      </c>
      <c r="J431">
        <f>EDATE(C431,I431)</f>
        <v/>
      </c>
      <c r="K431">
        <f>G431</f>
        <v/>
      </c>
    </row>
    <row r="432">
      <c r="E432">
        <f>D432*VLOOKUP(A432,04_PROYECTOS!$A:$N,5,FALSE)*(INDEX(02B_ESCENARIOS!$B$4:$D$11, MATCH("MULT_PRECIO", 02B_ESCENARIOS!$A$4:$A$11, 0), MATCH("Base", 02B_ESCENARIOS!$B$3:$D$3, 0)))*INDEX(02B_ESCENARIOS!$B$15:$D$19, MATCH(VLOOKUP(A432,04_PROYECTOS!$A:$N,9,FALSE), 02B_ESCENARIOS!$A$15:$A$19, 0), MATCH("Base", 02B_ESCENARIOS!$B$14:$D$14, 0))</f>
        <v/>
      </c>
      <c r="F432">
        <f>E432*VLOOKUP(A432,04_PROYECTOS!$A:$N,6,FALSE)</f>
        <v/>
      </c>
      <c r="G432">
        <f>E432+F432</f>
        <v/>
      </c>
      <c r="H432">
        <f>IF(VLOOKUP(A432,04_PROYECTOS!$A:$N,10,FALSE)="", IF(VLOOKUP(A432,04_PROYECTOS!$A:$N,4,FALSE)="Privado", INDEX(02B_ESCENARIOS!$B$4:$D$11, MATCH("DSO_PRIVADO_DEFAULT", 02B_ESCENARIOS!$A$4:$A$11, 0), MATCH("Base", 02B_ESCENARIOS!$B$3:$D$3, 0)), IF(VLOOKUP(A432,04_PROYECTOS!$A:$N,4,FALSE)="Publico_&lt;10M",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VLOOKUP(A432,04_PROYECTOS!$A:$N,10,FALSE))</f>
        <v/>
      </c>
      <c r="I432">
        <f>ROUNDUP(H432/30,0)</f>
        <v/>
      </c>
      <c r="J432">
        <f>EDATE(C432,I432)</f>
        <v/>
      </c>
      <c r="K432">
        <f>G432</f>
        <v/>
      </c>
    </row>
    <row r="433">
      <c r="E433">
        <f>D433*VLOOKUP(A433,04_PROYECTOS!$A:$N,5,FALSE)*(INDEX(02B_ESCENARIOS!$B$4:$D$11, MATCH("MULT_PRECIO", 02B_ESCENARIOS!$A$4:$A$11, 0), MATCH("Base", 02B_ESCENARIOS!$B$3:$D$3, 0)))*INDEX(02B_ESCENARIOS!$B$15:$D$19, MATCH(VLOOKUP(A433,04_PROYECTOS!$A:$N,9,FALSE), 02B_ESCENARIOS!$A$15:$A$19, 0), MATCH("Base", 02B_ESCENARIOS!$B$14:$D$14, 0))</f>
        <v/>
      </c>
      <c r="F433">
        <f>E433*VLOOKUP(A433,04_PROYECTOS!$A:$N,6,FALSE)</f>
        <v/>
      </c>
      <c r="G433">
        <f>E433+F433</f>
        <v/>
      </c>
      <c r="H433">
        <f>IF(VLOOKUP(A433,04_PROYECTOS!$A:$N,10,FALSE)="", IF(VLOOKUP(A433,04_PROYECTOS!$A:$N,4,FALSE)="Privado", INDEX(02B_ESCENARIOS!$B$4:$D$11, MATCH("DSO_PRIVADO_DEFAULT", 02B_ESCENARIOS!$A$4:$A$11, 0), MATCH("Base", 02B_ESCENARIOS!$B$3:$D$3, 0)), IF(VLOOKUP(A433,04_PROYECTOS!$A:$N,4,FALSE)="Publico_&lt;10M",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VLOOKUP(A433,04_PROYECTOS!$A:$N,10,FALSE))</f>
        <v/>
      </c>
      <c r="I433">
        <f>ROUNDUP(H433/30,0)</f>
        <v/>
      </c>
      <c r="J433">
        <f>EDATE(C433,I433)</f>
        <v/>
      </c>
      <c r="K433">
        <f>G433</f>
        <v/>
      </c>
    </row>
    <row r="434">
      <c r="E434">
        <f>D434*VLOOKUP(A434,04_PROYECTOS!$A:$N,5,FALSE)*(INDEX(02B_ESCENARIOS!$B$4:$D$11, MATCH("MULT_PRECIO", 02B_ESCENARIOS!$A$4:$A$11, 0), MATCH("Base", 02B_ESCENARIOS!$B$3:$D$3, 0)))*INDEX(02B_ESCENARIOS!$B$15:$D$19, MATCH(VLOOKUP(A434,04_PROYECTOS!$A:$N,9,FALSE), 02B_ESCENARIOS!$A$15:$A$19, 0), MATCH("Base", 02B_ESCENARIOS!$B$14:$D$14, 0))</f>
        <v/>
      </c>
      <c r="F434">
        <f>E434*VLOOKUP(A434,04_PROYECTOS!$A:$N,6,FALSE)</f>
        <v/>
      </c>
      <c r="G434">
        <f>E434+F434</f>
        <v/>
      </c>
      <c r="H434">
        <f>IF(VLOOKUP(A434,04_PROYECTOS!$A:$N,10,FALSE)="", IF(VLOOKUP(A434,04_PROYECTOS!$A:$N,4,FALSE)="Privado", INDEX(02B_ESCENARIOS!$B$4:$D$11, MATCH("DSO_PRIVADO_DEFAULT", 02B_ESCENARIOS!$A$4:$A$11, 0), MATCH("Base", 02B_ESCENARIOS!$B$3:$D$3, 0)), IF(VLOOKUP(A434,04_PROYECTOS!$A:$N,4,FALSE)="Publico_&lt;10M",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VLOOKUP(A434,04_PROYECTOS!$A:$N,10,FALSE))</f>
        <v/>
      </c>
      <c r="I434">
        <f>ROUNDUP(H434/30,0)</f>
        <v/>
      </c>
      <c r="J434">
        <f>EDATE(C434,I434)</f>
        <v/>
      </c>
      <c r="K434">
        <f>G434</f>
        <v/>
      </c>
    </row>
    <row r="435">
      <c r="E435">
        <f>D435*VLOOKUP(A435,04_PROYECTOS!$A:$N,5,FALSE)*(INDEX(02B_ESCENARIOS!$B$4:$D$11, MATCH("MULT_PRECIO", 02B_ESCENARIOS!$A$4:$A$11, 0), MATCH("Base", 02B_ESCENARIOS!$B$3:$D$3, 0)))*INDEX(02B_ESCENARIOS!$B$15:$D$19, MATCH(VLOOKUP(A435,04_PROYECTOS!$A:$N,9,FALSE), 02B_ESCENARIOS!$A$15:$A$19, 0), MATCH("Base", 02B_ESCENARIOS!$B$14:$D$14, 0))</f>
        <v/>
      </c>
      <c r="F435">
        <f>E435*VLOOKUP(A435,04_PROYECTOS!$A:$N,6,FALSE)</f>
        <v/>
      </c>
      <c r="G435">
        <f>E435+F435</f>
        <v/>
      </c>
      <c r="H435">
        <f>IF(VLOOKUP(A435,04_PROYECTOS!$A:$N,10,FALSE)="", IF(VLOOKUP(A435,04_PROYECTOS!$A:$N,4,FALSE)="Privado", INDEX(02B_ESCENARIOS!$B$4:$D$11, MATCH("DSO_PRIVADO_DEFAULT", 02B_ESCENARIOS!$A$4:$A$11, 0), MATCH("Base", 02B_ESCENARIOS!$B$3:$D$3, 0)), IF(VLOOKUP(A435,04_PROYECTOS!$A:$N,4,FALSE)="Publico_&lt;10M",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VLOOKUP(A435,04_PROYECTOS!$A:$N,10,FALSE))</f>
        <v/>
      </c>
      <c r="I435">
        <f>ROUNDUP(H435/30,0)</f>
        <v/>
      </c>
      <c r="J435">
        <f>EDATE(C435,I435)</f>
        <v/>
      </c>
      <c r="K435">
        <f>G435</f>
        <v/>
      </c>
    </row>
    <row r="436">
      <c r="E436">
        <f>D436*VLOOKUP(A436,04_PROYECTOS!$A:$N,5,FALSE)*(INDEX(02B_ESCENARIOS!$B$4:$D$11, MATCH("MULT_PRECIO", 02B_ESCENARIOS!$A$4:$A$11, 0), MATCH("Base", 02B_ESCENARIOS!$B$3:$D$3, 0)))*INDEX(02B_ESCENARIOS!$B$15:$D$19, MATCH(VLOOKUP(A436,04_PROYECTOS!$A:$N,9,FALSE), 02B_ESCENARIOS!$A$15:$A$19, 0), MATCH("Base", 02B_ESCENARIOS!$B$14:$D$14, 0))</f>
        <v/>
      </c>
      <c r="F436">
        <f>E436*VLOOKUP(A436,04_PROYECTOS!$A:$N,6,FALSE)</f>
        <v/>
      </c>
      <c r="G436">
        <f>E436+F436</f>
        <v/>
      </c>
      <c r="H436">
        <f>IF(VLOOKUP(A436,04_PROYECTOS!$A:$N,10,FALSE)="", IF(VLOOKUP(A436,04_PROYECTOS!$A:$N,4,FALSE)="Privado", INDEX(02B_ESCENARIOS!$B$4:$D$11, MATCH("DSO_PRIVADO_DEFAULT", 02B_ESCENARIOS!$A$4:$A$11, 0), MATCH("Base", 02B_ESCENARIOS!$B$3:$D$3, 0)), IF(VLOOKUP(A436,04_PROYECTOS!$A:$N,4,FALSE)="Publico_&lt;10M",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VLOOKUP(A436,04_PROYECTOS!$A:$N,10,FALSE))</f>
        <v/>
      </c>
      <c r="I436">
        <f>ROUNDUP(H436/30,0)</f>
        <v/>
      </c>
      <c r="J436">
        <f>EDATE(C436,I436)</f>
        <v/>
      </c>
      <c r="K436">
        <f>G436</f>
        <v/>
      </c>
    </row>
    <row r="437">
      <c r="E437">
        <f>D437*VLOOKUP(A437,04_PROYECTOS!$A:$N,5,FALSE)*(INDEX(02B_ESCENARIOS!$B$4:$D$11, MATCH("MULT_PRECIO", 02B_ESCENARIOS!$A$4:$A$11, 0), MATCH("Base", 02B_ESCENARIOS!$B$3:$D$3, 0)))*INDEX(02B_ESCENARIOS!$B$15:$D$19, MATCH(VLOOKUP(A437,04_PROYECTOS!$A:$N,9,FALSE), 02B_ESCENARIOS!$A$15:$A$19, 0), MATCH("Base", 02B_ESCENARIOS!$B$14:$D$14, 0))</f>
        <v/>
      </c>
      <c r="F437">
        <f>E437*VLOOKUP(A437,04_PROYECTOS!$A:$N,6,FALSE)</f>
        <v/>
      </c>
      <c r="G437">
        <f>E437+F437</f>
        <v/>
      </c>
      <c r="H437">
        <f>IF(VLOOKUP(A437,04_PROYECTOS!$A:$N,10,FALSE)="", IF(VLOOKUP(A437,04_PROYECTOS!$A:$N,4,FALSE)="Privado", INDEX(02B_ESCENARIOS!$B$4:$D$11, MATCH("DSO_PRIVADO_DEFAULT", 02B_ESCENARIOS!$A$4:$A$11, 0), MATCH("Base", 02B_ESCENARIOS!$B$3:$D$3, 0)), IF(VLOOKUP(A437,04_PROYECTOS!$A:$N,4,FALSE)="Publico_&lt;10M",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VLOOKUP(A437,04_PROYECTOS!$A:$N,10,FALSE))</f>
        <v/>
      </c>
      <c r="I437">
        <f>ROUNDUP(H437/30,0)</f>
        <v/>
      </c>
      <c r="J437">
        <f>EDATE(C437,I437)</f>
        <v/>
      </c>
      <c r="K437">
        <f>G437</f>
        <v/>
      </c>
    </row>
    <row r="438">
      <c r="E438">
        <f>D438*VLOOKUP(A438,04_PROYECTOS!$A:$N,5,FALSE)*(INDEX(02B_ESCENARIOS!$B$4:$D$11, MATCH("MULT_PRECIO", 02B_ESCENARIOS!$A$4:$A$11, 0), MATCH("Base", 02B_ESCENARIOS!$B$3:$D$3, 0)))*INDEX(02B_ESCENARIOS!$B$15:$D$19, MATCH(VLOOKUP(A438,04_PROYECTOS!$A:$N,9,FALSE), 02B_ESCENARIOS!$A$15:$A$19, 0), MATCH("Base", 02B_ESCENARIOS!$B$14:$D$14, 0))</f>
        <v/>
      </c>
      <c r="F438">
        <f>E438*VLOOKUP(A438,04_PROYECTOS!$A:$N,6,FALSE)</f>
        <v/>
      </c>
      <c r="G438">
        <f>E438+F438</f>
        <v/>
      </c>
      <c r="H438">
        <f>IF(VLOOKUP(A438,04_PROYECTOS!$A:$N,10,FALSE)="", IF(VLOOKUP(A438,04_PROYECTOS!$A:$N,4,FALSE)="Privado", INDEX(02B_ESCENARIOS!$B$4:$D$11, MATCH("DSO_PRIVADO_DEFAULT", 02B_ESCENARIOS!$A$4:$A$11, 0), MATCH("Base", 02B_ESCENARIOS!$B$3:$D$3, 0)), IF(VLOOKUP(A438,04_PROYECTOS!$A:$N,4,FALSE)="Publico_&lt;10M",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VLOOKUP(A438,04_PROYECTOS!$A:$N,10,FALSE))</f>
        <v/>
      </c>
      <c r="I438">
        <f>ROUNDUP(H438/30,0)</f>
        <v/>
      </c>
      <c r="J438">
        <f>EDATE(C438,I438)</f>
        <v/>
      </c>
      <c r="K438">
        <f>G438</f>
        <v/>
      </c>
    </row>
    <row r="439">
      <c r="E439">
        <f>D439*VLOOKUP(A439,04_PROYECTOS!$A:$N,5,FALSE)*(INDEX(02B_ESCENARIOS!$B$4:$D$11, MATCH("MULT_PRECIO", 02B_ESCENARIOS!$A$4:$A$11, 0), MATCH("Base", 02B_ESCENARIOS!$B$3:$D$3, 0)))*INDEX(02B_ESCENARIOS!$B$15:$D$19, MATCH(VLOOKUP(A439,04_PROYECTOS!$A:$N,9,FALSE), 02B_ESCENARIOS!$A$15:$A$19, 0), MATCH("Base", 02B_ESCENARIOS!$B$14:$D$14, 0))</f>
        <v/>
      </c>
      <c r="F439">
        <f>E439*VLOOKUP(A439,04_PROYECTOS!$A:$N,6,FALSE)</f>
        <v/>
      </c>
      <c r="G439">
        <f>E439+F439</f>
        <v/>
      </c>
      <c r="H439">
        <f>IF(VLOOKUP(A439,04_PROYECTOS!$A:$N,10,FALSE)="", IF(VLOOKUP(A439,04_PROYECTOS!$A:$N,4,FALSE)="Privado", INDEX(02B_ESCENARIOS!$B$4:$D$11, MATCH("DSO_PRIVADO_DEFAULT", 02B_ESCENARIOS!$A$4:$A$11, 0), MATCH("Base", 02B_ESCENARIOS!$B$3:$D$3, 0)), IF(VLOOKUP(A439,04_PROYECTOS!$A:$N,4,FALSE)="Publico_&lt;10M",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VLOOKUP(A439,04_PROYECTOS!$A:$N,10,FALSE))</f>
        <v/>
      </c>
      <c r="I439">
        <f>ROUNDUP(H439/30,0)</f>
        <v/>
      </c>
      <c r="J439">
        <f>EDATE(C439,I439)</f>
        <v/>
      </c>
      <c r="K439">
        <f>G439</f>
        <v/>
      </c>
    </row>
    <row r="440">
      <c r="E440">
        <f>D440*VLOOKUP(A440,04_PROYECTOS!$A:$N,5,FALSE)*(INDEX(02B_ESCENARIOS!$B$4:$D$11, MATCH("MULT_PRECIO", 02B_ESCENARIOS!$A$4:$A$11, 0), MATCH("Base", 02B_ESCENARIOS!$B$3:$D$3, 0)))*INDEX(02B_ESCENARIOS!$B$15:$D$19, MATCH(VLOOKUP(A440,04_PROYECTOS!$A:$N,9,FALSE), 02B_ESCENARIOS!$A$15:$A$19, 0), MATCH("Base", 02B_ESCENARIOS!$B$14:$D$14, 0))</f>
        <v/>
      </c>
      <c r="F440">
        <f>E440*VLOOKUP(A440,04_PROYECTOS!$A:$N,6,FALSE)</f>
        <v/>
      </c>
      <c r="G440">
        <f>E440+F440</f>
        <v/>
      </c>
      <c r="H440">
        <f>IF(VLOOKUP(A440,04_PROYECTOS!$A:$N,10,FALSE)="", IF(VLOOKUP(A440,04_PROYECTOS!$A:$N,4,FALSE)="Privado", INDEX(02B_ESCENARIOS!$B$4:$D$11, MATCH("DSO_PRIVADO_DEFAULT", 02B_ESCENARIOS!$A$4:$A$11, 0), MATCH("Base", 02B_ESCENARIOS!$B$3:$D$3, 0)), IF(VLOOKUP(A440,04_PROYECTOS!$A:$N,4,FALSE)="Publico_&lt;10M",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VLOOKUP(A440,04_PROYECTOS!$A:$N,10,FALSE))</f>
        <v/>
      </c>
      <c r="I440">
        <f>ROUNDUP(H440/30,0)</f>
        <v/>
      </c>
      <c r="J440">
        <f>EDATE(C440,I440)</f>
        <v/>
      </c>
      <c r="K440">
        <f>G440</f>
        <v/>
      </c>
    </row>
    <row r="441">
      <c r="E441">
        <f>D441*VLOOKUP(A441,04_PROYECTOS!$A:$N,5,FALSE)*(INDEX(02B_ESCENARIOS!$B$4:$D$11, MATCH("MULT_PRECIO", 02B_ESCENARIOS!$A$4:$A$11, 0), MATCH("Base", 02B_ESCENARIOS!$B$3:$D$3, 0)))*INDEX(02B_ESCENARIOS!$B$15:$D$19, MATCH(VLOOKUP(A441,04_PROYECTOS!$A:$N,9,FALSE), 02B_ESCENARIOS!$A$15:$A$19, 0), MATCH("Base", 02B_ESCENARIOS!$B$14:$D$14, 0))</f>
        <v/>
      </c>
      <c r="F441">
        <f>E441*VLOOKUP(A441,04_PROYECTOS!$A:$N,6,FALSE)</f>
        <v/>
      </c>
      <c r="G441">
        <f>E441+F441</f>
        <v/>
      </c>
      <c r="H441">
        <f>IF(VLOOKUP(A441,04_PROYECTOS!$A:$N,10,FALSE)="", IF(VLOOKUP(A441,04_PROYECTOS!$A:$N,4,FALSE)="Privado", INDEX(02B_ESCENARIOS!$B$4:$D$11, MATCH("DSO_PRIVADO_DEFAULT", 02B_ESCENARIOS!$A$4:$A$11, 0), MATCH("Base", 02B_ESCENARIOS!$B$3:$D$3, 0)), IF(VLOOKUP(A441,04_PROYECTOS!$A:$N,4,FALSE)="Publico_&lt;10M",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VLOOKUP(A441,04_PROYECTOS!$A:$N,10,FALSE))</f>
        <v/>
      </c>
      <c r="I441">
        <f>ROUNDUP(H441/30,0)</f>
        <v/>
      </c>
      <c r="J441">
        <f>EDATE(C441,I441)</f>
        <v/>
      </c>
      <c r="K441">
        <f>G441</f>
        <v/>
      </c>
    </row>
    <row r="442">
      <c r="E442">
        <f>D442*VLOOKUP(A442,04_PROYECTOS!$A:$N,5,FALSE)*(INDEX(02B_ESCENARIOS!$B$4:$D$11, MATCH("MULT_PRECIO", 02B_ESCENARIOS!$A$4:$A$11, 0), MATCH("Base", 02B_ESCENARIOS!$B$3:$D$3, 0)))*INDEX(02B_ESCENARIOS!$B$15:$D$19, MATCH(VLOOKUP(A442,04_PROYECTOS!$A:$N,9,FALSE), 02B_ESCENARIOS!$A$15:$A$19, 0), MATCH("Base", 02B_ESCENARIOS!$B$14:$D$14, 0))</f>
        <v/>
      </c>
      <c r="F442">
        <f>E442*VLOOKUP(A442,04_PROYECTOS!$A:$N,6,FALSE)</f>
        <v/>
      </c>
      <c r="G442">
        <f>E442+F442</f>
        <v/>
      </c>
      <c r="H442">
        <f>IF(VLOOKUP(A442,04_PROYECTOS!$A:$N,10,FALSE)="", IF(VLOOKUP(A442,04_PROYECTOS!$A:$N,4,FALSE)="Privado", INDEX(02B_ESCENARIOS!$B$4:$D$11, MATCH("DSO_PRIVADO_DEFAULT", 02B_ESCENARIOS!$A$4:$A$11, 0), MATCH("Base", 02B_ESCENARIOS!$B$3:$D$3, 0)), IF(VLOOKUP(A442,04_PROYECTOS!$A:$N,4,FALSE)="Publico_&lt;10M",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VLOOKUP(A442,04_PROYECTOS!$A:$N,10,FALSE))</f>
        <v/>
      </c>
      <c r="I442">
        <f>ROUNDUP(H442/30,0)</f>
        <v/>
      </c>
      <c r="J442">
        <f>EDATE(C442,I442)</f>
        <v/>
      </c>
      <c r="K442">
        <f>G442</f>
        <v/>
      </c>
    </row>
    <row r="443">
      <c r="E443">
        <f>D443*VLOOKUP(A443,04_PROYECTOS!$A:$N,5,FALSE)*(INDEX(02B_ESCENARIOS!$B$4:$D$11, MATCH("MULT_PRECIO", 02B_ESCENARIOS!$A$4:$A$11, 0), MATCH("Base", 02B_ESCENARIOS!$B$3:$D$3, 0)))*INDEX(02B_ESCENARIOS!$B$15:$D$19, MATCH(VLOOKUP(A443,04_PROYECTOS!$A:$N,9,FALSE), 02B_ESCENARIOS!$A$15:$A$19, 0), MATCH("Base", 02B_ESCENARIOS!$B$14:$D$14, 0))</f>
        <v/>
      </c>
      <c r="F443">
        <f>E443*VLOOKUP(A443,04_PROYECTOS!$A:$N,6,FALSE)</f>
        <v/>
      </c>
      <c r="G443">
        <f>E443+F443</f>
        <v/>
      </c>
      <c r="H443">
        <f>IF(VLOOKUP(A443,04_PROYECTOS!$A:$N,10,FALSE)="", IF(VLOOKUP(A443,04_PROYECTOS!$A:$N,4,FALSE)="Privado", INDEX(02B_ESCENARIOS!$B$4:$D$11, MATCH("DSO_PRIVADO_DEFAULT", 02B_ESCENARIOS!$A$4:$A$11, 0), MATCH("Base", 02B_ESCENARIOS!$B$3:$D$3, 0)), IF(VLOOKUP(A443,04_PROYECTOS!$A:$N,4,FALSE)="Publico_&lt;10M",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VLOOKUP(A443,04_PROYECTOS!$A:$N,10,FALSE))</f>
        <v/>
      </c>
      <c r="I443">
        <f>ROUNDUP(H443/30,0)</f>
        <v/>
      </c>
      <c r="J443">
        <f>EDATE(C443,I443)</f>
        <v/>
      </c>
      <c r="K443">
        <f>G443</f>
        <v/>
      </c>
    </row>
    <row r="444">
      <c r="E444">
        <f>D444*VLOOKUP(A444,04_PROYECTOS!$A:$N,5,FALSE)*(INDEX(02B_ESCENARIOS!$B$4:$D$11, MATCH("MULT_PRECIO", 02B_ESCENARIOS!$A$4:$A$11, 0), MATCH("Base", 02B_ESCENARIOS!$B$3:$D$3, 0)))*INDEX(02B_ESCENARIOS!$B$15:$D$19, MATCH(VLOOKUP(A444,04_PROYECTOS!$A:$N,9,FALSE), 02B_ESCENARIOS!$A$15:$A$19, 0), MATCH("Base", 02B_ESCENARIOS!$B$14:$D$14, 0))</f>
        <v/>
      </c>
      <c r="F444">
        <f>E444*VLOOKUP(A444,04_PROYECTOS!$A:$N,6,FALSE)</f>
        <v/>
      </c>
      <c r="G444">
        <f>E444+F444</f>
        <v/>
      </c>
      <c r="H444">
        <f>IF(VLOOKUP(A444,04_PROYECTOS!$A:$N,10,FALSE)="", IF(VLOOKUP(A444,04_PROYECTOS!$A:$N,4,FALSE)="Privado", INDEX(02B_ESCENARIOS!$B$4:$D$11, MATCH("DSO_PRIVADO_DEFAULT", 02B_ESCENARIOS!$A$4:$A$11, 0), MATCH("Base", 02B_ESCENARIOS!$B$3:$D$3, 0)), IF(VLOOKUP(A444,04_PROYECTOS!$A:$N,4,FALSE)="Publico_&lt;10M",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VLOOKUP(A444,04_PROYECTOS!$A:$N,10,FALSE))</f>
        <v/>
      </c>
      <c r="I444">
        <f>ROUNDUP(H444/30,0)</f>
        <v/>
      </c>
      <c r="J444">
        <f>EDATE(C444,I444)</f>
        <v/>
      </c>
      <c r="K444">
        <f>G444</f>
        <v/>
      </c>
    </row>
    <row r="445">
      <c r="E445">
        <f>D445*VLOOKUP(A445,04_PROYECTOS!$A:$N,5,FALSE)*(INDEX(02B_ESCENARIOS!$B$4:$D$11, MATCH("MULT_PRECIO", 02B_ESCENARIOS!$A$4:$A$11, 0), MATCH("Base", 02B_ESCENARIOS!$B$3:$D$3, 0)))*INDEX(02B_ESCENARIOS!$B$15:$D$19, MATCH(VLOOKUP(A445,04_PROYECTOS!$A:$N,9,FALSE), 02B_ESCENARIOS!$A$15:$A$19, 0), MATCH("Base", 02B_ESCENARIOS!$B$14:$D$14, 0))</f>
        <v/>
      </c>
      <c r="F445">
        <f>E445*VLOOKUP(A445,04_PROYECTOS!$A:$N,6,FALSE)</f>
        <v/>
      </c>
      <c r="G445">
        <f>E445+F445</f>
        <v/>
      </c>
      <c r="H445">
        <f>IF(VLOOKUP(A445,04_PROYECTOS!$A:$N,10,FALSE)="", IF(VLOOKUP(A445,04_PROYECTOS!$A:$N,4,FALSE)="Privado", INDEX(02B_ESCENARIOS!$B$4:$D$11, MATCH("DSO_PRIVADO_DEFAULT", 02B_ESCENARIOS!$A$4:$A$11, 0), MATCH("Base", 02B_ESCENARIOS!$B$3:$D$3, 0)), IF(VLOOKUP(A445,04_PROYECTOS!$A:$N,4,FALSE)="Publico_&lt;10M",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VLOOKUP(A445,04_PROYECTOS!$A:$N,10,FALSE))</f>
        <v/>
      </c>
      <c r="I445">
        <f>ROUNDUP(H445/30,0)</f>
        <v/>
      </c>
      <c r="J445">
        <f>EDATE(C445,I445)</f>
        <v/>
      </c>
      <c r="K445">
        <f>G445</f>
        <v/>
      </c>
    </row>
    <row r="446">
      <c r="E446">
        <f>D446*VLOOKUP(A446,04_PROYECTOS!$A:$N,5,FALSE)*(INDEX(02B_ESCENARIOS!$B$4:$D$11, MATCH("MULT_PRECIO", 02B_ESCENARIOS!$A$4:$A$11, 0), MATCH("Base", 02B_ESCENARIOS!$B$3:$D$3, 0)))*INDEX(02B_ESCENARIOS!$B$15:$D$19, MATCH(VLOOKUP(A446,04_PROYECTOS!$A:$N,9,FALSE), 02B_ESCENARIOS!$A$15:$A$19, 0), MATCH("Base", 02B_ESCENARIOS!$B$14:$D$14, 0))</f>
        <v/>
      </c>
      <c r="F446">
        <f>E446*VLOOKUP(A446,04_PROYECTOS!$A:$N,6,FALSE)</f>
        <v/>
      </c>
      <c r="G446">
        <f>E446+F446</f>
        <v/>
      </c>
      <c r="H446">
        <f>IF(VLOOKUP(A446,04_PROYECTOS!$A:$N,10,FALSE)="", IF(VLOOKUP(A446,04_PROYECTOS!$A:$N,4,FALSE)="Privado", INDEX(02B_ESCENARIOS!$B$4:$D$11, MATCH("DSO_PRIVADO_DEFAULT", 02B_ESCENARIOS!$A$4:$A$11, 0), MATCH("Base", 02B_ESCENARIOS!$B$3:$D$3, 0)), IF(VLOOKUP(A446,04_PROYECTOS!$A:$N,4,FALSE)="Publico_&lt;10M",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VLOOKUP(A446,04_PROYECTOS!$A:$N,10,FALSE))</f>
        <v/>
      </c>
      <c r="I446">
        <f>ROUNDUP(H446/30,0)</f>
        <v/>
      </c>
      <c r="J446">
        <f>EDATE(C446,I446)</f>
        <v/>
      </c>
      <c r="K446">
        <f>G446</f>
        <v/>
      </c>
    </row>
    <row r="447">
      <c r="E447">
        <f>D447*VLOOKUP(A447,04_PROYECTOS!$A:$N,5,FALSE)*(INDEX(02B_ESCENARIOS!$B$4:$D$11, MATCH("MULT_PRECIO", 02B_ESCENARIOS!$A$4:$A$11, 0), MATCH("Base", 02B_ESCENARIOS!$B$3:$D$3, 0)))*INDEX(02B_ESCENARIOS!$B$15:$D$19, MATCH(VLOOKUP(A447,04_PROYECTOS!$A:$N,9,FALSE), 02B_ESCENARIOS!$A$15:$A$19, 0), MATCH("Base", 02B_ESCENARIOS!$B$14:$D$14, 0))</f>
        <v/>
      </c>
      <c r="F447">
        <f>E447*VLOOKUP(A447,04_PROYECTOS!$A:$N,6,FALSE)</f>
        <v/>
      </c>
      <c r="G447">
        <f>E447+F447</f>
        <v/>
      </c>
      <c r="H447">
        <f>IF(VLOOKUP(A447,04_PROYECTOS!$A:$N,10,FALSE)="", IF(VLOOKUP(A447,04_PROYECTOS!$A:$N,4,FALSE)="Privado", INDEX(02B_ESCENARIOS!$B$4:$D$11, MATCH("DSO_PRIVADO_DEFAULT", 02B_ESCENARIOS!$A$4:$A$11, 0), MATCH("Base", 02B_ESCENARIOS!$B$3:$D$3, 0)), IF(VLOOKUP(A447,04_PROYECTOS!$A:$N,4,FALSE)="Publico_&lt;10M",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VLOOKUP(A447,04_PROYECTOS!$A:$N,10,FALSE))</f>
        <v/>
      </c>
      <c r="I447">
        <f>ROUNDUP(H447/30,0)</f>
        <v/>
      </c>
      <c r="J447">
        <f>EDATE(C447,I447)</f>
        <v/>
      </c>
      <c r="K447">
        <f>G447</f>
        <v/>
      </c>
    </row>
    <row r="448">
      <c r="E448">
        <f>D448*VLOOKUP(A448,04_PROYECTOS!$A:$N,5,FALSE)*(INDEX(02B_ESCENARIOS!$B$4:$D$11, MATCH("MULT_PRECIO", 02B_ESCENARIOS!$A$4:$A$11, 0), MATCH("Base", 02B_ESCENARIOS!$B$3:$D$3, 0)))*INDEX(02B_ESCENARIOS!$B$15:$D$19, MATCH(VLOOKUP(A448,04_PROYECTOS!$A:$N,9,FALSE), 02B_ESCENARIOS!$A$15:$A$19, 0), MATCH("Base", 02B_ESCENARIOS!$B$14:$D$14, 0))</f>
        <v/>
      </c>
      <c r="F448">
        <f>E448*VLOOKUP(A448,04_PROYECTOS!$A:$N,6,FALSE)</f>
        <v/>
      </c>
      <c r="G448">
        <f>E448+F448</f>
        <v/>
      </c>
      <c r="H448">
        <f>IF(VLOOKUP(A448,04_PROYECTOS!$A:$N,10,FALSE)="", IF(VLOOKUP(A448,04_PROYECTOS!$A:$N,4,FALSE)="Privado", INDEX(02B_ESCENARIOS!$B$4:$D$11, MATCH("DSO_PRIVADO_DEFAULT", 02B_ESCENARIOS!$A$4:$A$11, 0), MATCH("Base", 02B_ESCENARIOS!$B$3:$D$3, 0)), IF(VLOOKUP(A448,04_PROYECTOS!$A:$N,4,FALSE)="Publico_&lt;10M",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VLOOKUP(A448,04_PROYECTOS!$A:$N,10,FALSE))</f>
        <v/>
      </c>
      <c r="I448">
        <f>ROUNDUP(H448/30,0)</f>
        <v/>
      </c>
      <c r="J448">
        <f>EDATE(C448,I448)</f>
        <v/>
      </c>
      <c r="K448">
        <f>G448</f>
        <v/>
      </c>
    </row>
    <row r="449">
      <c r="E449">
        <f>D449*VLOOKUP(A449,04_PROYECTOS!$A:$N,5,FALSE)*(INDEX(02B_ESCENARIOS!$B$4:$D$11, MATCH("MULT_PRECIO", 02B_ESCENARIOS!$A$4:$A$11, 0), MATCH("Base", 02B_ESCENARIOS!$B$3:$D$3, 0)))*INDEX(02B_ESCENARIOS!$B$15:$D$19, MATCH(VLOOKUP(A449,04_PROYECTOS!$A:$N,9,FALSE), 02B_ESCENARIOS!$A$15:$A$19, 0), MATCH("Base", 02B_ESCENARIOS!$B$14:$D$14, 0))</f>
        <v/>
      </c>
      <c r="F449">
        <f>E449*VLOOKUP(A449,04_PROYECTOS!$A:$N,6,FALSE)</f>
        <v/>
      </c>
      <c r="G449">
        <f>E449+F449</f>
        <v/>
      </c>
      <c r="H449">
        <f>IF(VLOOKUP(A449,04_PROYECTOS!$A:$N,10,FALSE)="", IF(VLOOKUP(A449,04_PROYECTOS!$A:$N,4,FALSE)="Privado", INDEX(02B_ESCENARIOS!$B$4:$D$11, MATCH("DSO_PRIVADO_DEFAULT", 02B_ESCENARIOS!$A$4:$A$11, 0), MATCH("Base", 02B_ESCENARIOS!$B$3:$D$3, 0)), IF(VLOOKUP(A449,04_PROYECTOS!$A:$N,4,FALSE)="Publico_&lt;10M",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VLOOKUP(A449,04_PROYECTOS!$A:$N,10,FALSE))</f>
        <v/>
      </c>
      <c r="I449">
        <f>ROUNDUP(H449/30,0)</f>
        <v/>
      </c>
      <c r="J449">
        <f>EDATE(C449,I449)</f>
        <v/>
      </c>
      <c r="K449">
        <f>G449</f>
        <v/>
      </c>
    </row>
    <row r="450">
      <c r="E450">
        <f>D450*VLOOKUP(A450,04_PROYECTOS!$A:$N,5,FALSE)*(INDEX(02B_ESCENARIOS!$B$4:$D$11, MATCH("MULT_PRECIO", 02B_ESCENARIOS!$A$4:$A$11, 0), MATCH("Base", 02B_ESCENARIOS!$B$3:$D$3, 0)))*INDEX(02B_ESCENARIOS!$B$15:$D$19, MATCH(VLOOKUP(A450,04_PROYECTOS!$A:$N,9,FALSE), 02B_ESCENARIOS!$A$15:$A$19, 0), MATCH("Base", 02B_ESCENARIOS!$B$14:$D$14, 0))</f>
        <v/>
      </c>
      <c r="F450">
        <f>E450*VLOOKUP(A450,04_PROYECTOS!$A:$N,6,FALSE)</f>
        <v/>
      </c>
      <c r="G450">
        <f>E450+F450</f>
        <v/>
      </c>
      <c r="H450">
        <f>IF(VLOOKUP(A450,04_PROYECTOS!$A:$N,10,FALSE)="", IF(VLOOKUP(A450,04_PROYECTOS!$A:$N,4,FALSE)="Privado", INDEX(02B_ESCENARIOS!$B$4:$D$11, MATCH("DSO_PRIVADO_DEFAULT", 02B_ESCENARIOS!$A$4:$A$11, 0), MATCH("Base", 02B_ESCENARIOS!$B$3:$D$3, 0)), IF(VLOOKUP(A450,04_PROYECTOS!$A:$N,4,FALSE)="Publico_&lt;10M",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VLOOKUP(A450,04_PROYECTOS!$A:$N,10,FALSE))</f>
        <v/>
      </c>
      <c r="I450">
        <f>ROUNDUP(H450/30,0)</f>
        <v/>
      </c>
      <c r="J450">
        <f>EDATE(C450,I450)</f>
        <v/>
      </c>
      <c r="K450">
        <f>G450</f>
        <v/>
      </c>
    </row>
    <row r="451">
      <c r="E451">
        <f>D451*VLOOKUP(A451,04_PROYECTOS!$A:$N,5,FALSE)*(INDEX(02B_ESCENARIOS!$B$4:$D$11, MATCH("MULT_PRECIO", 02B_ESCENARIOS!$A$4:$A$11, 0), MATCH("Base", 02B_ESCENARIOS!$B$3:$D$3, 0)))*INDEX(02B_ESCENARIOS!$B$15:$D$19, MATCH(VLOOKUP(A451,04_PROYECTOS!$A:$N,9,FALSE), 02B_ESCENARIOS!$A$15:$A$19, 0), MATCH("Base", 02B_ESCENARIOS!$B$14:$D$14, 0))</f>
        <v/>
      </c>
      <c r="F451">
        <f>E451*VLOOKUP(A451,04_PROYECTOS!$A:$N,6,FALSE)</f>
        <v/>
      </c>
      <c r="G451">
        <f>E451+F451</f>
        <v/>
      </c>
      <c r="H451">
        <f>IF(VLOOKUP(A451,04_PROYECTOS!$A:$N,10,FALSE)="", IF(VLOOKUP(A451,04_PROYECTOS!$A:$N,4,FALSE)="Privado", INDEX(02B_ESCENARIOS!$B$4:$D$11, MATCH("DSO_PRIVADO_DEFAULT", 02B_ESCENARIOS!$A$4:$A$11, 0), MATCH("Base", 02B_ESCENARIOS!$B$3:$D$3, 0)), IF(VLOOKUP(A451,04_PROYECTOS!$A:$N,4,FALSE)="Publico_&lt;10M",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VLOOKUP(A451,04_PROYECTOS!$A:$N,10,FALSE))</f>
        <v/>
      </c>
      <c r="I451">
        <f>ROUNDUP(H451/30,0)</f>
        <v/>
      </c>
      <c r="J451">
        <f>EDATE(C451,I451)</f>
        <v/>
      </c>
      <c r="K451">
        <f>G451</f>
        <v/>
      </c>
    </row>
    <row r="452">
      <c r="E452">
        <f>D452*VLOOKUP(A452,04_PROYECTOS!$A:$N,5,FALSE)*(INDEX(02B_ESCENARIOS!$B$4:$D$11, MATCH("MULT_PRECIO", 02B_ESCENARIOS!$A$4:$A$11, 0), MATCH("Base", 02B_ESCENARIOS!$B$3:$D$3, 0)))*INDEX(02B_ESCENARIOS!$B$15:$D$19, MATCH(VLOOKUP(A452,04_PROYECTOS!$A:$N,9,FALSE), 02B_ESCENARIOS!$A$15:$A$19, 0), MATCH("Base", 02B_ESCENARIOS!$B$14:$D$14, 0))</f>
        <v/>
      </c>
      <c r="F452">
        <f>E452*VLOOKUP(A452,04_PROYECTOS!$A:$N,6,FALSE)</f>
        <v/>
      </c>
      <c r="G452">
        <f>E452+F452</f>
        <v/>
      </c>
      <c r="H452">
        <f>IF(VLOOKUP(A452,04_PROYECTOS!$A:$N,10,FALSE)="", IF(VLOOKUP(A452,04_PROYECTOS!$A:$N,4,FALSE)="Privado", INDEX(02B_ESCENARIOS!$B$4:$D$11, MATCH("DSO_PRIVADO_DEFAULT", 02B_ESCENARIOS!$A$4:$A$11, 0), MATCH("Base", 02B_ESCENARIOS!$B$3:$D$3, 0)), IF(VLOOKUP(A452,04_PROYECTOS!$A:$N,4,FALSE)="Publico_&lt;10M",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VLOOKUP(A452,04_PROYECTOS!$A:$N,10,FALSE))</f>
        <v/>
      </c>
      <c r="I452">
        <f>ROUNDUP(H452/30,0)</f>
        <v/>
      </c>
      <c r="J452">
        <f>EDATE(C452,I452)</f>
        <v/>
      </c>
      <c r="K452">
        <f>G452</f>
        <v/>
      </c>
    </row>
    <row r="453">
      <c r="E453">
        <f>D453*VLOOKUP(A453,04_PROYECTOS!$A:$N,5,FALSE)*(INDEX(02B_ESCENARIOS!$B$4:$D$11, MATCH("MULT_PRECIO", 02B_ESCENARIOS!$A$4:$A$11, 0), MATCH("Base", 02B_ESCENARIOS!$B$3:$D$3, 0)))*INDEX(02B_ESCENARIOS!$B$15:$D$19, MATCH(VLOOKUP(A453,04_PROYECTOS!$A:$N,9,FALSE), 02B_ESCENARIOS!$A$15:$A$19, 0), MATCH("Base", 02B_ESCENARIOS!$B$14:$D$14, 0))</f>
        <v/>
      </c>
      <c r="F453">
        <f>E453*VLOOKUP(A453,04_PROYECTOS!$A:$N,6,FALSE)</f>
        <v/>
      </c>
      <c r="G453">
        <f>E453+F453</f>
        <v/>
      </c>
      <c r="H453">
        <f>IF(VLOOKUP(A453,04_PROYECTOS!$A:$N,10,FALSE)="", IF(VLOOKUP(A453,04_PROYECTOS!$A:$N,4,FALSE)="Privado", INDEX(02B_ESCENARIOS!$B$4:$D$11, MATCH("DSO_PRIVADO_DEFAULT", 02B_ESCENARIOS!$A$4:$A$11, 0), MATCH("Base", 02B_ESCENARIOS!$B$3:$D$3, 0)), IF(VLOOKUP(A453,04_PROYECTOS!$A:$N,4,FALSE)="Publico_&lt;10M",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VLOOKUP(A453,04_PROYECTOS!$A:$N,10,FALSE))</f>
        <v/>
      </c>
      <c r="I453">
        <f>ROUNDUP(H453/30,0)</f>
        <v/>
      </c>
      <c r="J453">
        <f>EDATE(C453,I453)</f>
        <v/>
      </c>
      <c r="K453">
        <f>G453</f>
        <v/>
      </c>
    </row>
    <row r="454">
      <c r="E454">
        <f>D454*VLOOKUP(A454,04_PROYECTOS!$A:$N,5,FALSE)*(INDEX(02B_ESCENARIOS!$B$4:$D$11, MATCH("MULT_PRECIO", 02B_ESCENARIOS!$A$4:$A$11, 0), MATCH("Base", 02B_ESCENARIOS!$B$3:$D$3, 0)))*INDEX(02B_ESCENARIOS!$B$15:$D$19, MATCH(VLOOKUP(A454,04_PROYECTOS!$A:$N,9,FALSE), 02B_ESCENARIOS!$A$15:$A$19, 0), MATCH("Base", 02B_ESCENARIOS!$B$14:$D$14, 0))</f>
        <v/>
      </c>
      <c r="F454">
        <f>E454*VLOOKUP(A454,04_PROYECTOS!$A:$N,6,FALSE)</f>
        <v/>
      </c>
      <c r="G454">
        <f>E454+F454</f>
        <v/>
      </c>
      <c r="H454">
        <f>IF(VLOOKUP(A454,04_PROYECTOS!$A:$N,10,FALSE)="", IF(VLOOKUP(A454,04_PROYECTOS!$A:$N,4,FALSE)="Privado", INDEX(02B_ESCENARIOS!$B$4:$D$11, MATCH("DSO_PRIVADO_DEFAULT", 02B_ESCENARIOS!$A$4:$A$11, 0), MATCH("Base", 02B_ESCENARIOS!$B$3:$D$3, 0)), IF(VLOOKUP(A454,04_PROYECTOS!$A:$N,4,FALSE)="Publico_&lt;10M",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VLOOKUP(A454,04_PROYECTOS!$A:$N,10,FALSE))</f>
        <v/>
      </c>
      <c r="I454">
        <f>ROUNDUP(H454/30,0)</f>
        <v/>
      </c>
      <c r="J454">
        <f>EDATE(C454,I454)</f>
        <v/>
      </c>
      <c r="K454">
        <f>G454</f>
        <v/>
      </c>
    </row>
    <row r="455">
      <c r="E455">
        <f>D455*VLOOKUP(A455,04_PROYECTOS!$A:$N,5,FALSE)*(INDEX(02B_ESCENARIOS!$B$4:$D$11, MATCH("MULT_PRECIO", 02B_ESCENARIOS!$A$4:$A$11, 0), MATCH("Base", 02B_ESCENARIOS!$B$3:$D$3, 0)))*INDEX(02B_ESCENARIOS!$B$15:$D$19, MATCH(VLOOKUP(A455,04_PROYECTOS!$A:$N,9,FALSE), 02B_ESCENARIOS!$A$15:$A$19, 0), MATCH("Base", 02B_ESCENARIOS!$B$14:$D$14, 0))</f>
        <v/>
      </c>
      <c r="F455">
        <f>E455*VLOOKUP(A455,04_PROYECTOS!$A:$N,6,FALSE)</f>
        <v/>
      </c>
      <c r="G455">
        <f>E455+F455</f>
        <v/>
      </c>
      <c r="H455">
        <f>IF(VLOOKUP(A455,04_PROYECTOS!$A:$N,10,FALSE)="", IF(VLOOKUP(A455,04_PROYECTOS!$A:$N,4,FALSE)="Privado", INDEX(02B_ESCENARIOS!$B$4:$D$11, MATCH("DSO_PRIVADO_DEFAULT", 02B_ESCENARIOS!$A$4:$A$11, 0), MATCH("Base", 02B_ESCENARIOS!$B$3:$D$3, 0)), IF(VLOOKUP(A455,04_PROYECTOS!$A:$N,4,FALSE)="Publico_&lt;10M",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VLOOKUP(A455,04_PROYECTOS!$A:$N,10,FALSE))</f>
        <v/>
      </c>
      <c r="I455">
        <f>ROUNDUP(H455/30,0)</f>
        <v/>
      </c>
      <c r="J455">
        <f>EDATE(C455,I455)</f>
        <v/>
      </c>
      <c r="K455">
        <f>G455</f>
        <v/>
      </c>
    </row>
    <row r="456">
      <c r="E456">
        <f>D456*VLOOKUP(A456,04_PROYECTOS!$A:$N,5,FALSE)*(INDEX(02B_ESCENARIOS!$B$4:$D$11, MATCH("MULT_PRECIO", 02B_ESCENARIOS!$A$4:$A$11, 0), MATCH("Base", 02B_ESCENARIOS!$B$3:$D$3, 0)))*INDEX(02B_ESCENARIOS!$B$15:$D$19, MATCH(VLOOKUP(A456,04_PROYECTOS!$A:$N,9,FALSE), 02B_ESCENARIOS!$A$15:$A$19, 0), MATCH("Base", 02B_ESCENARIOS!$B$14:$D$14, 0))</f>
        <v/>
      </c>
      <c r="F456">
        <f>E456*VLOOKUP(A456,04_PROYECTOS!$A:$N,6,FALSE)</f>
        <v/>
      </c>
      <c r="G456">
        <f>E456+F456</f>
        <v/>
      </c>
      <c r="H456">
        <f>IF(VLOOKUP(A456,04_PROYECTOS!$A:$N,10,FALSE)="", IF(VLOOKUP(A456,04_PROYECTOS!$A:$N,4,FALSE)="Privado", INDEX(02B_ESCENARIOS!$B$4:$D$11, MATCH("DSO_PRIVADO_DEFAULT", 02B_ESCENARIOS!$A$4:$A$11, 0), MATCH("Base", 02B_ESCENARIOS!$B$3:$D$3, 0)), IF(VLOOKUP(A456,04_PROYECTOS!$A:$N,4,FALSE)="Publico_&lt;10M",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VLOOKUP(A456,04_PROYECTOS!$A:$N,10,FALSE))</f>
        <v/>
      </c>
      <c r="I456">
        <f>ROUNDUP(H456/30,0)</f>
        <v/>
      </c>
      <c r="J456">
        <f>EDATE(C456,I456)</f>
        <v/>
      </c>
      <c r="K456">
        <f>G456</f>
        <v/>
      </c>
    </row>
    <row r="457">
      <c r="E457">
        <f>D457*VLOOKUP(A457,04_PROYECTOS!$A:$N,5,FALSE)*(INDEX(02B_ESCENARIOS!$B$4:$D$11, MATCH("MULT_PRECIO", 02B_ESCENARIOS!$A$4:$A$11, 0), MATCH("Base", 02B_ESCENARIOS!$B$3:$D$3, 0)))*INDEX(02B_ESCENARIOS!$B$15:$D$19, MATCH(VLOOKUP(A457,04_PROYECTOS!$A:$N,9,FALSE), 02B_ESCENARIOS!$A$15:$A$19, 0), MATCH("Base", 02B_ESCENARIOS!$B$14:$D$14, 0))</f>
        <v/>
      </c>
      <c r="F457">
        <f>E457*VLOOKUP(A457,04_PROYECTOS!$A:$N,6,FALSE)</f>
        <v/>
      </c>
      <c r="G457">
        <f>E457+F457</f>
        <v/>
      </c>
      <c r="H457">
        <f>IF(VLOOKUP(A457,04_PROYECTOS!$A:$N,10,FALSE)="", IF(VLOOKUP(A457,04_PROYECTOS!$A:$N,4,FALSE)="Privado", INDEX(02B_ESCENARIOS!$B$4:$D$11, MATCH("DSO_PRIVADO_DEFAULT", 02B_ESCENARIOS!$A$4:$A$11, 0), MATCH("Base", 02B_ESCENARIOS!$B$3:$D$3, 0)), IF(VLOOKUP(A457,04_PROYECTOS!$A:$N,4,FALSE)="Publico_&lt;10M",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VLOOKUP(A457,04_PROYECTOS!$A:$N,10,FALSE))</f>
        <v/>
      </c>
      <c r="I457">
        <f>ROUNDUP(H457/30,0)</f>
        <v/>
      </c>
      <c r="J457">
        <f>EDATE(C457,I457)</f>
        <v/>
      </c>
      <c r="K457">
        <f>G457</f>
        <v/>
      </c>
    </row>
    <row r="458">
      <c r="E458">
        <f>D458*VLOOKUP(A458,04_PROYECTOS!$A:$N,5,FALSE)*(INDEX(02B_ESCENARIOS!$B$4:$D$11, MATCH("MULT_PRECIO", 02B_ESCENARIOS!$A$4:$A$11, 0), MATCH("Base", 02B_ESCENARIOS!$B$3:$D$3, 0)))*INDEX(02B_ESCENARIOS!$B$15:$D$19, MATCH(VLOOKUP(A458,04_PROYECTOS!$A:$N,9,FALSE), 02B_ESCENARIOS!$A$15:$A$19, 0), MATCH("Base", 02B_ESCENARIOS!$B$14:$D$14, 0))</f>
        <v/>
      </c>
      <c r="F458">
        <f>E458*VLOOKUP(A458,04_PROYECTOS!$A:$N,6,FALSE)</f>
        <v/>
      </c>
      <c r="G458">
        <f>E458+F458</f>
        <v/>
      </c>
      <c r="H458">
        <f>IF(VLOOKUP(A458,04_PROYECTOS!$A:$N,10,FALSE)="", IF(VLOOKUP(A458,04_PROYECTOS!$A:$N,4,FALSE)="Privado", INDEX(02B_ESCENARIOS!$B$4:$D$11, MATCH("DSO_PRIVADO_DEFAULT", 02B_ESCENARIOS!$A$4:$A$11, 0), MATCH("Base", 02B_ESCENARIOS!$B$3:$D$3, 0)), IF(VLOOKUP(A458,04_PROYECTOS!$A:$N,4,FALSE)="Publico_&lt;10M",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VLOOKUP(A458,04_PROYECTOS!$A:$N,10,FALSE))</f>
        <v/>
      </c>
      <c r="I458">
        <f>ROUNDUP(H458/30,0)</f>
        <v/>
      </c>
      <c r="J458">
        <f>EDATE(C458,I458)</f>
        <v/>
      </c>
      <c r="K458">
        <f>G458</f>
        <v/>
      </c>
    </row>
    <row r="459">
      <c r="E459">
        <f>D459*VLOOKUP(A459,04_PROYECTOS!$A:$N,5,FALSE)*(INDEX(02B_ESCENARIOS!$B$4:$D$11, MATCH("MULT_PRECIO", 02B_ESCENARIOS!$A$4:$A$11, 0), MATCH("Base", 02B_ESCENARIOS!$B$3:$D$3, 0)))*INDEX(02B_ESCENARIOS!$B$15:$D$19, MATCH(VLOOKUP(A459,04_PROYECTOS!$A:$N,9,FALSE), 02B_ESCENARIOS!$A$15:$A$19, 0), MATCH("Base", 02B_ESCENARIOS!$B$14:$D$14, 0))</f>
        <v/>
      </c>
      <c r="F459">
        <f>E459*VLOOKUP(A459,04_PROYECTOS!$A:$N,6,FALSE)</f>
        <v/>
      </c>
      <c r="G459">
        <f>E459+F459</f>
        <v/>
      </c>
      <c r="H459">
        <f>IF(VLOOKUP(A459,04_PROYECTOS!$A:$N,10,FALSE)="", IF(VLOOKUP(A459,04_PROYECTOS!$A:$N,4,FALSE)="Privado", INDEX(02B_ESCENARIOS!$B$4:$D$11, MATCH("DSO_PRIVADO_DEFAULT", 02B_ESCENARIOS!$A$4:$A$11, 0), MATCH("Base", 02B_ESCENARIOS!$B$3:$D$3, 0)), IF(VLOOKUP(A459,04_PROYECTOS!$A:$N,4,FALSE)="Publico_&lt;10M",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VLOOKUP(A459,04_PROYECTOS!$A:$N,10,FALSE))</f>
        <v/>
      </c>
      <c r="I459">
        <f>ROUNDUP(H459/30,0)</f>
        <v/>
      </c>
      <c r="J459">
        <f>EDATE(C459,I459)</f>
        <v/>
      </c>
      <c r="K459">
        <f>G459</f>
        <v/>
      </c>
    </row>
    <row r="460">
      <c r="E460">
        <f>D460*VLOOKUP(A460,04_PROYECTOS!$A:$N,5,FALSE)*(INDEX(02B_ESCENARIOS!$B$4:$D$11, MATCH("MULT_PRECIO", 02B_ESCENARIOS!$A$4:$A$11, 0), MATCH("Base", 02B_ESCENARIOS!$B$3:$D$3, 0)))*INDEX(02B_ESCENARIOS!$B$15:$D$19, MATCH(VLOOKUP(A460,04_PROYECTOS!$A:$N,9,FALSE), 02B_ESCENARIOS!$A$15:$A$19, 0), MATCH("Base", 02B_ESCENARIOS!$B$14:$D$14, 0))</f>
        <v/>
      </c>
      <c r="F460">
        <f>E460*VLOOKUP(A460,04_PROYECTOS!$A:$N,6,FALSE)</f>
        <v/>
      </c>
      <c r="G460">
        <f>E460+F460</f>
        <v/>
      </c>
      <c r="H460">
        <f>IF(VLOOKUP(A460,04_PROYECTOS!$A:$N,10,FALSE)="", IF(VLOOKUP(A460,04_PROYECTOS!$A:$N,4,FALSE)="Privado", INDEX(02B_ESCENARIOS!$B$4:$D$11, MATCH("DSO_PRIVADO_DEFAULT", 02B_ESCENARIOS!$A$4:$A$11, 0), MATCH("Base", 02B_ESCENARIOS!$B$3:$D$3, 0)), IF(VLOOKUP(A460,04_PROYECTOS!$A:$N,4,FALSE)="Publico_&lt;10M",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VLOOKUP(A460,04_PROYECTOS!$A:$N,10,FALSE))</f>
        <v/>
      </c>
      <c r="I460">
        <f>ROUNDUP(H460/30,0)</f>
        <v/>
      </c>
      <c r="J460">
        <f>EDATE(C460,I460)</f>
        <v/>
      </c>
      <c r="K460">
        <f>G460</f>
        <v/>
      </c>
    </row>
    <row r="461">
      <c r="E461">
        <f>D461*VLOOKUP(A461,04_PROYECTOS!$A:$N,5,FALSE)*(INDEX(02B_ESCENARIOS!$B$4:$D$11, MATCH("MULT_PRECIO", 02B_ESCENARIOS!$A$4:$A$11, 0), MATCH("Base", 02B_ESCENARIOS!$B$3:$D$3, 0)))*INDEX(02B_ESCENARIOS!$B$15:$D$19, MATCH(VLOOKUP(A461,04_PROYECTOS!$A:$N,9,FALSE), 02B_ESCENARIOS!$A$15:$A$19, 0), MATCH("Base", 02B_ESCENARIOS!$B$14:$D$14, 0))</f>
        <v/>
      </c>
      <c r="F461">
        <f>E461*VLOOKUP(A461,04_PROYECTOS!$A:$N,6,FALSE)</f>
        <v/>
      </c>
      <c r="G461">
        <f>E461+F461</f>
        <v/>
      </c>
      <c r="H461">
        <f>IF(VLOOKUP(A461,04_PROYECTOS!$A:$N,10,FALSE)="", IF(VLOOKUP(A461,04_PROYECTOS!$A:$N,4,FALSE)="Privado", INDEX(02B_ESCENARIOS!$B$4:$D$11, MATCH("DSO_PRIVADO_DEFAULT", 02B_ESCENARIOS!$A$4:$A$11, 0), MATCH("Base", 02B_ESCENARIOS!$B$3:$D$3, 0)), IF(VLOOKUP(A461,04_PROYECTOS!$A:$N,4,FALSE)="Publico_&lt;10M",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VLOOKUP(A461,04_PROYECTOS!$A:$N,10,FALSE))</f>
        <v/>
      </c>
      <c r="I461">
        <f>ROUNDUP(H461/30,0)</f>
        <v/>
      </c>
      <c r="J461">
        <f>EDATE(C461,I461)</f>
        <v/>
      </c>
      <c r="K461">
        <f>G461</f>
        <v/>
      </c>
    </row>
    <row r="462">
      <c r="E462">
        <f>D462*VLOOKUP(A462,04_PROYECTOS!$A:$N,5,FALSE)*(INDEX(02B_ESCENARIOS!$B$4:$D$11, MATCH("MULT_PRECIO", 02B_ESCENARIOS!$A$4:$A$11, 0), MATCH("Base", 02B_ESCENARIOS!$B$3:$D$3, 0)))*INDEX(02B_ESCENARIOS!$B$15:$D$19, MATCH(VLOOKUP(A462,04_PROYECTOS!$A:$N,9,FALSE), 02B_ESCENARIOS!$A$15:$A$19, 0), MATCH("Base", 02B_ESCENARIOS!$B$14:$D$14, 0))</f>
        <v/>
      </c>
      <c r="F462">
        <f>E462*VLOOKUP(A462,04_PROYECTOS!$A:$N,6,FALSE)</f>
        <v/>
      </c>
      <c r="G462">
        <f>E462+F462</f>
        <v/>
      </c>
      <c r="H462">
        <f>IF(VLOOKUP(A462,04_PROYECTOS!$A:$N,10,FALSE)="", IF(VLOOKUP(A462,04_PROYECTOS!$A:$N,4,FALSE)="Privado", INDEX(02B_ESCENARIOS!$B$4:$D$11, MATCH("DSO_PRIVADO_DEFAULT", 02B_ESCENARIOS!$A$4:$A$11, 0), MATCH("Base", 02B_ESCENARIOS!$B$3:$D$3, 0)), IF(VLOOKUP(A462,04_PROYECTOS!$A:$N,4,FALSE)="Publico_&lt;10M",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VLOOKUP(A462,04_PROYECTOS!$A:$N,10,FALSE))</f>
        <v/>
      </c>
      <c r="I462">
        <f>ROUNDUP(H462/30,0)</f>
        <v/>
      </c>
      <c r="J462">
        <f>EDATE(C462,I462)</f>
        <v/>
      </c>
      <c r="K462">
        <f>G462</f>
        <v/>
      </c>
    </row>
    <row r="463">
      <c r="E463">
        <f>D463*VLOOKUP(A463,04_PROYECTOS!$A:$N,5,FALSE)*(INDEX(02B_ESCENARIOS!$B$4:$D$11, MATCH("MULT_PRECIO", 02B_ESCENARIOS!$A$4:$A$11, 0), MATCH("Base", 02B_ESCENARIOS!$B$3:$D$3, 0)))*INDEX(02B_ESCENARIOS!$B$15:$D$19, MATCH(VLOOKUP(A463,04_PROYECTOS!$A:$N,9,FALSE), 02B_ESCENARIOS!$A$15:$A$19, 0), MATCH("Base", 02B_ESCENARIOS!$B$14:$D$14, 0))</f>
        <v/>
      </c>
      <c r="F463">
        <f>E463*VLOOKUP(A463,04_PROYECTOS!$A:$N,6,FALSE)</f>
        <v/>
      </c>
      <c r="G463">
        <f>E463+F463</f>
        <v/>
      </c>
      <c r="H463">
        <f>IF(VLOOKUP(A463,04_PROYECTOS!$A:$N,10,FALSE)="", IF(VLOOKUP(A463,04_PROYECTOS!$A:$N,4,FALSE)="Privado", INDEX(02B_ESCENARIOS!$B$4:$D$11, MATCH("DSO_PRIVADO_DEFAULT", 02B_ESCENARIOS!$A$4:$A$11, 0), MATCH("Base", 02B_ESCENARIOS!$B$3:$D$3, 0)), IF(VLOOKUP(A463,04_PROYECTOS!$A:$N,4,FALSE)="Publico_&lt;10M",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VLOOKUP(A463,04_PROYECTOS!$A:$N,10,FALSE))</f>
        <v/>
      </c>
      <c r="I463">
        <f>ROUNDUP(H463/30,0)</f>
        <v/>
      </c>
      <c r="J463">
        <f>EDATE(C463,I463)</f>
        <v/>
      </c>
      <c r="K463">
        <f>G463</f>
        <v/>
      </c>
    </row>
    <row r="464">
      <c r="E464">
        <f>D464*VLOOKUP(A464,04_PROYECTOS!$A:$N,5,FALSE)*(INDEX(02B_ESCENARIOS!$B$4:$D$11, MATCH("MULT_PRECIO", 02B_ESCENARIOS!$A$4:$A$11, 0), MATCH("Base", 02B_ESCENARIOS!$B$3:$D$3, 0)))*INDEX(02B_ESCENARIOS!$B$15:$D$19, MATCH(VLOOKUP(A464,04_PROYECTOS!$A:$N,9,FALSE), 02B_ESCENARIOS!$A$15:$A$19, 0), MATCH("Base", 02B_ESCENARIOS!$B$14:$D$14, 0))</f>
        <v/>
      </c>
      <c r="F464">
        <f>E464*VLOOKUP(A464,04_PROYECTOS!$A:$N,6,FALSE)</f>
        <v/>
      </c>
      <c r="G464">
        <f>E464+F464</f>
        <v/>
      </c>
      <c r="H464">
        <f>IF(VLOOKUP(A464,04_PROYECTOS!$A:$N,10,FALSE)="", IF(VLOOKUP(A464,04_PROYECTOS!$A:$N,4,FALSE)="Privado", INDEX(02B_ESCENARIOS!$B$4:$D$11, MATCH("DSO_PRIVADO_DEFAULT", 02B_ESCENARIOS!$A$4:$A$11, 0), MATCH("Base", 02B_ESCENARIOS!$B$3:$D$3, 0)), IF(VLOOKUP(A464,04_PROYECTOS!$A:$N,4,FALSE)="Publico_&lt;10M",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VLOOKUP(A464,04_PROYECTOS!$A:$N,10,FALSE))</f>
        <v/>
      </c>
      <c r="I464">
        <f>ROUNDUP(H464/30,0)</f>
        <v/>
      </c>
      <c r="J464">
        <f>EDATE(C464,I464)</f>
        <v/>
      </c>
      <c r="K464">
        <f>G464</f>
        <v/>
      </c>
    </row>
    <row r="465">
      <c r="E465">
        <f>D465*VLOOKUP(A465,04_PROYECTOS!$A:$N,5,FALSE)*(INDEX(02B_ESCENARIOS!$B$4:$D$11, MATCH("MULT_PRECIO", 02B_ESCENARIOS!$A$4:$A$11, 0), MATCH("Base", 02B_ESCENARIOS!$B$3:$D$3, 0)))*INDEX(02B_ESCENARIOS!$B$15:$D$19, MATCH(VLOOKUP(A465,04_PROYECTOS!$A:$N,9,FALSE), 02B_ESCENARIOS!$A$15:$A$19, 0), MATCH("Base", 02B_ESCENARIOS!$B$14:$D$14, 0))</f>
        <v/>
      </c>
      <c r="F465">
        <f>E465*VLOOKUP(A465,04_PROYECTOS!$A:$N,6,FALSE)</f>
        <v/>
      </c>
      <c r="G465">
        <f>E465+F465</f>
        <v/>
      </c>
      <c r="H465">
        <f>IF(VLOOKUP(A465,04_PROYECTOS!$A:$N,10,FALSE)="", IF(VLOOKUP(A465,04_PROYECTOS!$A:$N,4,FALSE)="Privado", INDEX(02B_ESCENARIOS!$B$4:$D$11, MATCH("DSO_PRIVADO_DEFAULT", 02B_ESCENARIOS!$A$4:$A$11, 0), MATCH("Base", 02B_ESCENARIOS!$B$3:$D$3, 0)), IF(VLOOKUP(A465,04_PROYECTOS!$A:$N,4,FALSE)="Publico_&lt;10M",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VLOOKUP(A465,04_PROYECTOS!$A:$N,10,FALSE))</f>
        <v/>
      </c>
      <c r="I465">
        <f>ROUNDUP(H465/30,0)</f>
        <v/>
      </c>
      <c r="J465">
        <f>EDATE(C465,I465)</f>
        <v/>
      </c>
      <c r="K465">
        <f>G465</f>
        <v/>
      </c>
    </row>
    <row r="466">
      <c r="E466">
        <f>D466*VLOOKUP(A466,04_PROYECTOS!$A:$N,5,FALSE)*(INDEX(02B_ESCENARIOS!$B$4:$D$11, MATCH("MULT_PRECIO", 02B_ESCENARIOS!$A$4:$A$11, 0), MATCH("Base", 02B_ESCENARIOS!$B$3:$D$3, 0)))*INDEX(02B_ESCENARIOS!$B$15:$D$19, MATCH(VLOOKUP(A466,04_PROYECTOS!$A:$N,9,FALSE), 02B_ESCENARIOS!$A$15:$A$19, 0), MATCH("Base", 02B_ESCENARIOS!$B$14:$D$14, 0))</f>
        <v/>
      </c>
      <c r="F466">
        <f>E466*VLOOKUP(A466,04_PROYECTOS!$A:$N,6,FALSE)</f>
        <v/>
      </c>
      <c r="G466">
        <f>E466+F466</f>
        <v/>
      </c>
      <c r="H466">
        <f>IF(VLOOKUP(A466,04_PROYECTOS!$A:$N,10,FALSE)="", IF(VLOOKUP(A466,04_PROYECTOS!$A:$N,4,FALSE)="Privado", INDEX(02B_ESCENARIOS!$B$4:$D$11, MATCH("DSO_PRIVADO_DEFAULT", 02B_ESCENARIOS!$A$4:$A$11, 0), MATCH("Base", 02B_ESCENARIOS!$B$3:$D$3, 0)), IF(VLOOKUP(A466,04_PROYECTOS!$A:$N,4,FALSE)="Publico_&lt;10M",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VLOOKUP(A466,04_PROYECTOS!$A:$N,10,FALSE))</f>
        <v/>
      </c>
      <c r="I466">
        <f>ROUNDUP(H466/30,0)</f>
        <v/>
      </c>
      <c r="J466">
        <f>EDATE(C466,I466)</f>
        <v/>
      </c>
      <c r="K466">
        <f>G466</f>
        <v/>
      </c>
    </row>
    <row r="467">
      <c r="E467">
        <f>D467*VLOOKUP(A467,04_PROYECTOS!$A:$N,5,FALSE)*(INDEX(02B_ESCENARIOS!$B$4:$D$11, MATCH("MULT_PRECIO", 02B_ESCENARIOS!$A$4:$A$11, 0), MATCH("Base", 02B_ESCENARIOS!$B$3:$D$3, 0)))*INDEX(02B_ESCENARIOS!$B$15:$D$19, MATCH(VLOOKUP(A467,04_PROYECTOS!$A:$N,9,FALSE), 02B_ESCENARIOS!$A$15:$A$19, 0), MATCH("Base", 02B_ESCENARIOS!$B$14:$D$14, 0))</f>
        <v/>
      </c>
      <c r="F467">
        <f>E467*VLOOKUP(A467,04_PROYECTOS!$A:$N,6,FALSE)</f>
        <v/>
      </c>
      <c r="G467">
        <f>E467+F467</f>
        <v/>
      </c>
      <c r="H467">
        <f>IF(VLOOKUP(A467,04_PROYECTOS!$A:$N,10,FALSE)="", IF(VLOOKUP(A467,04_PROYECTOS!$A:$N,4,FALSE)="Privado", INDEX(02B_ESCENARIOS!$B$4:$D$11, MATCH("DSO_PRIVADO_DEFAULT", 02B_ESCENARIOS!$A$4:$A$11, 0), MATCH("Base", 02B_ESCENARIOS!$B$3:$D$3, 0)), IF(VLOOKUP(A467,04_PROYECTOS!$A:$N,4,FALSE)="Publico_&lt;10M",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VLOOKUP(A467,04_PROYECTOS!$A:$N,10,FALSE))</f>
        <v/>
      </c>
      <c r="I467">
        <f>ROUNDUP(H467/30,0)</f>
        <v/>
      </c>
      <c r="J467">
        <f>EDATE(C467,I467)</f>
        <v/>
      </c>
      <c r="K467">
        <f>G467</f>
        <v/>
      </c>
    </row>
    <row r="468">
      <c r="E468">
        <f>D468*VLOOKUP(A468,04_PROYECTOS!$A:$N,5,FALSE)*(INDEX(02B_ESCENARIOS!$B$4:$D$11, MATCH("MULT_PRECIO", 02B_ESCENARIOS!$A$4:$A$11, 0), MATCH("Base", 02B_ESCENARIOS!$B$3:$D$3, 0)))*INDEX(02B_ESCENARIOS!$B$15:$D$19, MATCH(VLOOKUP(A468,04_PROYECTOS!$A:$N,9,FALSE), 02B_ESCENARIOS!$A$15:$A$19, 0), MATCH("Base", 02B_ESCENARIOS!$B$14:$D$14, 0))</f>
        <v/>
      </c>
      <c r="F468">
        <f>E468*VLOOKUP(A468,04_PROYECTOS!$A:$N,6,FALSE)</f>
        <v/>
      </c>
      <c r="G468">
        <f>E468+F468</f>
        <v/>
      </c>
      <c r="H468">
        <f>IF(VLOOKUP(A468,04_PROYECTOS!$A:$N,10,FALSE)="", IF(VLOOKUP(A468,04_PROYECTOS!$A:$N,4,FALSE)="Privado", INDEX(02B_ESCENARIOS!$B$4:$D$11, MATCH("DSO_PRIVADO_DEFAULT", 02B_ESCENARIOS!$A$4:$A$11, 0), MATCH("Base", 02B_ESCENARIOS!$B$3:$D$3, 0)), IF(VLOOKUP(A468,04_PROYECTOS!$A:$N,4,FALSE)="Publico_&lt;10M",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VLOOKUP(A468,04_PROYECTOS!$A:$N,10,FALSE))</f>
        <v/>
      </c>
      <c r="I468">
        <f>ROUNDUP(H468/30,0)</f>
        <v/>
      </c>
      <c r="J468">
        <f>EDATE(C468,I468)</f>
        <v/>
      </c>
      <c r="K468">
        <f>G468</f>
        <v/>
      </c>
    </row>
    <row r="469">
      <c r="E469">
        <f>D469*VLOOKUP(A469,04_PROYECTOS!$A:$N,5,FALSE)*(INDEX(02B_ESCENARIOS!$B$4:$D$11, MATCH("MULT_PRECIO", 02B_ESCENARIOS!$A$4:$A$11, 0), MATCH("Base", 02B_ESCENARIOS!$B$3:$D$3, 0)))*INDEX(02B_ESCENARIOS!$B$15:$D$19, MATCH(VLOOKUP(A469,04_PROYECTOS!$A:$N,9,FALSE), 02B_ESCENARIOS!$A$15:$A$19, 0), MATCH("Base", 02B_ESCENARIOS!$B$14:$D$14, 0))</f>
        <v/>
      </c>
      <c r="F469">
        <f>E469*VLOOKUP(A469,04_PROYECTOS!$A:$N,6,FALSE)</f>
        <v/>
      </c>
      <c r="G469">
        <f>E469+F469</f>
        <v/>
      </c>
      <c r="H469">
        <f>IF(VLOOKUP(A469,04_PROYECTOS!$A:$N,10,FALSE)="", IF(VLOOKUP(A469,04_PROYECTOS!$A:$N,4,FALSE)="Privado", INDEX(02B_ESCENARIOS!$B$4:$D$11, MATCH("DSO_PRIVADO_DEFAULT", 02B_ESCENARIOS!$A$4:$A$11, 0), MATCH("Base", 02B_ESCENARIOS!$B$3:$D$3, 0)), IF(VLOOKUP(A469,04_PROYECTOS!$A:$N,4,FALSE)="Publico_&lt;10M",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VLOOKUP(A469,04_PROYECTOS!$A:$N,10,FALSE))</f>
        <v/>
      </c>
      <c r="I469">
        <f>ROUNDUP(H469/30,0)</f>
        <v/>
      </c>
      <c r="J469">
        <f>EDATE(C469,I469)</f>
        <v/>
      </c>
      <c r="K469">
        <f>G469</f>
        <v/>
      </c>
    </row>
    <row r="470">
      <c r="E470">
        <f>D470*VLOOKUP(A470,04_PROYECTOS!$A:$N,5,FALSE)*(INDEX(02B_ESCENARIOS!$B$4:$D$11, MATCH("MULT_PRECIO", 02B_ESCENARIOS!$A$4:$A$11, 0), MATCH("Base", 02B_ESCENARIOS!$B$3:$D$3, 0)))*INDEX(02B_ESCENARIOS!$B$15:$D$19, MATCH(VLOOKUP(A470,04_PROYECTOS!$A:$N,9,FALSE), 02B_ESCENARIOS!$A$15:$A$19, 0), MATCH("Base", 02B_ESCENARIOS!$B$14:$D$14, 0))</f>
        <v/>
      </c>
      <c r="F470">
        <f>E470*VLOOKUP(A470,04_PROYECTOS!$A:$N,6,FALSE)</f>
        <v/>
      </c>
      <c r="G470">
        <f>E470+F470</f>
        <v/>
      </c>
      <c r="H470">
        <f>IF(VLOOKUP(A470,04_PROYECTOS!$A:$N,10,FALSE)="", IF(VLOOKUP(A470,04_PROYECTOS!$A:$N,4,FALSE)="Privado", INDEX(02B_ESCENARIOS!$B$4:$D$11, MATCH("DSO_PRIVADO_DEFAULT", 02B_ESCENARIOS!$A$4:$A$11, 0), MATCH("Base", 02B_ESCENARIOS!$B$3:$D$3, 0)), IF(VLOOKUP(A470,04_PROYECTOS!$A:$N,4,FALSE)="Publico_&lt;10M",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VLOOKUP(A470,04_PROYECTOS!$A:$N,10,FALSE))</f>
        <v/>
      </c>
      <c r="I470">
        <f>ROUNDUP(H470/30,0)</f>
        <v/>
      </c>
      <c r="J470">
        <f>EDATE(C470,I470)</f>
        <v/>
      </c>
      <c r="K470">
        <f>G470</f>
        <v/>
      </c>
    </row>
    <row r="471">
      <c r="E471">
        <f>D471*VLOOKUP(A471,04_PROYECTOS!$A:$N,5,FALSE)*(INDEX(02B_ESCENARIOS!$B$4:$D$11, MATCH("MULT_PRECIO", 02B_ESCENARIOS!$A$4:$A$11, 0), MATCH("Base", 02B_ESCENARIOS!$B$3:$D$3, 0)))*INDEX(02B_ESCENARIOS!$B$15:$D$19, MATCH(VLOOKUP(A471,04_PROYECTOS!$A:$N,9,FALSE), 02B_ESCENARIOS!$A$15:$A$19, 0), MATCH("Base", 02B_ESCENARIOS!$B$14:$D$14, 0))</f>
        <v/>
      </c>
      <c r="F471">
        <f>E471*VLOOKUP(A471,04_PROYECTOS!$A:$N,6,FALSE)</f>
        <v/>
      </c>
      <c r="G471">
        <f>E471+F471</f>
        <v/>
      </c>
      <c r="H471">
        <f>IF(VLOOKUP(A471,04_PROYECTOS!$A:$N,10,FALSE)="", IF(VLOOKUP(A471,04_PROYECTOS!$A:$N,4,FALSE)="Privado", INDEX(02B_ESCENARIOS!$B$4:$D$11, MATCH("DSO_PRIVADO_DEFAULT", 02B_ESCENARIOS!$A$4:$A$11, 0), MATCH("Base", 02B_ESCENARIOS!$B$3:$D$3, 0)), IF(VLOOKUP(A471,04_PROYECTOS!$A:$N,4,FALSE)="Publico_&lt;10M",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VLOOKUP(A471,04_PROYECTOS!$A:$N,10,FALSE))</f>
        <v/>
      </c>
      <c r="I471">
        <f>ROUNDUP(H471/30,0)</f>
        <v/>
      </c>
      <c r="J471">
        <f>EDATE(C471,I471)</f>
        <v/>
      </c>
      <c r="K471">
        <f>G471</f>
        <v/>
      </c>
    </row>
    <row r="472">
      <c r="E472">
        <f>D472*VLOOKUP(A472,04_PROYECTOS!$A:$N,5,FALSE)*(INDEX(02B_ESCENARIOS!$B$4:$D$11, MATCH("MULT_PRECIO", 02B_ESCENARIOS!$A$4:$A$11, 0), MATCH("Base", 02B_ESCENARIOS!$B$3:$D$3, 0)))*INDEX(02B_ESCENARIOS!$B$15:$D$19, MATCH(VLOOKUP(A472,04_PROYECTOS!$A:$N,9,FALSE), 02B_ESCENARIOS!$A$15:$A$19, 0), MATCH("Base", 02B_ESCENARIOS!$B$14:$D$14, 0))</f>
        <v/>
      </c>
      <c r="F472">
        <f>E472*VLOOKUP(A472,04_PROYECTOS!$A:$N,6,FALSE)</f>
        <v/>
      </c>
      <c r="G472">
        <f>E472+F472</f>
        <v/>
      </c>
      <c r="H472">
        <f>IF(VLOOKUP(A472,04_PROYECTOS!$A:$N,10,FALSE)="", IF(VLOOKUP(A472,04_PROYECTOS!$A:$N,4,FALSE)="Privado", INDEX(02B_ESCENARIOS!$B$4:$D$11, MATCH("DSO_PRIVADO_DEFAULT", 02B_ESCENARIOS!$A$4:$A$11, 0), MATCH("Base", 02B_ESCENARIOS!$B$3:$D$3, 0)), IF(VLOOKUP(A472,04_PROYECTOS!$A:$N,4,FALSE)="Publico_&lt;10M",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VLOOKUP(A472,04_PROYECTOS!$A:$N,10,FALSE))</f>
        <v/>
      </c>
      <c r="I472">
        <f>ROUNDUP(H472/30,0)</f>
        <v/>
      </c>
      <c r="J472">
        <f>EDATE(C472,I472)</f>
        <v/>
      </c>
      <c r="K472">
        <f>G472</f>
        <v/>
      </c>
    </row>
    <row r="473">
      <c r="E473">
        <f>D473*VLOOKUP(A473,04_PROYECTOS!$A:$N,5,FALSE)*(INDEX(02B_ESCENARIOS!$B$4:$D$11, MATCH("MULT_PRECIO", 02B_ESCENARIOS!$A$4:$A$11, 0), MATCH("Base", 02B_ESCENARIOS!$B$3:$D$3, 0)))*INDEX(02B_ESCENARIOS!$B$15:$D$19, MATCH(VLOOKUP(A473,04_PROYECTOS!$A:$N,9,FALSE), 02B_ESCENARIOS!$A$15:$A$19, 0), MATCH("Base", 02B_ESCENARIOS!$B$14:$D$14, 0))</f>
        <v/>
      </c>
      <c r="F473">
        <f>E473*VLOOKUP(A473,04_PROYECTOS!$A:$N,6,FALSE)</f>
        <v/>
      </c>
      <c r="G473">
        <f>E473+F473</f>
        <v/>
      </c>
      <c r="H473">
        <f>IF(VLOOKUP(A473,04_PROYECTOS!$A:$N,10,FALSE)="", IF(VLOOKUP(A473,04_PROYECTOS!$A:$N,4,FALSE)="Privado", INDEX(02B_ESCENARIOS!$B$4:$D$11, MATCH("DSO_PRIVADO_DEFAULT", 02B_ESCENARIOS!$A$4:$A$11, 0), MATCH("Base", 02B_ESCENARIOS!$B$3:$D$3, 0)), IF(VLOOKUP(A473,04_PROYECTOS!$A:$N,4,FALSE)="Publico_&lt;10M",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VLOOKUP(A473,04_PROYECTOS!$A:$N,10,FALSE))</f>
        <v/>
      </c>
      <c r="I473">
        <f>ROUNDUP(H473/30,0)</f>
        <v/>
      </c>
      <c r="J473">
        <f>EDATE(C473,I473)</f>
        <v/>
      </c>
      <c r="K473">
        <f>G473</f>
        <v/>
      </c>
    </row>
    <row r="474">
      <c r="E474">
        <f>D474*VLOOKUP(A474,04_PROYECTOS!$A:$N,5,FALSE)*(INDEX(02B_ESCENARIOS!$B$4:$D$11, MATCH("MULT_PRECIO", 02B_ESCENARIOS!$A$4:$A$11, 0), MATCH("Base", 02B_ESCENARIOS!$B$3:$D$3, 0)))*INDEX(02B_ESCENARIOS!$B$15:$D$19, MATCH(VLOOKUP(A474,04_PROYECTOS!$A:$N,9,FALSE), 02B_ESCENARIOS!$A$15:$A$19, 0), MATCH("Base", 02B_ESCENARIOS!$B$14:$D$14, 0))</f>
        <v/>
      </c>
      <c r="F474">
        <f>E474*VLOOKUP(A474,04_PROYECTOS!$A:$N,6,FALSE)</f>
        <v/>
      </c>
      <c r="G474">
        <f>E474+F474</f>
        <v/>
      </c>
      <c r="H474">
        <f>IF(VLOOKUP(A474,04_PROYECTOS!$A:$N,10,FALSE)="", IF(VLOOKUP(A474,04_PROYECTOS!$A:$N,4,FALSE)="Privado", INDEX(02B_ESCENARIOS!$B$4:$D$11, MATCH("DSO_PRIVADO_DEFAULT", 02B_ESCENARIOS!$A$4:$A$11, 0), MATCH("Base", 02B_ESCENARIOS!$B$3:$D$3, 0)), IF(VLOOKUP(A474,04_PROYECTOS!$A:$N,4,FALSE)="Publico_&lt;10M",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VLOOKUP(A474,04_PROYECTOS!$A:$N,10,FALSE))</f>
        <v/>
      </c>
      <c r="I474">
        <f>ROUNDUP(H474/30,0)</f>
        <v/>
      </c>
      <c r="J474">
        <f>EDATE(C474,I474)</f>
        <v/>
      </c>
      <c r="K474">
        <f>G474</f>
        <v/>
      </c>
    </row>
    <row r="475">
      <c r="E475">
        <f>D475*VLOOKUP(A475,04_PROYECTOS!$A:$N,5,FALSE)*(INDEX(02B_ESCENARIOS!$B$4:$D$11, MATCH("MULT_PRECIO", 02B_ESCENARIOS!$A$4:$A$11, 0), MATCH("Base", 02B_ESCENARIOS!$B$3:$D$3, 0)))*INDEX(02B_ESCENARIOS!$B$15:$D$19, MATCH(VLOOKUP(A475,04_PROYECTOS!$A:$N,9,FALSE), 02B_ESCENARIOS!$A$15:$A$19, 0), MATCH("Base", 02B_ESCENARIOS!$B$14:$D$14, 0))</f>
        <v/>
      </c>
      <c r="F475">
        <f>E475*VLOOKUP(A475,04_PROYECTOS!$A:$N,6,FALSE)</f>
        <v/>
      </c>
      <c r="G475">
        <f>E475+F475</f>
        <v/>
      </c>
      <c r="H475">
        <f>IF(VLOOKUP(A475,04_PROYECTOS!$A:$N,10,FALSE)="", IF(VLOOKUP(A475,04_PROYECTOS!$A:$N,4,FALSE)="Privado", INDEX(02B_ESCENARIOS!$B$4:$D$11, MATCH("DSO_PRIVADO_DEFAULT", 02B_ESCENARIOS!$A$4:$A$11, 0), MATCH("Base", 02B_ESCENARIOS!$B$3:$D$3, 0)), IF(VLOOKUP(A475,04_PROYECTOS!$A:$N,4,FALSE)="Publico_&lt;10M",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VLOOKUP(A475,04_PROYECTOS!$A:$N,10,FALSE))</f>
        <v/>
      </c>
      <c r="I475">
        <f>ROUNDUP(H475/30,0)</f>
        <v/>
      </c>
      <c r="J475">
        <f>EDATE(C475,I475)</f>
        <v/>
      </c>
      <c r="K475">
        <f>G475</f>
        <v/>
      </c>
    </row>
    <row r="476">
      <c r="E476">
        <f>D476*VLOOKUP(A476,04_PROYECTOS!$A:$N,5,FALSE)*(INDEX(02B_ESCENARIOS!$B$4:$D$11, MATCH("MULT_PRECIO", 02B_ESCENARIOS!$A$4:$A$11, 0), MATCH("Base", 02B_ESCENARIOS!$B$3:$D$3, 0)))*INDEX(02B_ESCENARIOS!$B$15:$D$19, MATCH(VLOOKUP(A476,04_PROYECTOS!$A:$N,9,FALSE), 02B_ESCENARIOS!$A$15:$A$19, 0), MATCH("Base", 02B_ESCENARIOS!$B$14:$D$14, 0))</f>
        <v/>
      </c>
      <c r="F476">
        <f>E476*VLOOKUP(A476,04_PROYECTOS!$A:$N,6,FALSE)</f>
        <v/>
      </c>
      <c r="G476">
        <f>E476+F476</f>
        <v/>
      </c>
      <c r="H476">
        <f>IF(VLOOKUP(A476,04_PROYECTOS!$A:$N,10,FALSE)="", IF(VLOOKUP(A476,04_PROYECTOS!$A:$N,4,FALSE)="Privado", INDEX(02B_ESCENARIOS!$B$4:$D$11, MATCH("DSO_PRIVADO_DEFAULT", 02B_ESCENARIOS!$A$4:$A$11, 0), MATCH("Base", 02B_ESCENARIOS!$B$3:$D$3, 0)), IF(VLOOKUP(A476,04_PROYECTOS!$A:$N,4,FALSE)="Publico_&lt;10M",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VLOOKUP(A476,04_PROYECTOS!$A:$N,10,FALSE))</f>
        <v/>
      </c>
      <c r="I476">
        <f>ROUNDUP(H476/30,0)</f>
        <v/>
      </c>
      <c r="J476">
        <f>EDATE(C476,I476)</f>
        <v/>
      </c>
      <c r="K476">
        <f>G476</f>
        <v/>
      </c>
    </row>
    <row r="477">
      <c r="E477">
        <f>D477*VLOOKUP(A477,04_PROYECTOS!$A:$N,5,FALSE)*(INDEX(02B_ESCENARIOS!$B$4:$D$11, MATCH("MULT_PRECIO", 02B_ESCENARIOS!$A$4:$A$11, 0), MATCH("Base", 02B_ESCENARIOS!$B$3:$D$3, 0)))*INDEX(02B_ESCENARIOS!$B$15:$D$19, MATCH(VLOOKUP(A477,04_PROYECTOS!$A:$N,9,FALSE), 02B_ESCENARIOS!$A$15:$A$19, 0), MATCH("Base", 02B_ESCENARIOS!$B$14:$D$14, 0))</f>
        <v/>
      </c>
      <c r="F477">
        <f>E477*VLOOKUP(A477,04_PROYECTOS!$A:$N,6,FALSE)</f>
        <v/>
      </c>
      <c r="G477">
        <f>E477+F477</f>
        <v/>
      </c>
      <c r="H477">
        <f>IF(VLOOKUP(A477,04_PROYECTOS!$A:$N,10,FALSE)="", IF(VLOOKUP(A477,04_PROYECTOS!$A:$N,4,FALSE)="Privado", INDEX(02B_ESCENARIOS!$B$4:$D$11, MATCH("DSO_PRIVADO_DEFAULT", 02B_ESCENARIOS!$A$4:$A$11, 0), MATCH("Base", 02B_ESCENARIOS!$B$3:$D$3, 0)), IF(VLOOKUP(A477,04_PROYECTOS!$A:$N,4,FALSE)="Publico_&lt;10M",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VLOOKUP(A477,04_PROYECTOS!$A:$N,10,FALSE))</f>
        <v/>
      </c>
      <c r="I477">
        <f>ROUNDUP(H477/30,0)</f>
        <v/>
      </c>
      <c r="J477">
        <f>EDATE(C477,I477)</f>
        <v/>
      </c>
      <c r="K477">
        <f>G477</f>
        <v/>
      </c>
    </row>
    <row r="478">
      <c r="E478">
        <f>D478*VLOOKUP(A478,04_PROYECTOS!$A:$N,5,FALSE)*(INDEX(02B_ESCENARIOS!$B$4:$D$11, MATCH("MULT_PRECIO", 02B_ESCENARIOS!$A$4:$A$11, 0), MATCH("Base", 02B_ESCENARIOS!$B$3:$D$3, 0)))*INDEX(02B_ESCENARIOS!$B$15:$D$19, MATCH(VLOOKUP(A478,04_PROYECTOS!$A:$N,9,FALSE), 02B_ESCENARIOS!$A$15:$A$19, 0), MATCH("Base", 02B_ESCENARIOS!$B$14:$D$14, 0))</f>
        <v/>
      </c>
      <c r="F478">
        <f>E478*VLOOKUP(A478,04_PROYECTOS!$A:$N,6,FALSE)</f>
        <v/>
      </c>
      <c r="G478">
        <f>E478+F478</f>
        <v/>
      </c>
      <c r="H478">
        <f>IF(VLOOKUP(A478,04_PROYECTOS!$A:$N,10,FALSE)="", IF(VLOOKUP(A478,04_PROYECTOS!$A:$N,4,FALSE)="Privado", INDEX(02B_ESCENARIOS!$B$4:$D$11, MATCH("DSO_PRIVADO_DEFAULT", 02B_ESCENARIOS!$A$4:$A$11, 0), MATCH("Base", 02B_ESCENARIOS!$B$3:$D$3, 0)), IF(VLOOKUP(A478,04_PROYECTOS!$A:$N,4,FALSE)="Publico_&lt;10M",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VLOOKUP(A478,04_PROYECTOS!$A:$N,10,FALSE))</f>
        <v/>
      </c>
      <c r="I478">
        <f>ROUNDUP(H478/30,0)</f>
        <v/>
      </c>
      <c r="J478">
        <f>EDATE(C478,I478)</f>
        <v/>
      </c>
      <c r="K478">
        <f>G478</f>
        <v/>
      </c>
    </row>
    <row r="479">
      <c r="E479">
        <f>D479*VLOOKUP(A479,04_PROYECTOS!$A:$N,5,FALSE)*(INDEX(02B_ESCENARIOS!$B$4:$D$11, MATCH("MULT_PRECIO", 02B_ESCENARIOS!$A$4:$A$11, 0), MATCH("Base", 02B_ESCENARIOS!$B$3:$D$3, 0)))*INDEX(02B_ESCENARIOS!$B$15:$D$19, MATCH(VLOOKUP(A479,04_PROYECTOS!$A:$N,9,FALSE), 02B_ESCENARIOS!$A$15:$A$19, 0), MATCH("Base", 02B_ESCENARIOS!$B$14:$D$14, 0))</f>
        <v/>
      </c>
      <c r="F479">
        <f>E479*VLOOKUP(A479,04_PROYECTOS!$A:$N,6,FALSE)</f>
        <v/>
      </c>
      <c r="G479">
        <f>E479+F479</f>
        <v/>
      </c>
      <c r="H479">
        <f>IF(VLOOKUP(A479,04_PROYECTOS!$A:$N,10,FALSE)="", IF(VLOOKUP(A479,04_PROYECTOS!$A:$N,4,FALSE)="Privado", INDEX(02B_ESCENARIOS!$B$4:$D$11, MATCH("DSO_PRIVADO_DEFAULT", 02B_ESCENARIOS!$A$4:$A$11, 0), MATCH("Base", 02B_ESCENARIOS!$B$3:$D$3, 0)), IF(VLOOKUP(A479,04_PROYECTOS!$A:$N,4,FALSE)="Publico_&lt;10M",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VLOOKUP(A479,04_PROYECTOS!$A:$N,10,FALSE))</f>
        <v/>
      </c>
      <c r="I479">
        <f>ROUNDUP(H479/30,0)</f>
        <v/>
      </c>
      <c r="J479">
        <f>EDATE(C479,I479)</f>
        <v/>
      </c>
      <c r="K479">
        <f>G479</f>
        <v/>
      </c>
    </row>
    <row r="480">
      <c r="E480">
        <f>D480*VLOOKUP(A480,04_PROYECTOS!$A:$N,5,FALSE)*(INDEX(02B_ESCENARIOS!$B$4:$D$11, MATCH("MULT_PRECIO", 02B_ESCENARIOS!$A$4:$A$11, 0), MATCH("Base", 02B_ESCENARIOS!$B$3:$D$3, 0)))*INDEX(02B_ESCENARIOS!$B$15:$D$19, MATCH(VLOOKUP(A480,04_PROYECTOS!$A:$N,9,FALSE), 02B_ESCENARIOS!$A$15:$A$19, 0), MATCH("Base", 02B_ESCENARIOS!$B$14:$D$14, 0))</f>
        <v/>
      </c>
      <c r="F480">
        <f>E480*VLOOKUP(A480,04_PROYECTOS!$A:$N,6,FALSE)</f>
        <v/>
      </c>
      <c r="G480">
        <f>E480+F480</f>
        <v/>
      </c>
      <c r="H480">
        <f>IF(VLOOKUP(A480,04_PROYECTOS!$A:$N,10,FALSE)="", IF(VLOOKUP(A480,04_PROYECTOS!$A:$N,4,FALSE)="Privado", INDEX(02B_ESCENARIOS!$B$4:$D$11, MATCH("DSO_PRIVADO_DEFAULT", 02B_ESCENARIOS!$A$4:$A$11, 0), MATCH("Base", 02B_ESCENARIOS!$B$3:$D$3, 0)), IF(VLOOKUP(A480,04_PROYECTOS!$A:$N,4,FALSE)="Publico_&lt;10M",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VLOOKUP(A480,04_PROYECTOS!$A:$N,10,FALSE))</f>
        <v/>
      </c>
      <c r="I480">
        <f>ROUNDUP(H480/30,0)</f>
        <v/>
      </c>
      <c r="J480">
        <f>EDATE(C480,I480)</f>
        <v/>
      </c>
      <c r="K480">
        <f>G480</f>
        <v/>
      </c>
    </row>
    <row r="481">
      <c r="E481">
        <f>D481*VLOOKUP(A481,04_PROYECTOS!$A:$N,5,FALSE)*(INDEX(02B_ESCENARIOS!$B$4:$D$11, MATCH("MULT_PRECIO", 02B_ESCENARIOS!$A$4:$A$11, 0), MATCH("Base", 02B_ESCENARIOS!$B$3:$D$3, 0)))*INDEX(02B_ESCENARIOS!$B$15:$D$19, MATCH(VLOOKUP(A481,04_PROYECTOS!$A:$N,9,FALSE), 02B_ESCENARIOS!$A$15:$A$19, 0), MATCH("Base", 02B_ESCENARIOS!$B$14:$D$14, 0))</f>
        <v/>
      </c>
      <c r="F481">
        <f>E481*VLOOKUP(A481,04_PROYECTOS!$A:$N,6,FALSE)</f>
        <v/>
      </c>
      <c r="G481">
        <f>E481+F481</f>
        <v/>
      </c>
      <c r="H481">
        <f>IF(VLOOKUP(A481,04_PROYECTOS!$A:$N,10,FALSE)="", IF(VLOOKUP(A481,04_PROYECTOS!$A:$N,4,FALSE)="Privado", INDEX(02B_ESCENARIOS!$B$4:$D$11, MATCH("DSO_PRIVADO_DEFAULT", 02B_ESCENARIOS!$A$4:$A$11, 0), MATCH("Base", 02B_ESCENARIOS!$B$3:$D$3, 0)), IF(VLOOKUP(A481,04_PROYECTOS!$A:$N,4,FALSE)="Publico_&lt;10M",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VLOOKUP(A481,04_PROYECTOS!$A:$N,10,FALSE))</f>
        <v/>
      </c>
      <c r="I481">
        <f>ROUNDUP(H481/30,0)</f>
        <v/>
      </c>
      <c r="J481">
        <f>EDATE(C481,I481)</f>
        <v/>
      </c>
      <c r="K481">
        <f>G481</f>
        <v/>
      </c>
    </row>
    <row r="482">
      <c r="E482">
        <f>D482*VLOOKUP(A482,04_PROYECTOS!$A:$N,5,FALSE)*(INDEX(02B_ESCENARIOS!$B$4:$D$11, MATCH("MULT_PRECIO", 02B_ESCENARIOS!$A$4:$A$11, 0), MATCH("Base", 02B_ESCENARIOS!$B$3:$D$3, 0)))*INDEX(02B_ESCENARIOS!$B$15:$D$19, MATCH(VLOOKUP(A482,04_PROYECTOS!$A:$N,9,FALSE), 02B_ESCENARIOS!$A$15:$A$19, 0), MATCH("Base", 02B_ESCENARIOS!$B$14:$D$14, 0))</f>
        <v/>
      </c>
      <c r="F482">
        <f>E482*VLOOKUP(A482,04_PROYECTOS!$A:$N,6,FALSE)</f>
        <v/>
      </c>
      <c r="G482">
        <f>E482+F482</f>
        <v/>
      </c>
      <c r="H482">
        <f>IF(VLOOKUP(A482,04_PROYECTOS!$A:$N,10,FALSE)="", IF(VLOOKUP(A482,04_PROYECTOS!$A:$N,4,FALSE)="Privado", INDEX(02B_ESCENARIOS!$B$4:$D$11, MATCH("DSO_PRIVADO_DEFAULT", 02B_ESCENARIOS!$A$4:$A$11, 0), MATCH("Base", 02B_ESCENARIOS!$B$3:$D$3, 0)), IF(VLOOKUP(A482,04_PROYECTOS!$A:$N,4,FALSE)="Publico_&lt;10M",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VLOOKUP(A482,04_PROYECTOS!$A:$N,10,FALSE))</f>
        <v/>
      </c>
      <c r="I482">
        <f>ROUNDUP(H482/30,0)</f>
        <v/>
      </c>
      <c r="J482">
        <f>EDATE(C482,I482)</f>
        <v/>
      </c>
      <c r="K482">
        <f>G482</f>
        <v/>
      </c>
    </row>
    <row r="483">
      <c r="E483">
        <f>D483*VLOOKUP(A483,04_PROYECTOS!$A:$N,5,FALSE)*(INDEX(02B_ESCENARIOS!$B$4:$D$11, MATCH("MULT_PRECIO", 02B_ESCENARIOS!$A$4:$A$11, 0), MATCH("Base", 02B_ESCENARIOS!$B$3:$D$3, 0)))*INDEX(02B_ESCENARIOS!$B$15:$D$19, MATCH(VLOOKUP(A483,04_PROYECTOS!$A:$N,9,FALSE), 02B_ESCENARIOS!$A$15:$A$19, 0), MATCH("Base", 02B_ESCENARIOS!$B$14:$D$14, 0))</f>
        <v/>
      </c>
      <c r="F483">
        <f>E483*VLOOKUP(A483,04_PROYECTOS!$A:$N,6,FALSE)</f>
        <v/>
      </c>
      <c r="G483">
        <f>E483+F483</f>
        <v/>
      </c>
      <c r="H483">
        <f>IF(VLOOKUP(A483,04_PROYECTOS!$A:$N,10,FALSE)="", IF(VLOOKUP(A483,04_PROYECTOS!$A:$N,4,FALSE)="Privado", INDEX(02B_ESCENARIOS!$B$4:$D$11, MATCH("DSO_PRIVADO_DEFAULT", 02B_ESCENARIOS!$A$4:$A$11, 0), MATCH("Base", 02B_ESCENARIOS!$B$3:$D$3, 0)), IF(VLOOKUP(A483,04_PROYECTOS!$A:$N,4,FALSE)="Publico_&lt;10M",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VLOOKUP(A483,04_PROYECTOS!$A:$N,10,FALSE))</f>
        <v/>
      </c>
      <c r="I483">
        <f>ROUNDUP(H483/30,0)</f>
        <v/>
      </c>
      <c r="J483">
        <f>EDATE(C483,I483)</f>
        <v/>
      </c>
      <c r="K483">
        <f>G483</f>
        <v/>
      </c>
    </row>
    <row r="484">
      <c r="E484">
        <f>D484*VLOOKUP(A484,04_PROYECTOS!$A:$N,5,FALSE)*(INDEX(02B_ESCENARIOS!$B$4:$D$11, MATCH("MULT_PRECIO", 02B_ESCENARIOS!$A$4:$A$11, 0), MATCH("Base", 02B_ESCENARIOS!$B$3:$D$3, 0)))*INDEX(02B_ESCENARIOS!$B$15:$D$19, MATCH(VLOOKUP(A484,04_PROYECTOS!$A:$N,9,FALSE), 02B_ESCENARIOS!$A$15:$A$19, 0), MATCH("Base", 02B_ESCENARIOS!$B$14:$D$14, 0))</f>
        <v/>
      </c>
      <c r="F484">
        <f>E484*VLOOKUP(A484,04_PROYECTOS!$A:$N,6,FALSE)</f>
        <v/>
      </c>
      <c r="G484">
        <f>E484+F484</f>
        <v/>
      </c>
      <c r="H484">
        <f>IF(VLOOKUP(A484,04_PROYECTOS!$A:$N,10,FALSE)="", IF(VLOOKUP(A484,04_PROYECTOS!$A:$N,4,FALSE)="Privado", INDEX(02B_ESCENARIOS!$B$4:$D$11, MATCH("DSO_PRIVADO_DEFAULT", 02B_ESCENARIOS!$A$4:$A$11, 0), MATCH("Base", 02B_ESCENARIOS!$B$3:$D$3, 0)), IF(VLOOKUP(A484,04_PROYECTOS!$A:$N,4,FALSE)="Publico_&lt;10M",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VLOOKUP(A484,04_PROYECTOS!$A:$N,10,FALSE))</f>
        <v/>
      </c>
      <c r="I484">
        <f>ROUNDUP(H484/30,0)</f>
        <v/>
      </c>
      <c r="J484">
        <f>EDATE(C484,I484)</f>
        <v/>
      </c>
      <c r="K484">
        <f>G484</f>
        <v/>
      </c>
    </row>
    <row r="485">
      <c r="E485">
        <f>D485*VLOOKUP(A485,04_PROYECTOS!$A:$N,5,FALSE)*(INDEX(02B_ESCENARIOS!$B$4:$D$11, MATCH("MULT_PRECIO", 02B_ESCENARIOS!$A$4:$A$11, 0), MATCH("Base", 02B_ESCENARIOS!$B$3:$D$3, 0)))*INDEX(02B_ESCENARIOS!$B$15:$D$19, MATCH(VLOOKUP(A485,04_PROYECTOS!$A:$N,9,FALSE), 02B_ESCENARIOS!$A$15:$A$19, 0), MATCH("Base", 02B_ESCENARIOS!$B$14:$D$14, 0))</f>
        <v/>
      </c>
      <c r="F485">
        <f>E485*VLOOKUP(A485,04_PROYECTOS!$A:$N,6,FALSE)</f>
        <v/>
      </c>
      <c r="G485">
        <f>E485+F485</f>
        <v/>
      </c>
      <c r="H485">
        <f>IF(VLOOKUP(A485,04_PROYECTOS!$A:$N,10,FALSE)="", IF(VLOOKUP(A485,04_PROYECTOS!$A:$N,4,FALSE)="Privado", INDEX(02B_ESCENARIOS!$B$4:$D$11, MATCH("DSO_PRIVADO_DEFAULT", 02B_ESCENARIOS!$A$4:$A$11, 0), MATCH("Base", 02B_ESCENARIOS!$B$3:$D$3, 0)), IF(VLOOKUP(A485,04_PROYECTOS!$A:$N,4,FALSE)="Publico_&lt;10M",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VLOOKUP(A485,04_PROYECTOS!$A:$N,10,FALSE))</f>
        <v/>
      </c>
      <c r="I485">
        <f>ROUNDUP(H485/30,0)</f>
        <v/>
      </c>
      <c r="J485">
        <f>EDATE(C485,I485)</f>
        <v/>
      </c>
      <c r="K485">
        <f>G485</f>
        <v/>
      </c>
    </row>
    <row r="486">
      <c r="E486">
        <f>D486*VLOOKUP(A486,04_PROYECTOS!$A:$N,5,FALSE)*(INDEX(02B_ESCENARIOS!$B$4:$D$11, MATCH("MULT_PRECIO", 02B_ESCENARIOS!$A$4:$A$11, 0), MATCH("Base", 02B_ESCENARIOS!$B$3:$D$3, 0)))*INDEX(02B_ESCENARIOS!$B$15:$D$19, MATCH(VLOOKUP(A486,04_PROYECTOS!$A:$N,9,FALSE), 02B_ESCENARIOS!$A$15:$A$19, 0), MATCH("Base", 02B_ESCENARIOS!$B$14:$D$14, 0))</f>
        <v/>
      </c>
      <c r="F486">
        <f>E486*VLOOKUP(A486,04_PROYECTOS!$A:$N,6,FALSE)</f>
        <v/>
      </c>
      <c r="G486">
        <f>E486+F486</f>
        <v/>
      </c>
      <c r="H486">
        <f>IF(VLOOKUP(A486,04_PROYECTOS!$A:$N,10,FALSE)="", IF(VLOOKUP(A486,04_PROYECTOS!$A:$N,4,FALSE)="Privado", INDEX(02B_ESCENARIOS!$B$4:$D$11, MATCH("DSO_PRIVADO_DEFAULT", 02B_ESCENARIOS!$A$4:$A$11, 0), MATCH("Base", 02B_ESCENARIOS!$B$3:$D$3, 0)), IF(VLOOKUP(A486,04_PROYECTOS!$A:$N,4,FALSE)="Publico_&lt;10M",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VLOOKUP(A486,04_PROYECTOS!$A:$N,10,FALSE))</f>
        <v/>
      </c>
      <c r="I486">
        <f>ROUNDUP(H486/30,0)</f>
        <v/>
      </c>
      <c r="J486">
        <f>EDATE(C486,I486)</f>
        <v/>
      </c>
      <c r="K486">
        <f>G486</f>
        <v/>
      </c>
    </row>
    <row r="487">
      <c r="E487">
        <f>D487*VLOOKUP(A487,04_PROYECTOS!$A:$N,5,FALSE)*(INDEX(02B_ESCENARIOS!$B$4:$D$11, MATCH("MULT_PRECIO", 02B_ESCENARIOS!$A$4:$A$11, 0), MATCH("Base", 02B_ESCENARIOS!$B$3:$D$3, 0)))*INDEX(02B_ESCENARIOS!$B$15:$D$19, MATCH(VLOOKUP(A487,04_PROYECTOS!$A:$N,9,FALSE), 02B_ESCENARIOS!$A$15:$A$19, 0), MATCH("Base", 02B_ESCENARIOS!$B$14:$D$14, 0))</f>
        <v/>
      </c>
      <c r="F487">
        <f>E487*VLOOKUP(A487,04_PROYECTOS!$A:$N,6,FALSE)</f>
        <v/>
      </c>
      <c r="G487">
        <f>E487+F487</f>
        <v/>
      </c>
      <c r="H487">
        <f>IF(VLOOKUP(A487,04_PROYECTOS!$A:$N,10,FALSE)="", IF(VLOOKUP(A487,04_PROYECTOS!$A:$N,4,FALSE)="Privado", INDEX(02B_ESCENARIOS!$B$4:$D$11, MATCH("DSO_PRIVADO_DEFAULT", 02B_ESCENARIOS!$A$4:$A$11, 0), MATCH("Base", 02B_ESCENARIOS!$B$3:$D$3, 0)), IF(VLOOKUP(A487,04_PROYECTOS!$A:$N,4,FALSE)="Publico_&lt;10M",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VLOOKUP(A487,04_PROYECTOS!$A:$N,10,FALSE))</f>
        <v/>
      </c>
      <c r="I487">
        <f>ROUNDUP(H487/30,0)</f>
        <v/>
      </c>
      <c r="J487">
        <f>EDATE(C487,I487)</f>
        <v/>
      </c>
      <c r="K487">
        <f>G487</f>
        <v/>
      </c>
    </row>
    <row r="488">
      <c r="E488">
        <f>D488*VLOOKUP(A488,04_PROYECTOS!$A:$N,5,FALSE)*(INDEX(02B_ESCENARIOS!$B$4:$D$11, MATCH("MULT_PRECIO", 02B_ESCENARIOS!$A$4:$A$11, 0), MATCH("Base", 02B_ESCENARIOS!$B$3:$D$3, 0)))*INDEX(02B_ESCENARIOS!$B$15:$D$19, MATCH(VLOOKUP(A488,04_PROYECTOS!$A:$N,9,FALSE), 02B_ESCENARIOS!$A$15:$A$19, 0), MATCH("Base", 02B_ESCENARIOS!$B$14:$D$14, 0))</f>
        <v/>
      </c>
      <c r="F488">
        <f>E488*VLOOKUP(A488,04_PROYECTOS!$A:$N,6,FALSE)</f>
        <v/>
      </c>
      <c r="G488">
        <f>E488+F488</f>
        <v/>
      </c>
      <c r="H488">
        <f>IF(VLOOKUP(A488,04_PROYECTOS!$A:$N,10,FALSE)="", IF(VLOOKUP(A488,04_PROYECTOS!$A:$N,4,FALSE)="Privado", INDEX(02B_ESCENARIOS!$B$4:$D$11, MATCH("DSO_PRIVADO_DEFAULT", 02B_ESCENARIOS!$A$4:$A$11, 0), MATCH("Base", 02B_ESCENARIOS!$B$3:$D$3, 0)), IF(VLOOKUP(A488,04_PROYECTOS!$A:$N,4,FALSE)="Publico_&lt;10M",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VLOOKUP(A488,04_PROYECTOS!$A:$N,10,FALSE))</f>
        <v/>
      </c>
      <c r="I488">
        <f>ROUNDUP(H488/30,0)</f>
        <v/>
      </c>
      <c r="J488">
        <f>EDATE(C488,I488)</f>
        <v/>
      </c>
      <c r="K488">
        <f>G488</f>
        <v/>
      </c>
    </row>
    <row r="489">
      <c r="E489">
        <f>D489*VLOOKUP(A489,04_PROYECTOS!$A:$N,5,FALSE)*(INDEX(02B_ESCENARIOS!$B$4:$D$11, MATCH("MULT_PRECIO", 02B_ESCENARIOS!$A$4:$A$11, 0), MATCH("Base", 02B_ESCENARIOS!$B$3:$D$3, 0)))*INDEX(02B_ESCENARIOS!$B$15:$D$19, MATCH(VLOOKUP(A489,04_PROYECTOS!$A:$N,9,FALSE), 02B_ESCENARIOS!$A$15:$A$19, 0), MATCH("Base", 02B_ESCENARIOS!$B$14:$D$14, 0))</f>
        <v/>
      </c>
      <c r="F489">
        <f>E489*VLOOKUP(A489,04_PROYECTOS!$A:$N,6,FALSE)</f>
        <v/>
      </c>
      <c r="G489">
        <f>E489+F489</f>
        <v/>
      </c>
      <c r="H489">
        <f>IF(VLOOKUP(A489,04_PROYECTOS!$A:$N,10,FALSE)="", IF(VLOOKUP(A489,04_PROYECTOS!$A:$N,4,FALSE)="Privado", INDEX(02B_ESCENARIOS!$B$4:$D$11, MATCH("DSO_PRIVADO_DEFAULT", 02B_ESCENARIOS!$A$4:$A$11, 0), MATCH("Base", 02B_ESCENARIOS!$B$3:$D$3, 0)), IF(VLOOKUP(A489,04_PROYECTOS!$A:$N,4,FALSE)="Publico_&lt;10M",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VLOOKUP(A489,04_PROYECTOS!$A:$N,10,FALSE))</f>
        <v/>
      </c>
      <c r="I489">
        <f>ROUNDUP(H489/30,0)</f>
        <v/>
      </c>
      <c r="J489">
        <f>EDATE(C489,I489)</f>
        <v/>
      </c>
      <c r="K489">
        <f>G489</f>
        <v/>
      </c>
    </row>
    <row r="490">
      <c r="E490">
        <f>D490*VLOOKUP(A490,04_PROYECTOS!$A:$N,5,FALSE)*(INDEX(02B_ESCENARIOS!$B$4:$D$11, MATCH("MULT_PRECIO", 02B_ESCENARIOS!$A$4:$A$11, 0), MATCH("Base", 02B_ESCENARIOS!$B$3:$D$3, 0)))*INDEX(02B_ESCENARIOS!$B$15:$D$19, MATCH(VLOOKUP(A490,04_PROYECTOS!$A:$N,9,FALSE), 02B_ESCENARIOS!$A$15:$A$19, 0), MATCH("Base", 02B_ESCENARIOS!$B$14:$D$14, 0))</f>
        <v/>
      </c>
      <c r="F490">
        <f>E490*VLOOKUP(A490,04_PROYECTOS!$A:$N,6,FALSE)</f>
        <v/>
      </c>
      <c r="G490">
        <f>E490+F490</f>
        <v/>
      </c>
      <c r="H490">
        <f>IF(VLOOKUP(A490,04_PROYECTOS!$A:$N,10,FALSE)="", IF(VLOOKUP(A490,04_PROYECTOS!$A:$N,4,FALSE)="Privado", INDEX(02B_ESCENARIOS!$B$4:$D$11, MATCH("DSO_PRIVADO_DEFAULT", 02B_ESCENARIOS!$A$4:$A$11, 0), MATCH("Base", 02B_ESCENARIOS!$B$3:$D$3, 0)), IF(VLOOKUP(A490,04_PROYECTOS!$A:$N,4,FALSE)="Publico_&lt;10M",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VLOOKUP(A490,04_PROYECTOS!$A:$N,10,FALSE))</f>
        <v/>
      </c>
      <c r="I490">
        <f>ROUNDUP(H490/30,0)</f>
        <v/>
      </c>
      <c r="J490">
        <f>EDATE(C490,I490)</f>
        <v/>
      </c>
      <c r="K490">
        <f>G490</f>
        <v/>
      </c>
    </row>
    <row r="491">
      <c r="E491">
        <f>D491*VLOOKUP(A491,04_PROYECTOS!$A:$N,5,FALSE)*(INDEX(02B_ESCENARIOS!$B$4:$D$11, MATCH("MULT_PRECIO", 02B_ESCENARIOS!$A$4:$A$11, 0), MATCH("Base", 02B_ESCENARIOS!$B$3:$D$3, 0)))*INDEX(02B_ESCENARIOS!$B$15:$D$19, MATCH(VLOOKUP(A491,04_PROYECTOS!$A:$N,9,FALSE), 02B_ESCENARIOS!$A$15:$A$19, 0), MATCH("Base", 02B_ESCENARIOS!$B$14:$D$14, 0))</f>
        <v/>
      </c>
      <c r="F491">
        <f>E491*VLOOKUP(A491,04_PROYECTOS!$A:$N,6,FALSE)</f>
        <v/>
      </c>
      <c r="G491">
        <f>E491+F491</f>
        <v/>
      </c>
      <c r="H491">
        <f>IF(VLOOKUP(A491,04_PROYECTOS!$A:$N,10,FALSE)="", IF(VLOOKUP(A491,04_PROYECTOS!$A:$N,4,FALSE)="Privado", INDEX(02B_ESCENARIOS!$B$4:$D$11, MATCH("DSO_PRIVADO_DEFAULT", 02B_ESCENARIOS!$A$4:$A$11, 0), MATCH("Base", 02B_ESCENARIOS!$B$3:$D$3, 0)), IF(VLOOKUP(A491,04_PROYECTOS!$A:$N,4,FALSE)="Publico_&lt;10M",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VLOOKUP(A491,04_PROYECTOS!$A:$N,10,FALSE))</f>
        <v/>
      </c>
      <c r="I491">
        <f>ROUNDUP(H491/30,0)</f>
        <v/>
      </c>
      <c r="J491">
        <f>EDATE(C491,I491)</f>
        <v/>
      </c>
      <c r="K491">
        <f>G491</f>
        <v/>
      </c>
    </row>
    <row r="492">
      <c r="E492">
        <f>D492*VLOOKUP(A492,04_PROYECTOS!$A:$N,5,FALSE)*(INDEX(02B_ESCENARIOS!$B$4:$D$11, MATCH("MULT_PRECIO", 02B_ESCENARIOS!$A$4:$A$11, 0), MATCH("Base", 02B_ESCENARIOS!$B$3:$D$3, 0)))*INDEX(02B_ESCENARIOS!$B$15:$D$19, MATCH(VLOOKUP(A492,04_PROYECTOS!$A:$N,9,FALSE), 02B_ESCENARIOS!$A$15:$A$19, 0), MATCH("Base", 02B_ESCENARIOS!$B$14:$D$14, 0))</f>
        <v/>
      </c>
      <c r="F492">
        <f>E492*VLOOKUP(A492,04_PROYECTOS!$A:$N,6,FALSE)</f>
        <v/>
      </c>
      <c r="G492">
        <f>E492+F492</f>
        <v/>
      </c>
      <c r="H492">
        <f>IF(VLOOKUP(A492,04_PROYECTOS!$A:$N,10,FALSE)="", IF(VLOOKUP(A492,04_PROYECTOS!$A:$N,4,FALSE)="Privado", INDEX(02B_ESCENARIOS!$B$4:$D$11, MATCH("DSO_PRIVADO_DEFAULT", 02B_ESCENARIOS!$A$4:$A$11, 0), MATCH("Base", 02B_ESCENARIOS!$B$3:$D$3, 0)), IF(VLOOKUP(A492,04_PROYECTOS!$A:$N,4,FALSE)="Publico_&lt;10M",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VLOOKUP(A492,04_PROYECTOS!$A:$N,10,FALSE))</f>
        <v/>
      </c>
      <c r="I492">
        <f>ROUNDUP(H492/30,0)</f>
        <v/>
      </c>
      <c r="J492">
        <f>EDATE(C492,I492)</f>
        <v/>
      </c>
      <c r="K492">
        <f>G492</f>
        <v/>
      </c>
    </row>
    <row r="493">
      <c r="E493">
        <f>D493*VLOOKUP(A493,04_PROYECTOS!$A:$N,5,FALSE)*(INDEX(02B_ESCENARIOS!$B$4:$D$11, MATCH("MULT_PRECIO", 02B_ESCENARIOS!$A$4:$A$11, 0), MATCH("Base", 02B_ESCENARIOS!$B$3:$D$3, 0)))*INDEX(02B_ESCENARIOS!$B$15:$D$19, MATCH(VLOOKUP(A493,04_PROYECTOS!$A:$N,9,FALSE), 02B_ESCENARIOS!$A$15:$A$19, 0), MATCH("Base", 02B_ESCENARIOS!$B$14:$D$14, 0))</f>
        <v/>
      </c>
      <c r="F493">
        <f>E493*VLOOKUP(A493,04_PROYECTOS!$A:$N,6,FALSE)</f>
        <v/>
      </c>
      <c r="G493">
        <f>E493+F493</f>
        <v/>
      </c>
      <c r="H493">
        <f>IF(VLOOKUP(A493,04_PROYECTOS!$A:$N,10,FALSE)="", IF(VLOOKUP(A493,04_PROYECTOS!$A:$N,4,FALSE)="Privado", INDEX(02B_ESCENARIOS!$B$4:$D$11, MATCH("DSO_PRIVADO_DEFAULT", 02B_ESCENARIOS!$A$4:$A$11, 0), MATCH("Base", 02B_ESCENARIOS!$B$3:$D$3, 0)), IF(VLOOKUP(A493,04_PROYECTOS!$A:$N,4,FALSE)="Publico_&lt;10M",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VLOOKUP(A493,04_PROYECTOS!$A:$N,10,FALSE))</f>
        <v/>
      </c>
      <c r="I493">
        <f>ROUNDUP(H493/30,0)</f>
        <v/>
      </c>
      <c r="J493">
        <f>EDATE(C493,I493)</f>
        <v/>
      </c>
      <c r="K493">
        <f>G493</f>
        <v/>
      </c>
    </row>
    <row r="494">
      <c r="E494">
        <f>D494*VLOOKUP(A494,04_PROYECTOS!$A:$N,5,FALSE)*(INDEX(02B_ESCENARIOS!$B$4:$D$11, MATCH("MULT_PRECIO", 02B_ESCENARIOS!$A$4:$A$11, 0), MATCH("Base", 02B_ESCENARIOS!$B$3:$D$3, 0)))*INDEX(02B_ESCENARIOS!$B$15:$D$19, MATCH(VLOOKUP(A494,04_PROYECTOS!$A:$N,9,FALSE), 02B_ESCENARIOS!$A$15:$A$19, 0), MATCH("Base", 02B_ESCENARIOS!$B$14:$D$14, 0))</f>
        <v/>
      </c>
      <c r="F494">
        <f>E494*VLOOKUP(A494,04_PROYECTOS!$A:$N,6,FALSE)</f>
        <v/>
      </c>
      <c r="G494">
        <f>E494+F494</f>
        <v/>
      </c>
      <c r="H494">
        <f>IF(VLOOKUP(A494,04_PROYECTOS!$A:$N,10,FALSE)="", IF(VLOOKUP(A494,04_PROYECTOS!$A:$N,4,FALSE)="Privado", INDEX(02B_ESCENARIOS!$B$4:$D$11, MATCH("DSO_PRIVADO_DEFAULT", 02B_ESCENARIOS!$A$4:$A$11, 0), MATCH("Base", 02B_ESCENARIOS!$B$3:$D$3, 0)), IF(VLOOKUP(A494,04_PROYECTOS!$A:$N,4,FALSE)="Publico_&lt;10M",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VLOOKUP(A494,04_PROYECTOS!$A:$N,10,FALSE))</f>
        <v/>
      </c>
      <c r="I494">
        <f>ROUNDUP(H494/30,0)</f>
        <v/>
      </c>
      <c r="J494">
        <f>EDATE(C494,I494)</f>
        <v/>
      </c>
      <c r="K494">
        <f>G494</f>
        <v/>
      </c>
    </row>
    <row r="495">
      <c r="E495">
        <f>D495*VLOOKUP(A495,04_PROYECTOS!$A:$N,5,FALSE)*(INDEX(02B_ESCENARIOS!$B$4:$D$11, MATCH("MULT_PRECIO", 02B_ESCENARIOS!$A$4:$A$11, 0), MATCH("Base", 02B_ESCENARIOS!$B$3:$D$3, 0)))*INDEX(02B_ESCENARIOS!$B$15:$D$19, MATCH(VLOOKUP(A495,04_PROYECTOS!$A:$N,9,FALSE), 02B_ESCENARIOS!$A$15:$A$19, 0), MATCH("Base", 02B_ESCENARIOS!$B$14:$D$14, 0))</f>
        <v/>
      </c>
      <c r="F495">
        <f>E495*VLOOKUP(A495,04_PROYECTOS!$A:$N,6,FALSE)</f>
        <v/>
      </c>
      <c r="G495">
        <f>E495+F495</f>
        <v/>
      </c>
      <c r="H495">
        <f>IF(VLOOKUP(A495,04_PROYECTOS!$A:$N,10,FALSE)="", IF(VLOOKUP(A495,04_PROYECTOS!$A:$N,4,FALSE)="Privado", INDEX(02B_ESCENARIOS!$B$4:$D$11, MATCH("DSO_PRIVADO_DEFAULT", 02B_ESCENARIOS!$A$4:$A$11, 0), MATCH("Base", 02B_ESCENARIOS!$B$3:$D$3, 0)), IF(VLOOKUP(A495,04_PROYECTOS!$A:$N,4,FALSE)="Publico_&lt;10M",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VLOOKUP(A495,04_PROYECTOS!$A:$N,10,FALSE))</f>
        <v/>
      </c>
      <c r="I495">
        <f>ROUNDUP(H495/30,0)</f>
        <v/>
      </c>
      <c r="J495">
        <f>EDATE(C495,I495)</f>
        <v/>
      </c>
      <c r="K495">
        <f>G495</f>
        <v/>
      </c>
    </row>
    <row r="496">
      <c r="E496">
        <f>D496*VLOOKUP(A496,04_PROYECTOS!$A:$N,5,FALSE)*(INDEX(02B_ESCENARIOS!$B$4:$D$11, MATCH("MULT_PRECIO", 02B_ESCENARIOS!$A$4:$A$11, 0), MATCH("Base", 02B_ESCENARIOS!$B$3:$D$3, 0)))*INDEX(02B_ESCENARIOS!$B$15:$D$19, MATCH(VLOOKUP(A496,04_PROYECTOS!$A:$N,9,FALSE), 02B_ESCENARIOS!$A$15:$A$19, 0), MATCH("Base", 02B_ESCENARIOS!$B$14:$D$14, 0))</f>
        <v/>
      </c>
      <c r="F496">
        <f>E496*VLOOKUP(A496,04_PROYECTOS!$A:$N,6,FALSE)</f>
        <v/>
      </c>
      <c r="G496">
        <f>E496+F496</f>
        <v/>
      </c>
      <c r="H496">
        <f>IF(VLOOKUP(A496,04_PROYECTOS!$A:$N,10,FALSE)="", IF(VLOOKUP(A496,04_PROYECTOS!$A:$N,4,FALSE)="Privado", INDEX(02B_ESCENARIOS!$B$4:$D$11, MATCH("DSO_PRIVADO_DEFAULT", 02B_ESCENARIOS!$A$4:$A$11, 0), MATCH("Base", 02B_ESCENARIOS!$B$3:$D$3, 0)), IF(VLOOKUP(A496,04_PROYECTOS!$A:$N,4,FALSE)="Publico_&lt;10M",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VLOOKUP(A496,04_PROYECTOS!$A:$N,10,FALSE))</f>
        <v/>
      </c>
      <c r="I496">
        <f>ROUNDUP(H496/30,0)</f>
        <v/>
      </c>
      <c r="J496">
        <f>EDATE(C496,I496)</f>
        <v/>
      </c>
      <c r="K496">
        <f>G496</f>
        <v/>
      </c>
    </row>
    <row r="497">
      <c r="E497">
        <f>D497*VLOOKUP(A497,04_PROYECTOS!$A:$N,5,FALSE)*(INDEX(02B_ESCENARIOS!$B$4:$D$11, MATCH("MULT_PRECIO", 02B_ESCENARIOS!$A$4:$A$11, 0), MATCH("Base", 02B_ESCENARIOS!$B$3:$D$3, 0)))*INDEX(02B_ESCENARIOS!$B$15:$D$19, MATCH(VLOOKUP(A497,04_PROYECTOS!$A:$N,9,FALSE), 02B_ESCENARIOS!$A$15:$A$19, 0), MATCH("Base", 02B_ESCENARIOS!$B$14:$D$14, 0))</f>
        <v/>
      </c>
      <c r="F497">
        <f>E497*VLOOKUP(A497,04_PROYECTOS!$A:$N,6,FALSE)</f>
        <v/>
      </c>
      <c r="G497">
        <f>E497+F497</f>
        <v/>
      </c>
      <c r="H497">
        <f>IF(VLOOKUP(A497,04_PROYECTOS!$A:$N,10,FALSE)="", IF(VLOOKUP(A497,04_PROYECTOS!$A:$N,4,FALSE)="Privado", INDEX(02B_ESCENARIOS!$B$4:$D$11, MATCH("DSO_PRIVADO_DEFAULT", 02B_ESCENARIOS!$A$4:$A$11, 0), MATCH("Base", 02B_ESCENARIOS!$B$3:$D$3, 0)), IF(VLOOKUP(A497,04_PROYECTOS!$A:$N,4,FALSE)="Publico_&lt;10M",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VLOOKUP(A497,04_PROYECTOS!$A:$N,10,FALSE))</f>
        <v/>
      </c>
      <c r="I497">
        <f>ROUNDUP(H497/30,0)</f>
        <v/>
      </c>
      <c r="J497">
        <f>EDATE(C497,I497)</f>
        <v/>
      </c>
      <c r="K497">
        <f>G497</f>
        <v/>
      </c>
    </row>
    <row r="498">
      <c r="E498">
        <f>D498*VLOOKUP(A498,04_PROYECTOS!$A:$N,5,FALSE)*(INDEX(02B_ESCENARIOS!$B$4:$D$11, MATCH("MULT_PRECIO", 02B_ESCENARIOS!$A$4:$A$11, 0), MATCH("Base", 02B_ESCENARIOS!$B$3:$D$3, 0)))*INDEX(02B_ESCENARIOS!$B$15:$D$19, MATCH(VLOOKUP(A498,04_PROYECTOS!$A:$N,9,FALSE), 02B_ESCENARIOS!$A$15:$A$19, 0), MATCH("Base", 02B_ESCENARIOS!$B$14:$D$14, 0))</f>
        <v/>
      </c>
      <c r="F498">
        <f>E498*VLOOKUP(A498,04_PROYECTOS!$A:$N,6,FALSE)</f>
        <v/>
      </c>
      <c r="G498">
        <f>E498+F498</f>
        <v/>
      </c>
      <c r="H498">
        <f>IF(VLOOKUP(A498,04_PROYECTOS!$A:$N,10,FALSE)="", IF(VLOOKUP(A498,04_PROYECTOS!$A:$N,4,FALSE)="Privado", INDEX(02B_ESCENARIOS!$B$4:$D$11, MATCH("DSO_PRIVADO_DEFAULT", 02B_ESCENARIOS!$A$4:$A$11, 0), MATCH("Base", 02B_ESCENARIOS!$B$3:$D$3, 0)), IF(VLOOKUP(A498,04_PROYECTOS!$A:$N,4,FALSE)="Publico_&lt;10M",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VLOOKUP(A498,04_PROYECTOS!$A:$N,10,FALSE))</f>
        <v/>
      </c>
      <c r="I498">
        <f>ROUNDUP(H498/30,0)</f>
        <v/>
      </c>
      <c r="J498">
        <f>EDATE(C498,I498)</f>
        <v/>
      </c>
      <c r="K498">
        <f>G498</f>
        <v/>
      </c>
    </row>
    <row r="499">
      <c r="E499">
        <f>D499*VLOOKUP(A499,04_PROYECTOS!$A:$N,5,FALSE)*(INDEX(02B_ESCENARIOS!$B$4:$D$11, MATCH("MULT_PRECIO", 02B_ESCENARIOS!$A$4:$A$11, 0), MATCH("Base", 02B_ESCENARIOS!$B$3:$D$3, 0)))*INDEX(02B_ESCENARIOS!$B$15:$D$19, MATCH(VLOOKUP(A499,04_PROYECTOS!$A:$N,9,FALSE), 02B_ESCENARIOS!$A$15:$A$19, 0), MATCH("Base", 02B_ESCENARIOS!$B$14:$D$14, 0))</f>
        <v/>
      </c>
      <c r="F499">
        <f>E499*VLOOKUP(A499,04_PROYECTOS!$A:$N,6,FALSE)</f>
        <v/>
      </c>
      <c r="G499">
        <f>E499+F499</f>
        <v/>
      </c>
      <c r="H499">
        <f>IF(VLOOKUP(A499,04_PROYECTOS!$A:$N,10,FALSE)="", IF(VLOOKUP(A499,04_PROYECTOS!$A:$N,4,FALSE)="Privado", INDEX(02B_ESCENARIOS!$B$4:$D$11, MATCH("DSO_PRIVADO_DEFAULT", 02B_ESCENARIOS!$A$4:$A$11, 0), MATCH("Base", 02B_ESCENARIOS!$B$3:$D$3, 0)), IF(VLOOKUP(A499,04_PROYECTOS!$A:$N,4,FALSE)="Publico_&lt;10M",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VLOOKUP(A499,04_PROYECTOS!$A:$N,10,FALSE))</f>
        <v/>
      </c>
      <c r="I499">
        <f>ROUNDUP(H499/30,0)</f>
        <v/>
      </c>
      <c r="J499">
        <f>EDATE(C499,I499)</f>
        <v/>
      </c>
      <c r="K499">
        <f>G499</f>
        <v/>
      </c>
    </row>
    <row r="500">
      <c r="E500">
        <f>D500*VLOOKUP(A500,04_PROYECTOS!$A:$N,5,FALSE)*(INDEX(02B_ESCENARIOS!$B$4:$D$11, MATCH("MULT_PRECIO", 02B_ESCENARIOS!$A$4:$A$11, 0), MATCH("Base", 02B_ESCENARIOS!$B$3:$D$3, 0)))*INDEX(02B_ESCENARIOS!$B$15:$D$19, MATCH(VLOOKUP(A500,04_PROYECTOS!$A:$N,9,FALSE), 02B_ESCENARIOS!$A$15:$A$19, 0), MATCH("Base", 02B_ESCENARIOS!$B$14:$D$14, 0))</f>
        <v/>
      </c>
      <c r="F500">
        <f>E500*VLOOKUP(A500,04_PROYECTOS!$A:$N,6,FALSE)</f>
        <v/>
      </c>
      <c r="G500">
        <f>E500+F500</f>
        <v/>
      </c>
      <c r="H500">
        <f>IF(VLOOKUP(A500,04_PROYECTOS!$A:$N,10,FALSE)="", IF(VLOOKUP(A500,04_PROYECTOS!$A:$N,4,FALSE)="Privado", INDEX(02B_ESCENARIOS!$B$4:$D$11, MATCH("DSO_PRIVADO_DEFAULT", 02B_ESCENARIOS!$A$4:$A$11, 0), MATCH("Base", 02B_ESCENARIOS!$B$3:$D$3, 0)), IF(VLOOKUP(A500,04_PROYECTOS!$A:$N,4,FALSE)="Publico_&lt;10M", INDEX(02B_ESCENARIOS!$B$4:$D$11, MATCH("DSO_PUBLICO_LT10M_DEFAULT", 02B_ESCENARIOS!$A$4:$A$11, 0), MATCH("Base", 02B_ESCENARIOS!$B$3:$D$3, 0)), INDEX(02B_ESCENARIOS!$B$4:$D$11, MATCH("DSO_PUBLICO_GTE10M_DEFAULT", 02B_ESCENARIOS!$A$4:$A$11, 0), MATCH("Base", 02B_ESCENARIOS!$B$3:$D$3, 0)))), VLOOKUP(A500,04_PROYECTOS!$A:$N,10,FALSE))</f>
        <v/>
      </c>
      <c r="I500">
        <f>ROUNDUP(H500/30,0)</f>
        <v/>
      </c>
      <c r="J500">
        <f>EDATE(C500,I500)</f>
        <v/>
      </c>
      <c r="K500">
        <f>G500</f>
        <v/>
      </c>
    </row>
  </sheetData>
  <mergeCells count="1">
    <mergeCell ref="A1:M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</cols>
  <sheetData>
    <row r="1">
      <c r="A1" s="7" t="inlineStr">
        <is>
          <t>OPEX — PLAN MENSUAL NETO (Calculado)</t>
        </is>
      </c>
    </row>
    <row r="3">
      <c r="A3" s="8" t="inlineStr">
        <is>
          <t>OPEX_ID</t>
        </is>
      </c>
      <c r="B3" s="8" t="inlineStr">
        <is>
          <t>Concepto</t>
        </is>
      </c>
      <c r="C3" s="8" t="inlineStr">
        <is>
          <t>Recurrencia</t>
        </is>
      </c>
      <c r="D3" s="8" t="inlineStr">
        <is>
          <t>IVA_afecto</t>
        </is>
      </c>
      <c r="E3" s="31" t="n">
        <v>46053</v>
      </c>
      <c r="F3" s="31" t="n">
        <v>46081</v>
      </c>
      <c r="G3" s="31" t="n">
        <v>46112</v>
      </c>
      <c r="H3" s="31" t="n">
        <v>46142</v>
      </c>
      <c r="I3" s="31" t="n">
        <v>46173</v>
      </c>
      <c r="J3" s="31" t="n">
        <v>46203</v>
      </c>
      <c r="K3" s="31" t="n">
        <v>46234</v>
      </c>
      <c r="L3" s="31" t="n">
        <v>46265</v>
      </c>
      <c r="M3" s="31" t="n">
        <v>46295</v>
      </c>
      <c r="N3" s="31" t="n">
        <v>46326</v>
      </c>
      <c r="O3" s="31" t="n">
        <v>46356</v>
      </c>
      <c r="P3" s="31" t="n">
        <v>46387</v>
      </c>
      <c r="Q3" s="8" t="inlineStr">
        <is>
          <t>Total_Año</t>
        </is>
      </c>
    </row>
    <row r="4">
      <c r="A4" s="36" t="inlineStr">
        <is>
          <t>OPEX-001</t>
        </is>
      </c>
      <c r="B4" s="36">
        <f>IFERROR(VLOOKUP($A4,06_OPEX!$A:$L,2,FALSE),"")</f>
        <v/>
      </c>
      <c r="C4" s="37">
        <f>IFERROR(VLOOKUP($A4,06_OPEX!$A:$L,4,FALSE),"")</f>
        <v/>
      </c>
      <c r="D4" s="37">
        <f>IFERROR(VLOOKUP($A4,06_OPEX!$A:$L,7,FALSE),"")</f>
        <v/>
      </c>
      <c r="E4" s="52">
        <f>(IF($C4="Mensual",IF(AND(E$3&gt;=VLOOKUP($A4,06_OPEX!$A:$L,8,FALSE),E$3&lt;=VLOOKUP($A4,06_OPEX!$A:$L,9,FALSE)),-VLOOKUP($A4,06_OPEX!$A:$L,6,FALSE),0),IF($C4="Unico",IF(E$3=VLOOKUP($A4,06_OPEX!$A:$L,10,FALSE),-VLOOKUP($A4,06_OPEX!$A:$L,6,FALSE),0),IF($C4="Custom",-IFERROR(VLOOKUP($A4,06C_OPEX_CUSTOM!$A:$O,2+MATCH(E$3,06C_OPEX_CUSTOM!$C$3:$N$3,0),FALSE),0),0))))*IFERROR(IF(VLOOKUP($A4,06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F4" s="52">
        <f>(IF($C4="Mensual",IF(AND(F$3&gt;=VLOOKUP($A4,06_OPEX!$A:$L,8,FALSE),F$3&lt;=VLOOKUP($A4,06_OPEX!$A:$L,9,FALSE)),-VLOOKUP($A4,06_OPEX!$A:$L,6,FALSE),0),IF($C4="Unico",IF(F$3=VLOOKUP($A4,06_OPEX!$A:$L,10,FALSE),-VLOOKUP($A4,06_OPEX!$A:$L,6,FALSE),0),IF($C4="Custom",-IFERROR(VLOOKUP($A4,06C_OPEX_CUSTOM!$A:$O,2+MATCH(F$3,06C_OPEX_CUSTOM!$C$3:$N$3,0),FALSE),0),0))))*IFERROR(IF(VLOOKUP($A4,06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G4" s="52">
        <f>(IF($C4="Mensual",IF(AND(G$3&gt;=VLOOKUP($A4,06_OPEX!$A:$L,8,FALSE),G$3&lt;=VLOOKUP($A4,06_OPEX!$A:$L,9,FALSE)),-VLOOKUP($A4,06_OPEX!$A:$L,6,FALSE),0),IF($C4="Unico",IF(G$3=VLOOKUP($A4,06_OPEX!$A:$L,10,FALSE),-VLOOKUP($A4,06_OPEX!$A:$L,6,FALSE),0),IF($C4="Custom",-IFERROR(VLOOKUP($A4,06C_OPEX_CUSTOM!$A:$O,2+MATCH(G$3,06C_OPEX_CUSTOM!$C$3:$N$3,0),FALSE),0),0))))*IFERROR(IF(VLOOKUP($A4,06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H4" s="52">
        <f>(IF($C4="Mensual",IF(AND(H$3&gt;=VLOOKUP($A4,06_OPEX!$A:$L,8,FALSE),H$3&lt;=VLOOKUP($A4,06_OPEX!$A:$L,9,FALSE)),-VLOOKUP($A4,06_OPEX!$A:$L,6,FALSE),0),IF($C4="Unico",IF(H$3=VLOOKUP($A4,06_OPEX!$A:$L,10,FALSE),-VLOOKUP($A4,06_OPEX!$A:$L,6,FALSE),0),IF($C4="Custom",-IFERROR(VLOOKUP($A4,06C_OPEX_CUSTOM!$A:$O,2+MATCH(H$3,06C_OPEX_CUSTOM!$C$3:$N$3,0),FALSE),0),0))))*IFERROR(IF(VLOOKUP($A4,06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I4" s="52">
        <f>(IF($C4="Mensual",IF(AND(I$3&gt;=VLOOKUP($A4,06_OPEX!$A:$L,8,FALSE),I$3&lt;=VLOOKUP($A4,06_OPEX!$A:$L,9,FALSE)),-VLOOKUP($A4,06_OPEX!$A:$L,6,FALSE),0),IF($C4="Unico",IF(I$3=VLOOKUP($A4,06_OPEX!$A:$L,10,FALSE),-VLOOKUP($A4,06_OPEX!$A:$L,6,FALSE),0),IF($C4="Custom",-IFERROR(VLOOKUP($A4,06C_OPEX_CUSTOM!$A:$O,2+MATCH(I$3,06C_OPEX_CUSTOM!$C$3:$N$3,0),FALSE),0),0))))*IFERROR(IF(VLOOKUP($A4,06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J4" s="52">
        <f>(IF($C4="Mensual",IF(AND(J$3&gt;=VLOOKUP($A4,06_OPEX!$A:$L,8,FALSE),J$3&lt;=VLOOKUP($A4,06_OPEX!$A:$L,9,FALSE)),-VLOOKUP($A4,06_OPEX!$A:$L,6,FALSE),0),IF($C4="Unico",IF(J$3=VLOOKUP($A4,06_OPEX!$A:$L,10,FALSE),-VLOOKUP($A4,06_OPEX!$A:$L,6,FALSE),0),IF($C4="Custom",-IFERROR(VLOOKUP($A4,06C_OPEX_CUSTOM!$A:$O,2+MATCH(J$3,06C_OPEX_CUSTOM!$C$3:$N$3,0),FALSE),0),0))))*IFERROR(IF(VLOOKUP($A4,06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K4" s="52">
        <f>(IF($C4="Mensual",IF(AND(K$3&gt;=VLOOKUP($A4,06_OPEX!$A:$L,8,FALSE),K$3&lt;=VLOOKUP($A4,06_OPEX!$A:$L,9,FALSE)),-VLOOKUP($A4,06_OPEX!$A:$L,6,FALSE),0),IF($C4="Unico",IF(K$3=VLOOKUP($A4,06_OPEX!$A:$L,10,FALSE),-VLOOKUP($A4,06_OPEX!$A:$L,6,FALSE),0),IF($C4="Custom",-IFERROR(VLOOKUP($A4,06C_OPEX_CUSTOM!$A:$O,2+MATCH(K$3,06C_OPEX_CUSTOM!$C$3:$N$3,0),FALSE),0),0))))*IFERROR(IF(VLOOKUP($A4,06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L4" s="52">
        <f>(IF($C4="Mensual",IF(AND(L$3&gt;=VLOOKUP($A4,06_OPEX!$A:$L,8,FALSE),L$3&lt;=VLOOKUP($A4,06_OPEX!$A:$L,9,FALSE)),-VLOOKUP($A4,06_OPEX!$A:$L,6,FALSE),0),IF($C4="Unico",IF(L$3=VLOOKUP($A4,06_OPEX!$A:$L,10,FALSE),-VLOOKUP($A4,06_OPEX!$A:$L,6,FALSE),0),IF($C4="Custom",-IFERROR(VLOOKUP($A4,06C_OPEX_CUSTOM!$A:$O,2+MATCH(L$3,06C_OPEX_CUSTOM!$C$3:$N$3,0),FALSE),0),0))))*IFERROR(IF(VLOOKUP($A4,06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M4" s="52">
        <f>(IF($C4="Mensual",IF(AND(M$3&gt;=VLOOKUP($A4,06_OPEX!$A:$L,8,FALSE),M$3&lt;=VLOOKUP($A4,06_OPEX!$A:$L,9,FALSE)),-VLOOKUP($A4,06_OPEX!$A:$L,6,FALSE),0),IF($C4="Unico",IF(M$3=VLOOKUP($A4,06_OPEX!$A:$L,10,FALSE),-VLOOKUP($A4,06_OPEX!$A:$L,6,FALSE),0),IF($C4="Custom",-IFERROR(VLOOKUP($A4,06C_OPEX_CUSTOM!$A:$O,2+MATCH(M$3,06C_OPEX_CUSTOM!$C$3:$N$3,0),FALSE),0),0))))*IFERROR(IF(VLOOKUP($A4,06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N4" s="52">
        <f>(IF($C4="Mensual",IF(AND(N$3&gt;=VLOOKUP($A4,06_OPEX!$A:$L,8,FALSE),N$3&lt;=VLOOKUP($A4,06_OPEX!$A:$L,9,FALSE)),-VLOOKUP($A4,06_OPEX!$A:$L,6,FALSE),0),IF($C4="Unico",IF(N$3=VLOOKUP($A4,06_OPEX!$A:$L,10,FALSE),-VLOOKUP($A4,06_OPEX!$A:$L,6,FALSE),0),IF($C4="Custom",-IFERROR(VLOOKUP($A4,06C_OPEX_CUSTOM!$A:$O,2+MATCH(N$3,06C_OPEX_CUSTOM!$C$3:$N$3,0),FALSE),0),0))))*IFERROR(IF(VLOOKUP($A4,06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O4" s="52">
        <f>(IF($C4="Mensual",IF(AND(O$3&gt;=VLOOKUP($A4,06_OPEX!$A:$L,8,FALSE),O$3&lt;=VLOOKUP($A4,06_OPEX!$A:$L,9,FALSE)),-VLOOKUP($A4,06_OPEX!$A:$L,6,FALSE),0),IF($C4="Unico",IF(O$3=VLOOKUP($A4,06_OPEX!$A:$L,10,FALSE),-VLOOKUP($A4,06_OPEX!$A:$L,6,FALSE),0),IF($C4="Custom",-IFERROR(VLOOKUP($A4,06C_OPEX_CUSTOM!$A:$O,2+MATCH(O$3,06C_OPEX_CUSTOM!$C$3:$N$3,0),FALSE),0),0))))*IFERROR(IF(VLOOKUP($A4,06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P4" s="52">
        <f>(IF($C4="Mensual",IF(AND(P$3&gt;=VLOOKUP($A4,06_OPEX!$A:$L,8,FALSE),P$3&lt;=VLOOKUP($A4,06_OPEX!$A:$L,9,FALSE)),-VLOOKUP($A4,06_OPEX!$A:$L,6,FALSE),0),IF($C4="Unico",IF(P$3=VLOOKUP($A4,06_OPEX!$A:$L,10,FALSE),-VLOOKUP($A4,06_OPEX!$A:$L,6,FALSE),0),IF($C4="Custom",-IFERROR(VLOOKUP($A4,06C_OPEX_CUSTOM!$A:$O,2+MATCH(P$3,06C_OPEX_CUSTOM!$C$3:$N$3,0),FALSE),0),0))))*IFERROR(IF(VLOOKUP($A4,06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Q4" s="56">
        <f>SUM(E4:P4)</f>
        <v/>
      </c>
    </row>
    <row r="5">
      <c r="A5" s="36" t="inlineStr">
        <is>
          <t>OPEX-002</t>
        </is>
      </c>
      <c r="B5" s="36">
        <f>IFERROR(VLOOKUP($A5,06_OPEX!$A:$L,2,FALSE),"")</f>
        <v/>
      </c>
      <c r="C5" s="37">
        <f>IFERROR(VLOOKUP($A5,06_OPEX!$A:$L,4,FALSE),"")</f>
        <v/>
      </c>
      <c r="D5" s="37">
        <f>IFERROR(VLOOKUP($A5,06_OPEX!$A:$L,7,FALSE),"")</f>
        <v/>
      </c>
      <c r="E5" s="52">
        <f>(IF($C5="Mensual",IF(AND(E$3&gt;=VLOOKUP($A5,06_OPEX!$A:$L,8,FALSE),E$3&lt;=VLOOKUP($A5,06_OPEX!$A:$L,9,FALSE)),-VLOOKUP($A5,06_OPEX!$A:$L,6,FALSE),0),IF($C5="Unico",IF(E$3=VLOOKUP($A5,06_OPEX!$A:$L,10,FALSE),-VLOOKUP($A5,06_OPEX!$A:$L,6,FALSE),0),IF($C5="Custom",-IFERROR(VLOOKUP($A5,06C_OPEX_CUSTOM!$A:$O,2+MATCH(E$3,06C_OPEX_CUSTOM!$C$3:$N$3,0),FALSE),0),0))))*IFERROR(IF(VLOOKUP($A5,06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F5" s="52">
        <f>(IF($C5="Mensual",IF(AND(F$3&gt;=VLOOKUP($A5,06_OPEX!$A:$L,8,FALSE),F$3&lt;=VLOOKUP($A5,06_OPEX!$A:$L,9,FALSE)),-VLOOKUP($A5,06_OPEX!$A:$L,6,FALSE),0),IF($C5="Unico",IF(F$3=VLOOKUP($A5,06_OPEX!$A:$L,10,FALSE),-VLOOKUP($A5,06_OPEX!$A:$L,6,FALSE),0),IF($C5="Custom",-IFERROR(VLOOKUP($A5,06C_OPEX_CUSTOM!$A:$O,2+MATCH(F$3,06C_OPEX_CUSTOM!$C$3:$N$3,0),FALSE),0),0))))*IFERROR(IF(VLOOKUP($A5,06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G5" s="52">
        <f>(IF($C5="Mensual",IF(AND(G$3&gt;=VLOOKUP($A5,06_OPEX!$A:$L,8,FALSE),G$3&lt;=VLOOKUP($A5,06_OPEX!$A:$L,9,FALSE)),-VLOOKUP($A5,06_OPEX!$A:$L,6,FALSE),0),IF($C5="Unico",IF(G$3=VLOOKUP($A5,06_OPEX!$A:$L,10,FALSE),-VLOOKUP($A5,06_OPEX!$A:$L,6,FALSE),0),IF($C5="Custom",-IFERROR(VLOOKUP($A5,06C_OPEX_CUSTOM!$A:$O,2+MATCH(G$3,06C_OPEX_CUSTOM!$C$3:$N$3,0),FALSE),0),0))))*IFERROR(IF(VLOOKUP($A5,06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H5" s="52">
        <f>(IF($C5="Mensual",IF(AND(H$3&gt;=VLOOKUP($A5,06_OPEX!$A:$L,8,FALSE),H$3&lt;=VLOOKUP($A5,06_OPEX!$A:$L,9,FALSE)),-VLOOKUP($A5,06_OPEX!$A:$L,6,FALSE),0),IF($C5="Unico",IF(H$3=VLOOKUP($A5,06_OPEX!$A:$L,10,FALSE),-VLOOKUP($A5,06_OPEX!$A:$L,6,FALSE),0),IF($C5="Custom",-IFERROR(VLOOKUP($A5,06C_OPEX_CUSTOM!$A:$O,2+MATCH(H$3,06C_OPEX_CUSTOM!$C$3:$N$3,0),FALSE),0),0))))*IFERROR(IF(VLOOKUP($A5,06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I5" s="52">
        <f>(IF($C5="Mensual",IF(AND(I$3&gt;=VLOOKUP($A5,06_OPEX!$A:$L,8,FALSE),I$3&lt;=VLOOKUP($A5,06_OPEX!$A:$L,9,FALSE)),-VLOOKUP($A5,06_OPEX!$A:$L,6,FALSE),0),IF($C5="Unico",IF(I$3=VLOOKUP($A5,06_OPEX!$A:$L,10,FALSE),-VLOOKUP($A5,06_OPEX!$A:$L,6,FALSE),0),IF($C5="Custom",-IFERROR(VLOOKUP($A5,06C_OPEX_CUSTOM!$A:$O,2+MATCH(I$3,06C_OPEX_CUSTOM!$C$3:$N$3,0),FALSE),0),0))))*IFERROR(IF(VLOOKUP($A5,06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J5" s="52">
        <f>(IF($C5="Mensual",IF(AND(J$3&gt;=VLOOKUP($A5,06_OPEX!$A:$L,8,FALSE),J$3&lt;=VLOOKUP($A5,06_OPEX!$A:$L,9,FALSE)),-VLOOKUP($A5,06_OPEX!$A:$L,6,FALSE),0),IF($C5="Unico",IF(J$3=VLOOKUP($A5,06_OPEX!$A:$L,10,FALSE),-VLOOKUP($A5,06_OPEX!$A:$L,6,FALSE),0),IF($C5="Custom",-IFERROR(VLOOKUP($A5,06C_OPEX_CUSTOM!$A:$O,2+MATCH(J$3,06C_OPEX_CUSTOM!$C$3:$N$3,0),FALSE),0),0))))*IFERROR(IF(VLOOKUP($A5,06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K5" s="52">
        <f>(IF($C5="Mensual",IF(AND(K$3&gt;=VLOOKUP($A5,06_OPEX!$A:$L,8,FALSE),K$3&lt;=VLOOKUP($A5,06_OPEX!$A:$L,9,FALSE)),-VLOOKUP($A5,06_OPEX!$A:$L,6,FALSE),0),IF($C5="Unico",IF(K$3=VLOOKUP($A5,06_OPEX!$A:$L,10,FALSE),-VLOOKUP($A5,06_OPEX!$A:$L,6,FALSE),0),IF($C5="Custom",-IFERROR(VLOOKUP($A5,06C_OPEX_CUSTOM!$A:$O,2+MATCH(K$3,06C_OPEX_CUSTOM!$C$3:$N$3,0),FALSE),0),0))))*IFERROR(IF(VLOOKUP($A5,06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L5" s="52">
        <f>(IF($C5="Mensual",IF(AND(L$3&gt;=VLOOKUP($A5,06_OPEX!$A:$L,8,FALSE),L$3&lt;=VLOOKUP($A5,06_OPEX!$A:$L,9,FALSE)),-VLOOKUP($A5,06_OPEX!$A:$L,6,FALSE),0),IF($C5="Unico",IF(L$3=VLOOKUP($A5,06_OPEX!$A:$L,10,FALSE),-VLOOKUP($A5,06_OPEX!$A:$L,6,FALSE),0),IF($C5="Custom",-IFERROR(VLOOKUP($A5,06C_OPEX_CUSTOM!$A:$O,2+MATCH(L$3,06C_OPEX_CUSTOM!$C$3:$N$3,0),FALSE),0),0))))*IFERROR(IF(VLOOKUP($A5,06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M5" s="52">
        <f>(IF($C5="Mensual",IF(AND(M$3&gt;=VLOOKUP($A5,06_OPEX!$A:$L,8,FALSE),M$3&lt;=VLOOKUP($A5,06_OPEX!$A:$L,9,FALSE)),-VLOOKUP($A5,06_OPEX!$A:$L,6,FALSE),0),IF($C5="Unico",IF(M$3=VLOOKUP($A5,06_OPEX!$A:$L,10,FALSE),-VLOOKUP($A5,06_OPEX!$A:$L,6,FALSE),0),IF($C5="Custom",-IFERROR(VLOOKUP($A5,06C_OPEX_CUSTOM!$A:$O,2+MATCH(M$3,06C_OPEX_CUSTOM!$C$3:$N$3,0),FALSE),0),0))))*IFERROR(IF(VLOOKUP($A5,06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N5" s="52">
        <f>(IF($C5="Mensual",IF(AND(N$3&gt;=VLOOKUP($A5,06_OPEX!$A:$L,8,FALSE),N$3&lt;=VLOOKUP($A5,06_OPEX!$A:$L,9,FALSE)),-VLOOKUP($A5,06_OPEX!$A:$L,6,FALSE),0),IF($C5="Unico",IF(N$3=VLOOKUP($A5,06_OPEX!$A:$L,10,FALSE),-VLOOKUP($A5,06_OPEX!$A:$L,6,FALSE),0),IF($C5="Custom",-IFERROR(VLOOKUP($A5,06C_OPEX_CUSTOM!$A:$O,2+MATCH(N$3,06C_OPEX_CUSTOM!$C$3:$N$3,0),FALSE),0),0))))*IFERROR(IF(VLOOKUP($A5,06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O5" s="52">
        <f>(IF($C5="Mensual",IF(AND(O$3&gt;=VLOOKUP($A5,06_OPEX!$A:$L,8,FALSE),O$3&lt;=VLOOKUP($A5,06_OPEX!$A:$L,9,FALSE)),-VLOOKUP($A5,06_OPEX!$A:$L,6,FALSE),0),IF($C5="Unico",IF(O$3=VLOOKUP($A5,06_OPEX!$A:$L,10,FALSE),-VLOOKUP($A5,06_OPEX!$A:$L,6,FALSE),0),IF($C5="Custom",-IFERROR(VLOOKUP($A5,06C_OPEX_CUSTOM!$A:$O,2+MATCH(O$3,06C_OPEX_CUSTOM!$C$3:$N$3,0),FALSE),0),0))))*IFERROR(IF(VLOOKUP($A5,06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P5" s="52">
        <f>(IF($C5="Mensual",IF(AND(P$3&gt;=VLOOKUP($A5,06_OPEX!$A:$L,8,FALSE),P$3&lt;=VLOOKUP($A5,06_OPEX!$A:$L,9,FALSE)),-VLOOKUP($A5,06_OPEX!$A:$L,6,FALSE),0),IF($C5="Unico",IF(P$3=VLOOKUP($A5,06_OPEX!$A:$L,10,FALSE),-VLOOKUP($A5,06_OPEX!$A:$L,6,FALSE),0),IF($C5="Custom",-IFERROR(VLOOKUP($A5,06C_OPEX_CUSTOM!$A:$O,2+MATCH(P$3,06C_OPEX_CUSTOM!$C$3:$N$3,0),FALSE),0),0))))*IFERROR(IF(VLOOKUP($A5,06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Q5" s="56">
        <f>SUM(E5:P5)</f>
        <v/>
      </c>
    </row>
    <row r="6">
      <c r="A6" s="36" t="inlineStr">
        <is>
          <t>OPEX-003</t>
        </is>
      </c>
      <c r="B6" s="36">
        <f>IFERROR(VLOOKUP($A6,06_OPEX!$A:$L,2,FALSE),"")</f>
        <v/>
      </c>
      <c r="C6" s="37">
        <f>IFERROR(VLOOKUP($A6,06_OPEX!$A:$L,4,FALSE),"")</f>
        <v/>
      </c>
      <c r="D6" s="37">
        <f>IFERROR(VLOOKUP($A6,06_OPEX!$A:$L,7,FALSE),"")</f>
        <v/>
      </c>
      <c r="E6" s="52">
        <f>(IF($C6="Mensual",IF(AND(E$3&gt;=VLOOKUP($A6,06_OPEX!$A:$L,8,FALSE),E$3&lt;=VLOOKUP($A6,06_OPEX!$A:$L,9,FALSE)),-VLOOKUP($A6,06_OPEX!$A:$L,6,FALSE),0),IF($C6="Unico",IF(E$3=VLOOKUP($A6,06_OPEX!$A:$L,10,FALSE),-VLOOKUP($A6,06_OPEX!$A:$L,6,FALSE),0),IF($C6="Custom",-IFERROR(VLOOKUP($A6,06C_OPEX_CUSTOM!$A:$O,2+MATCH(E$3,06C_OPEX_CUSTOM!$C$3:$N$3,0),FALSE),0),0))))*IFERROR(IF(VLOOKUP($A6,06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F6" s="52">
        <f>(IF($C6="Mensual",IF(AND(F$3&gt;=VLOOKUP($A6,06_OPEX!$A:$L,8,FALSE),F$3&lt;=VLOOKUP($A6,06_OPEX!$A:$L,9,FALSE)),-VLOOKUP($A6,06_OPEX!$A:$L,6,FALSE),0),IF($C6="Unico",IF(F$3=VLOOKUP($A6,06_OPEX!$A:$L,10,FALSE),-VLOOKUP($A6,06_OPEX!$A:$L,6,FALSE),0),IF($C6="Custom",-IFERROR(VLOOKUP($A6,06C_OPEX_CUSTOM!$A:$O,2+MATCH(F$3,06C_OPEX_CUSTOM!$C$3:$N$3,0),FALSE),0),0))))*IFERROR(IF(VLOOKUP($A6,06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G6" s="52">
        <f>(IF($C6="Mensual",IF(AND(G$3&gt;=VLOOKUP($A6,06_OPEX!$A:$L,8,FALSE),G$3&lt;=VLOOKUP($A6,06_OPEX!$A:$L,9,FALSE)),-VLOOKUP($A6,06_OPEX!$A:$L,6,FALSE),0),IF($C6="Unico",IF(G$3=VLOOKUP($A6,06_OPEX!$A:$L,10,FALSE),-VLOOKUP($A6,06_OPEX!$A:$L,6,FALSE),0),IF($C6="Custom",-IFERROR(VLOOKUP($A6,06C_OPEX_CUSTOM!$A:$O,2+MATCH(G$3,06C_OPEX_CUSTOM!$C$3:$N$3,0),FALSE),0),0))))*IFERROR(IF(VLOOKUP($A6,06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H6" s="52">
        <f>(IF($C6="Mensual",IF(AND(H$3&gt;=VLOOKUP($A6,06_OPEX!$A:$L,8,FALSE),H$3&lt;=VLOOKUP($A6,06_OPEX!$A:$L,9,FALSE)),-VLOOKUP($A6,06_OPEX!$A:$L,6,FALSE),0),IF($C6="Unico",IF(H$3=VLOOKUP($A6,06_OPEX!$A:$L,10,FALSE),-VLOOKUP($A6,06_OPEX!$A:$L,6,FALSE),0),IF($C6="Custom",-IFERROR(VLOOKUP($A6,06C_OPEX_CUSTOM!$A:$O,2+MATCH(H$3,06C_OPEX_CUSTOM!$C$3:$N$3,0),FALSE),0),0))))*IFERROR(IF(VLOOKUP($A6,06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I6" s="52">
        <f>(IF($C6="Mensual",IF(AND(I$3&gt;=VLOOKUP($A6,06_OPEX!$A:$L,8,FALSE),I$3&lt;=VLOOKUP($A6,06_OPEX!$A:$L,9,FALSE)),-VLOOKUP($A6,06_OPEX!$A:$L,6,FALSE),0),IF($C6="Unico",IF(I$3=VLOOKUP($A6,06_OPEX!$A:$L,10,FALSE),-VLOOKUP($A6,06_OPEX!$A:$L,6,FALSE),0),IF($C6="Custom",-IFERROR(VLOOKUP($A6,06C_OPEX_CUSTOM!$A:$O,2+MATCH(I$3,06C_OPEX_CUSTOM!$C$3:$N$3,0),FALSE),0),0))))*IFERROR(IF(VLOOKUP($A6,06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J6" s="52">
        <f>(IF($C6="Mensual",IF(AND(J$3&gt;=VLOOKUP($A6,06_OPEX!$A:$L,8,FALSE),J$3&lt;=VLOOKUP($A6,06_OPEX!$A:$L,9,FALSE)),-VLOOKUP($A6,06_OPEX!$A:$L,6,FALSE),0),IF($C6="Unico",IF(J$3=VLOOKUP($A6,06_OPEX!$A:$L,10,FALSE),-VLOOKUP($A6,06_OPEX!$A:$L,6,FALSE),0),IF($C6="Custom",-IFERROR(VLOOKUP($A6,06C_OPEX_CUSTOM!$A:$O,2+MATCH(J$3,06C_OPEX_CUSTOM!$C$3:$N$3,0),FALSE),0),0))))*IFERROR(IF(VLOOKUP($A6,06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K6" s="52">
        <f>(IF($C6="Mensual",IF(AND(K$3&gt;=VLOOKUP($A6,06_OPEX!$A:$L,8,FALSE),K$3&lt;=VLOOKUP($A6,06_OPEX!$A:$L,9,FALSE)),-VLOOKUP($A6,06_OPEX!$A:$L,6,FALSE),0),IF($C6="Unico",IF(K$3=VLOOKUP($A6,06_OPEX!$A:$L,10,FALSE),-VLOOKUP($A6,06_OPEX!$A:$L,6,FALSE),0),IF($C6="Custom",-IFERROR(VLOOKUP($A6,06C_OPEX_CUSTOM!$A:$O,2+MATCH(K$3,06C_OPEX_CUSTOM!$C$3:$N$3,0),FALSE),0),0))))*IFERROR(IF(VLOOKUP($A6,06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L6" s="52">
        <f>(IF($C6="Mensual",IF(AND(L$3&gt;=VLOOKUP($A6,06_OPEX!$A:$L,8,FALSE),L$3&lt;=VLOOKUP($A6,06_OPEX!$A:$L,9,FALSE)),-VLOOKUP($A6,06_OPEX!$A:$L,6,FALSE),0),IF($C6="Unico",IF(L$3=VLOOKUP($A6,06_OPEX!$A:$L,10,FALSE),-VLOOKUP($A6,06_OPEX!$A:$L,6,FALSE),0),IF($C6="Custom",-IFERROR(VLOOKUP($A6,06C_OPEX_CUSTOM!$A:$O,2+MATCH(L$3,06C_OPEX_CUSTOM!$C$3:$N$3,0),FALSE),0),0))))*IFERROR(IF(VLOOKUP($A6,06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M6" s="52">
        <f>(IF($C6="Mensual",IF(AND(M$3&gt;=VLOOKUP($A6,06_OPEX!$A:$L,8,FALSE),M$3&lt;=VLOOKUP($A6,06_OPEX!$A:$L,9,FALSE)),-VLOOKUP($A6,06_OPEX!$A:$L,6,FALSE),0),IF($C6="Unico",IF(M$3=VLOOKUP($A6,06_OPEX!$A:$L,10,FALSE),-VLOOKUP($A6,06_OPEX!$A:$L,6,FALSE),0),IF($C6="Custom",-IFERROR(VLOOKUP($A6,06C_OPEX_CUSTOM!$A:$O,2+MATCH(M$3,06C_OPEX_CUSTOM!$C$3:$N$3,0),FALSE),0),0))))*IFERROR(IF(VLOOKUP($A6,06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N6" s="52">
        <f>(IF($C6="Mensual",IF(AND(N$3&gt;=VLOOKUP($A6,06_OPEX!$A:$L,8,FALSE),N$3&lt;=VLOOKUP($A6,06_OPEX!$A:$L,9,FALSE)),-VLOOKUP($A6,06_OPEX!$A:$L,6,FALSE),0),IF($C6="Unico",IF(N$3=VLOOKUP($A6,06_OPEX!$A:$L,10,FALSE),-VLOOKUP($A6,06_OPEX!$A:$L,6,FALSE),0),IF($C6="Custom",-IFERROR(VLOOKUP($A6,06C_OPEX_CUSTOM!$A:$O,2+MATCH(N$3,06C_OPEX_CUSTOM!$C$3:$N$3,0),FALSE),0),0))))*IFERROR(IF(VLOOKUP($A6,06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O6" s="52">
        <f>(IF($C6="Mensual",IF(AND(O$3&gt;=VLOOKUP($A6,06_OPEX!$A:$L,8,FALSE),O$3&lt;=VLOOKUP($A6,06_OPEX!$A:$L,9,FALSE)),-VLOOKUP($A6,06_OPEX!$A:$L,6,FALSE),0),IF($C6="Unico",IF(O$3=VLOOKUP($A6,06_OPEX!$A:$L,10,FALSE),-VLOOKUP($A6,06_OPEX!$A:$L,6,FALSE),0),IF($C6="Custom",-IFERROR(VLOOKUP($A6,06C_OPEX_CUSTOM!$A:$O,2+MATCH(O$3,06C_OPEX_CUSTOM!$C$3:$N$3,0),FALSE),0),0))))*IFERROR(IF(VLOOKUP($A6,06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P6" s="52">
        <f>(IF($C6="Mensual",IF(AND(P$3&gt;=VLOOKUP($A6,06_OPEX!$A:$L,8,FALSE),P$3&lt;=VLOOKUP($A6,06_OPEX!$A:$L,9,FALSE)),-VLOOKUP($A6,06_OPEX!$A:$L,6,FALSE),0),IF($C6="Unico",IF(P$3=VLOOKUP($A6,06_OPEX!$A:$L,10,FALSE),-VLOOKUP($A6,06_OPEX!$A:$L,6,FALSE),0),IF($C6="Custom",-IFERROR(VLOOKUP($A6,06C_OPEX_CUSTOM!$A:$O,2+MATCH(P$3,06C_OPEX_CUSTOM!$C$3:$N$3,0),FALSE),0),0))))*IFERROR(IF(VLOOKUP($A6,06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Q6" s="56">
        <f>SUM(E6:P6)</f>
        <v/>
      </c>
    </row>
    <row r="7">
      <c r="A7" s="36" t="inlineStr">
        <is>
          <t>OPEX-004</t>
        </is>
      </c>
      <c r="B7" s="36">
        <f>IFERROR(VLOOKUP($A7,06_OPEX!$A:$L,2,FALSE),"")</f>
        <v/>
      </c>
      <c r="C7" s="37">
        <f>IFERROR(VLOOKUP($A7,06_OPEX!$A:$L,4,FALSE),"")</f>
        <v/>
      </c>
      <c r="D7" s="37">
        <f>IFERROR(VLOOKUP($A7,06_OPEX!$A:$L,7,FALSE),"")</f>
        <v/>
      </c>
      <c r="E7" s="52">
        <f>(IF($C7="Mensual",IF(AND(E$3&gt;=VLOOKUP($A7,06_OPEX!$A:$L,8,FALSE),E$3&lt;=VLOOKUP($A7,06_OPEX!$A:$L,9,FALSE)),-VLOOKUP($A7,06_OPEX!$A:$L,6,FALSE),0),IF($C7="Unico",IF(E$3=VLOOKUP($A7,06_OPEX!$A:$L,10,FALSE),-VLOOKUP($A7,06_OPEX!$A:$L,6,FALSE),0),IF($C7="Custom",-IFERROR(VLOOKUP($A7,06C_OPEX_CUSTOM!$A:$O,2+MATCH(E$3,06C_OPEX_CUSTOM!$C$3:$N$3,0),FALSE),0),0))))*IFERROR(IF(VLOOKUP($A7,06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F7" s="52">
        <f>(IF($C7="Mensual",IF(AND(F$3&gt;=VLOOKUP($A7,06_OPEX!$A:$L,8,FALSE),F$3&lt;=VLOOKUP($A7,06_OPEX!$A:$L,9,FALSE)),-VLOOKUP($A7,06_OPEX!$A:$L,6,FALSE),0),IF($C7="Unico",IF(F$3=VLOOKUP($A7,06_OPEX!$A:$L,10,FALSE),-VLOOKUP($A7,06_OPEX!$A:$L,6,FALSE),0),IF($C7="Custom",-IFERROR(VLOOKUP($A7,06C_OPEX_CUSTOM!$A:$O,2+MATCH(F$3,06C_OPEX_CUSTOM!$C$3:$N$3,0),FALSE),0),0))))*IFERROR(IF(VLOOKUP($A7,06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G7" s="52">
        <f>(IF($C7="Mensual",IF(AND(G$3&gt;=VLOOKUP($A7,06_OPEX!$A:$L,8,FALSE),G$3&lt;=VLOOKUP($A7,06_OPEX!$A:$L,9,FALSE)),-VLOOKUP($A7,06_OPEX!$A:$L,6,FALSE),0),IF($C7="Unico",IF(G$3=VLOOKUP($A7,06_OPEX!$A:$L,10,FALSE),-VLOOKUP($A7,06_OPEX!$A:$L,6,FALSE),0),IF($C7="Custom",-IFERROR(VLOOKUP($A7,06C_OPEX_CUSTOM!$A:$O,2+MATCH(G$3,06C_OPEX_CUSTOM!$C$3:$N$3,0),FALSE),0),0))))*IFERROR(IF(VLOOKUP($A7,06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H7" s="52">
        <f>(IF($C7="Mensual",IF(AND(H$3&gt;=VLOOKUP($A7,06_OPEX!$A:$L,8,FALSE),H$3&lt;=VLOOKUP($A7,06_OPEX!$A:$L,9,FALSE)),-VLOOKUP($A7,06_OPEX!$A:$L,6,FALSE),0),IF($C7="Unico",IF(H$3=VLOOKUP($A7,06_OPEX!$A:$L,10,FALSE),-VLOOKUP($A7,06_OPEX!$A:$L,6,FALSE),0),IF($C7="Custom",-IFERROR(VLOOKUP($A7,06C_OPEX_CUSTOM!$A:$O,2+MATCH(H$3,06C_OPEX_CUSTOM!$C$3:$N$3,0),FALSE),0),0))))*IFERROR(IF(VLOOKUP($A7,06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I7" s="52">
        <f>(IF($C7="Mensual",IF(AND(I$3&gt;=VLOOKUP($A7,06_OPEX!$A:$L,8,FALSE),I$3&lt;=VLOOKUP($A7,06_OPEX!$A:$L,9,FALSE)),-VLOOKUP($A7,06_OPEX!$A:$L,6,FALSE),0),IF($C7="Unico",IF(I$3=VLOOKUP($A7,06_OPEX!$A:$L,10,FALSE),-VLOOKUP($A7,06_OPEX!$A:$L,6,FALSE),0),IF($C7="Custom",-IFERROR(VLOOKUP($A7,06C_OPEX_CUSTOM!$A:$O,2+MATCH(I$3,06C_OPEX_CUSTOM!$C$3:$N$3,0),FALSE),0),0))))*IFERROR(IF(VLOOKUP($A7,06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J7" s="52">
        <f>(IF($C7="Mensual",IF(AND(J$3&gt;=VLOOKUP($A7,06_OPEX!$A:$L,8,FALSE),J$3&lt;=VLOOKUP($A7,06_OPEX!$A:$L,9,FALSE)),-VLOOKUP($A7,06_OPEX!$A:$L,6,FALSE),0),IF($C7="Unico",IF(J$3=VLOOKUP($A7,06_OPEX!$A:$L,10,FALSE),-VLOOKUP($A7,06_OPEX!$A:$L,6,FALSE),0),IF($C7="Custom",-IFERROR(VLOOKUP($A7,06C_OPEX_CUSTOM!$A:$O,2+MATCH(J$3,06C_OPEX_CUSTOM!$C$3:$N$3,0),FALSE),0),0))))*IFERROR(IF(VLOOKUP($A7,06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K7" s="52">
        <f>(IF($C7="Mensual",IF(AND(K$3&gt;=VLOOKUP($A7,06_OPEX!$A:$L,8,FALSE),K$3&lt;=VLOOKUP($A7,06_OPEX!$A:$L,9,FALSE)),-VLOOKUP($A7,06_OPEX!$A:$L,6,FALSE),0),IF($C7="Unico",IF(K$3=VLOOKUP($A7,06_OPEX!$A:$L,10,FALSE),-VLOOKUP($A7,06_OPEX!$A:$L,6,FALSE),0),IF($C7="Custom",-IFERROR(VLOOKUP($A7,06C_OPEX_CUSTOM!$A:$O,2+MATCH(K$3,06C_OPEX_CUSTOM!$C$3:$N$3,0),FALSE),0),0))))*IFERROR(IF(VLOOKUP($A7,06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L7" s="52">
        <f>(IF($C7="Mensual",IF(AND(L$3&gt;=VLOOKUP($A7,06_OPEX!$A:$L,8,FALSE),L$3&lt;=VLOOKUP($A7,06_OPEX!$A:$L,9,FALSE)),-VLOOKUP($A7,06_OPEX!$A:$L,6,FALSE),0),IF($C7="Unico",IF(L$3=VLOOKUP($A7,06_OPEX!$A:$L,10,FALSE),-VLOOKUP($A7,06_OPEX!$A:$L,6,FALSE),0),IF($C7="Custom",-IFERROR(VLOOKUP($A7,06C_OPEX_CUSTOM!$A:$O,2+MATCH(L$3,06C_OPEX_CUSTOM!$C$3:$N$3,0),FALSE),0),0))))*IFERROR(IF(VLOOKUP($A7,06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M7" s="52">
        <f>(IF($C7="Mensual",IF(AND(M$3&gt;=VLOOKUP($A7,06_OPEX!$A:$L,8,FALSE),M$3&lt;=VLOOKUP($A7,06_OPEX!$A:$L,9,FALSE)),-VLOOKUP($A7,06_OPEX!$A:$L,6,FALSE),0),IF($C7="Unico",IF(M$3=VLOOKUP($A7,06_OPEX!$A:$L,10,FALSE),-VLOOKUP($A7,06_OPEX!$A:$L,6,FALSE),0),IF($C7="Custom",-IFERROR(VLOOKUP($A7,06C_OPEX_CUSTOM!$A:$O,2+MATCH(M$3,06C_OPEX_CUSTOM!$C$3:$N$3,0),FALSE),0),0))))*IFERROR(IF(VLOOKUP($A7,06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N7" s="52">
        <f>(IF($C7="Mensual",IF(AND(N$3&gt;=VLOOKUP($A7,06_OPEX!$A:$L,8,FALSE),N$3&lt;=VLOOKUP($A7,06_OPEX!$A:$L,9,FALSE)),-VLOOKUP($A7,06_OPEX!$A:$L,6,FALSE),0),IF($C7="Unico",IF(N$3=VLOOKUP($A7,06_OPEX!$A:$L,10,FALSE),-VLOOKUP($A7,06_OPEX!$A:$L,6,FALSE),0),IF($C7="Custom",-IFERROR(VLOOKUP($A7,06C_OPEX_CUSTOM!$A:$O,2+MATCH(N$3,06C_OPEX_CUSTOM!$C$3:$N$3,0),FALSE),0),0))))*IFERROR(IF(VLOOKUP($A7,06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O7" s="52">
        <f>(IF($C7="Mensual",IF(AND(O$3&gt;=VLOOKUP($A7,06_OPEX!$A:$L,8,FALSE),O$3&lt;=VLOOKUP($A7,06_OPEX!$A:$L,9,FALSE)),-VLOOKUP($A7,06_OPEX!$A:$L,6,FALSE),0),IF($C7="Unico",IF(O$3=VLOOKUP($A7,06_OPEX!$A:$L,10,FALSE),-VLOOKUP($A7,06_OPEX!$A:$L,6,FALSE),0),IF($C7="Custom",-IFERROR(VLOOKUP($A7,06C_OPEX_CUSTOM!$A:$O,2+MATCH(O$3,06C_OPEX_CUSTOM!$C$3:$N$3,0),FALSE),0),0))))*IFERROR(IF(VLOOKUP($A7,06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P7" s="52">
        <f>(IF($C7="Mensual",IF(AND(P$3&gt;=VLOOKUP($A7,06_OPEX!$A:$L,8,FALSE),P$3&lt;=VLOOKUP($A7,06_OPEX!$A:$L,9,FALSE)),-VLOOKUP($A7,06_OPEX!$A:$L,6,FALSE),0),IF($C7="Unico",IF(P$3=VLOOKUP($A7,06_OPEX!$A:$L,10,FALSE),-VLOOKUP($A7,06_OPEX!$A:$L,6,FALSE),0),IF($C7="Custom",-IFERROR(VLOOKUP($A7,06C_OPEX_CUSTOM!$A:$O,2+MATCH(P$3,06C_OPEX_CUSTOM!$C$3:$N$3,0),FALSE),0),0))))*IFERROR(IF(VLOOKUP($A7,06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Q7" s="56">
        <f>SUM(E7:P7)</f>
        <v/>
      </c>
    </row>
    <row r="8">
      <c r="A8" s="36" t="inlineStr">
        <is>
          <t>OPEX-005</t>
        </is>
      </c>
      <c r="B8" s="36">
        <f>IFERROR(VLOOKUP($A8,06_OPEX!$A:$L,2,FALSE),"")</f>
        <v/>
      </c>
      <c r="C8" s="37">
        <f>IFERROR(VLOOKUP($A8,06_OPEX!$A:$L,4,FALSE),"")</f>
        <v/>
      </c>
      <c r="D8" s="37">
        <f>IFERROR(VLOOKUP($A8,06_OPEX!$A:$L,7,FALSE),"")</f>
        <v/>
      </c>
      <c r="E8" s="52">
        <f>(IF($C8="Mensual",IF(AND(E$3&gt;=VLOOKUP($A8,06_OPEX!$A:$L,8,FALSE),E$3&lt;=VLOOKUP($A8,06_OPEX!$A:$L,9,FALSE)),-VLOOKUP($A8,06_OPEX!$A:$L,6,FALSE),0),IF($C8="Unico",IF(E$3=VLOOKUP($A8,06_OPEX!$A:$L,10,FALSE),-VLOOKUP($A8,06_OPEX!$A:$L,6,FALSE),0),IF($C8="Custom",-IFERROR(VLOOKUP($A8,06C_OPEX_CUSTOM!$A:$O,2+MATCH(E$3,06C_OPEX_CUSTOM!$C$3:$N$3,0),FALSE),0),0))))*IFERROR(IF(VLOOKUP($A8,06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F8" s="52">
        <f>(IF($C8="Mensual",IF(AND(F$3&gt;=VLOOKUP($A8,06_OPEX!$A:$L,8,FALSE),F$3&lt;=VLOOKUP($A8,06_OPEX!$A:$L,9,FALSE)),-VLOOKUP($A8,06_OPEX!$A:$L,6,FALSE),0),IF($C8="Unico",IF(F$3=VLOOKUP($A8,06_OPEX!$A:$L,10,FALSE),-VLOOKUP($A8,06_OPEX!$A:$L,6,FALSE),0),IF($C8="Custom",-IFERROR(VLOOKUP($A8,06C_OPEX_CUSTOM!$A:$O,2+MATCH(F$3,06C_OPEX_CUSTOM!$C$3:$N$3,0),FALSE),0),0))))*IFERROR(IF(VLOOKUP($A8,06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G8" s="52">
        <f>(IF($C8="Mensual",IF(AND(G$3&gt;=VLOOKUP($A8,06_OPEX!$A:$L,8,FALSE),G$3&lt;=VLOOKUP($A8,06_OPEX!$A:$L,9,FALSE)),-VLOOKUP($A8,06_OPEX!$A:$L,6,FALSE),0),IF($C8="Unico",IF(G$3=VLOOKUP($A8,06_OPEX!$A:$L,10,FALSE),-VLOOKUP($A8,06_OPEX!$A:$L,6,FALSE),0),IF($C8="Custom",-IFERROR(VLOOKUP($A8,06C_OPEX_CUSTOM!$A:$O,2+MATCH(G$3,06C_OPEX_CUSTOM!$C$3:$N$3,0),FALSE),0),0))))*IFERROR(IF(VLOOKUP($A8,06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H8" s="52">
        <f>(IF($C8="Mensual",IF(AND(H$3&gt;=VLOOKUP($A8,06_OPEX!$A:$L,8,FALSE),H$3&lt;=VLOOKUP($A8,06_OPEX!$A:$L,9,FALSE)),-VLOOKUP($A8,06_OPEX!$A:$L,6,FALSE),0),IF($C8="Unico",IF(H$3=VLOOKUP($A8,06_OPEX!$A:$L,10,FALSE),-VLOOKUP($A8,06_OPEX!$A:$L,6,FALSE),0),IF($C8="Custom",-IFERROR(VLOOKUP($A8,06C_OPEX_CUSTOM!$A:$O,2+MATCH(H$3,06C_OPEX_CUSTOM!$C$3:$N$3,0),FALSE),0),0))))*IFERROR(IF(VLOOKUP($A8,06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I8" s="52">
        <f>(IF($C8="Mensual",IF(AND(I$3&gt;=VLOOKUP($A8,06_OPEX!$A:$L,8,FALSE),I$3&lt;=VLOOKUP($A8,06_OPEX!$A:$L,9,FALSE)),-VLOOKUP($A8,06_OPEX!$A:$L,6,FALSE),0),IF($C8="Unico",IF(I$3=VLOOKUP($A8,06_OPEX!$A:$L,10,FALSE),-VLOOKUP($A8,06_OPEX!$A:$L,6,FALSE),0),IF($C8="Custom",-IFERROR(VLOOKUP($A8,06C_OPEX_CUSTOM!$A:$O,2+MATCH(I$3,06C_OPEX_CUSTOM!$C$3:$N$3,0),FALSE),0),0))))*IFERROR(IF(VLOOKUP($A8,06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J8" s="52">
        <f>(IF($C8="Mensual",IF(AND(J$3&gt;=VLOOKUP($A8,06_OPEX!$A:$L,8,FALSE),J$3&lt;=VLOOKUP($A8,06_OPEX!$A:$L,9,FALSE)),-VLOOKUP($A8,06_OPEX!$A:$L,6,FALSE),0),IF($C8="Unico",IF(J$3=VLOOKUP($A8,06_OPEX!$A:$L,10,FALSE),-VLOOKUP($A8,06_OPEX!$A:$L,6,FALSE),0),IF($C8="Custom",-IFERROR(VLOOKUP($A8,06C_OPEX_CUSTOM!$A:$O,2+MATCH(J$3,06C_OPEX_CUSTOM!$C$3:$N$3,0),FALSE),0),0))))*IFERROR(IF(VLOOKUP($A8,06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K8" s="52">
        <f>(IF($C8="Mensual",IF(AND(K$3&gt;=VLOOKUP($A8,06_OPEX!$A:$L,8,FALSE),K$3&lt;=VLOOKUP($A8,06_OPEX!$A:$L,9,FALSE)),-VLOOKUP($A8,06_OPEX!$A:$L,6,FALSE),0),IF($C8="Unico",IF(K$3=VLOOKUP($A8,06_OPEX!$A:$L,10,FALSE),-VLOOKUP($A8,06_OPEX!$A:$L,6,FALSE),0),IF($C8="Custom",-IFERROR(VLOOKUP($A8,06C_OPEX_CUSTOM!$A:$O,2+MATCH(K$3,06C_OPEX_CUSTOM!$C$3:$N$3,0),FALSE),0),0))))*IFERROR(IF(VLOOKUP($A8,06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L8" s="52">
        <f>(IF($C8="Mensual",IF(AND(L$3&gt;=VLOOKUP($A8,06_OPEX!$A:$L,8,FALSE),L$3&lt;=VLOOKUP($A8,06_OPEX!$A:$L,9,FALSE)),-VLOOKUP($A8,06_OPEX!$A:$L,6,FALSE),0),IF($C8="Unico",IF(L$3=VLOOKUP($A8,06_OPEX!$A:$L,10,FALSE),-VLOOKUP($A8,06_OPEX!$A:$L,6,FALSE),0),IF($C8="Custom",-IFERROR(VLOOKUP($A8,06C_OPEX_CUSTOM!$A:$O,2+MATCH(L$3,06C_OPEX_CUSTOM!$C$3:$N$3,0),FALSE),0),0))))*IFERROR(IF(VLOOKUP($A8,06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M8" s="52">
        <f>(IF($C8="Mensual",IF(AND(M$3&gt;=VLOOKUP($A8,06_OPEX!$A:$L,8,FALSE),M$3&lt;=VLOOKUP($A8,06_OPEX!$A:$L,9,FALSE)),-VLOOKUP($A8,06_OPEX!$A:$L,6,FALSE),0),IF($C8="Unico",IF(M$3=VLOOKUP($A8,06_OPEX!$A:$L,10,FALSE),-VLOOKUP($A8,06_OPEX!$A:$L,6,FALSE),0),IF($C8="Custom",-IFERROR(VLOOKUP($A8,06C_OPEX_CUSTOM!$A:$O,2+MATCH(M$3,06C_OPEX_CUSTOM!$C$3:$N$3,0),FALSE),0),0))))*IFERROR(IF(VLOOKUP($A8,06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N8" s="52">
        <f>(IF($C8="Mensual",IF(AND(N$3&gt;=VLOOKUP($A8,06_OPEX!$A:$L,8,FALSE),N$3&lt;=VLOOKUP($A8,06_OPEX!$A:$L,9,FALSE)),-VLOOKUP($A8,06_OPEX!$A:$L,6,FALSE),0),IF($C8="Unico",IF(N$3=VLOOKUP($A8,06_OPEX!$A:$L,10,FALSE),-VLOOKUP($A8,06_OPEX!$A:$L,6,FALSE),0),IF($C8="Custom",-IFERROR(VLOOKUP($A8,06C_OPEX_CUSTOM!$A:$O,2+MATCH(N$3,06C_OPEX_CUSTOM!$C$3:$N$3,0),FALSE),0),0))))*IFERROR(IF(VLOOKUP($A8,06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O8" s="52">
        <f>(IF($C8="Mensual",IF(AND(O$3&gt;=VLOOKUP($A8,06_OPEX!$A:$L,8,FALSE),O$3&lt;=VLOOKUP($A8,06_OPEX!$A:$L,9,FALSE)),-VLOOKUP($A8,06_OPEX!$A:$L,6,FALSE),0),IF($C8="Unico",IF(O$3=VLOOKUP($A8,06_OPEX!$A:$L,10,FALSE),-VLOOKUP($A8,06_OPEX!$A:$L,6,FALSE),0),IF($C8="Custom",-IFERROR(VLOOKUP($A8,06C_OPEX_CUSTOM!$A:$O,2+MATCH(O$3,06C_OPEX_CUSTOM!$C$3:$N$3,0),FALSE),0),0))))*IFERROR(IF(VLOOKUP($A8,06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P8" s="52">
        <f>(IF($C8="Mensual",IF(AND(P$3&gt;=VLOOKUP($A8,06_OPEX!$A:$L,8,FALSE),P$3&lt;=VLOOKUP($A8,06_OPEX!$A:$L,9,FALSE)),-VLOOKUP($A8,06_OPEX!$A:$L,6,FALSE),0),IF($C8="Unico",IF(P$3=VLOOKUP($A8,06_OPEX!$A:$L,10,FALSE),-VLOOKUP($A8,06_OPEX!$A:$L,6,FALSE),0),IF($C8="Custom",-IFERROR(VLOOKUP($A8,06C_OPEX_CUSTOM!$A:$O,2+MATCH(P$3,06C_OPEX_CUSTOM!$C$3:$N$3,0),FALSE),0),0))))*IFERROR(IF(VLOOKUP($A8,06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Q8" s="56">
        <f>SUM(E8:P8)</f>
        <v/>
      </c>
    </row>
    <row r="9">
      <c r="A9" s="36" t="inlineStr">
        <is>
          <t>OPEX-006</t>
        </is>
      </c>
      <c r="B9" s="36">
        <f>IFERROR(VLOOKUP($A9,06_OPEX!$A:$L,2,FALSE),"")</f>
        <v/>
      </c>
      <c r="C9" s="37">
        <f>IFERROR(VLOOKUP($A9,06_OPEX!$A:$L,4,FALSE),"")</f>
        <v/>
      </c>
      <c r="D9" s="37">
        <f>IFERROR(VLOOKUP($A9,06_OPEX!$A:$L,7,FALSE),"")</f>
        <v/>
      </c>
      <c r="E9" s="52">
        <f>(IF($C9="Mensual",IF(AND(E$3&gt;=VLOOKUP($A9,06_OPEX!$A:$L,8,FALSE),E$3&lt;=VLOOKUP($A9,06_OPEX!$A:$L,9,FALSE)),-VLOOKUP($A9,06_OPEX!$A:$L,6,FALSE),0),IF($C9="Unico",IF(E$3=VLOOKUP($A9,06_OPEX!$A:$L,10,FALSE),-VLOOKUP($A9,06_OPEX!$A:$L,6,FALSE),0),IF($C9="Custom",-IFERROR(VLOOKUP($A9,06C_OPEX_CUSTOM!$A:$O,2+MATCH(E$3,06C_OPEX_CUSTOM!$C$3:$N$3,0),FALSE),0),0))))*IFERROR(IF(VLOOKUP($A9,06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F9" s="52">
        <f>(IF($C9="Mensual",IF(AND(F$3&gt;=VLOOKUP($A9,06_OPEX!$A:$L,8,FALSE),F$3&lt;=VLOOKUP($A9,06_OPEX!$A:$L,9,FALSE)),-VLOOKUP($A9,06_OPEX!$A:$L,6,FALSE),0),IF($C9="Unico",IF(F$3=VLOOKUP($A9,06_OPEX!$A:$L,10,FALSE),-VLOOKUP($A9,06_OPEX!$A:$L,6,FALSE),0),IF($C9="Custom",-IFERROR(VLOOKUP($A9,06C_OPEX_CUSTOM!$A:$O,2+MATCH(F$3,06C_OPEX_CUSTOM!$C$3:$N$3,0),FALSE),0),0))))*IFERROR(IF(VLOOKUP($A9,06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G9" s="52">
        <f>(IF($C9="Mensual",IF(AND(G$3&gt;=VLOOKUP($A9,06_OPEX!$A:$L,8,FALSE),G$3&lt;=VLOOKUP($A9,06_OPEX!$A:$L,9,FALSE)),-VLOOKUP($A9,06_OPEX!$A:$L,6,FALSE),0),IF($C9="Unico",IF(G$3=VLOOKUP($A9,06_OPEX!$A:$L,10,FALSE),-VLOOKUP($A9,06_OPEX!$A:$L,6,FALSE),0),IF($C9="Custom",-IFERROR(VLOOKUP($A9,06C_OPEX_CUSTOM!$A:$O,2+MATCH(G$3,06C_OPEX_CUSTOM!$C$3:$N$3,0),FALSE),0),0))))*IFERROR(IF(VLOOKUP($A9,06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H9" s="52">
        <f>(IF($C9="Mensual",IF(AND(H$3&gt;=VLOOKUP($A9,06_OPEX!$A:$L,8,FALSE),H$3&lt;=VLOOKUP($A9,06_OPEX!$A:$L,9,FALSE)),-VLOOKUP($A9,06_OPEX!$A:$L,6,FALSE),0),IF($C9="Unico",IF(H$3=VLOOKUP($A9,06_OPEX!$A:$L,10,FALSE),-VLOOKUP($A9,06_OPEX!$A:$L,6,FALSE),0),IF($C9="Custom",-IFERROR(VLOOKUP($A9,06C_OPEX_CUSTOM!$A:$O,2+MATCH(H$3,06C_OPEX_CUSTOM!$C$3:$N$3,0),FALSE),0),0))))*IFERROR(IF(VLOOKUP($A9,06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I9" s="52">
        <f>(IF($C9="Mensual",IF(AND(I$3&gt;=VLOOKUP($A9,06_OPEX!$A:$L,8,FALSE),I$3&lt;=VLOOKUP($A9,06_OPEX!$A:$L,9,FALSE)),-VLOOKUP($A9,06_OPEX!$A:$L,6,FALSE),0),IF($C9="Unico",IF(I$3=VLOOKUP($A9,06_OPEX!$A:$L,10,FALSE),-VLOOKUP($A9,06_OPEX!$A:$L,6,FALSE),0),IF($C9="Custom",-IFERROR(VLOOKUP($A9,06C_OPEX_CUSTOM!$A:$O,2+MATCH(I$3,06C_OPEX_CUSTOM!$C$3:$N$3,0),FALSE),0),0))))*IFERROR(IF(VLOOKUP($A9,06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J9" s="52">
        <f>(IF($C9="Mensual",IF(AND(J$3&gt;=VLOOKUP($A9,06_OPEX!$A:$L,8,FALSE),J$3&lt;=VLOOKUP($A9,06_OPEX!$A:$L,9,FALSE)),-VLOOKUP($A9,06_OPEX!$A:$L,6,FALSE),0),IF($C9="Unico",IF(J$3=VLOOKUP($A9,06_OPEX!$A:$L,10,FALSE),-VLOOKUP($A9,06_OPEX!$A:$L,6,FALSE),0),IF($C9="Custom",-IFERROR(VLOOKUP($A9,06C_OPEX_CUSTOM!$A:$O,2+MATCH(J$3,06C_OPEX_CUSTOM!$C$3:$N$3,0),FALSE),0),0))))*IFERROR(IF(VLOOKUP($A9,06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K9" s="52">
        <f>(IF($C9="Mensual",IF(AND(K$3&gt;=VLOOKUP($A9,06_OPEX!$A:$L,8,FALSE),K$3&lt;=VLOOKUP($A9,06_OPEX!$A:$L,9,FALSE)),-VLOOKUP($A9,06_OPEX!$A:$L,6,FALSE),0),IF($C9="Unico",IF(K$3=VLOOKUP($A9,06_OPEX!$A:$L,10,FALSE),-VLOOKUP($A9,06_OPEX!$A:$L,6,FALSE),0),IF($C9="Custom",-IFERROR(VLOOKUP($A9,06C_OPEX_CUSTOM!$A:$O,2+MATCH(K$3,06C_OPEX_CUSTOM!$C$3:$N$3,0),FALSE),0),0))))*IFERROR(IF(VLOOKUP($A9,06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L9" s="52">
        <f>(IF($C9="Mensual",IF(AND(L$3&gt;=VLOOKUP($A9,06_OPEX!$A:$L,8,FALSE),L$3&lt;=VLOOKUP($A9,06_OPEX!$A:$L,9,FALSE)),-VLOOKUP($A9,06_OPEX!$A:$L,6,FALSE),0),IF($C9="Unico",IF(L$3=VLOOKUP($A9,06_OPEX!$A:$L,10,FALSE),-VLOOKUP($A9,06_OPEX!$A:$L,6,FALSE),0),IF($C9="Custom",-IFERROR(VLOOKUP($A9,06C_OPEX_CUSTOM!$A:$O,2+MATCH(L$3,06C_OPEX_CUSTOM!$C$3:$N$3,0),FALSE),0),0))))*IFERROR(IF(VLOOKUP($A9,06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M9" s="52">
        <f>(IF($C9="Mensual",IF(AND(M$3&gt;=VLOOKUP($A9,06_OPEX!$A:$L,8,FALSE),M$3&lt;=VLOOKUP($A9,06_OPEX!$A:$L,9,FALSE)),-VLOOKUP($A9,06_OPEX!$A:$L,6,FALSE),0),IF($C9="Unico",IF(M$3=VLOOKUP($A9,06_OPEX!$A:$L,10,FALSE),-VLOOKUP($A9,06_OPEX!$A:$L,6,FALSE),0),IF($C9="Custom",-IFERROR(VLOOKUP($A9,06C_OPEX_CUSTOM!$A:$O,2+MATCH(M$3,06C_OPEX_CUSTOM!$C$3:$N$3,0),FALSE),0),0))))*IFERROR(IF(VLOOKUP($A9,06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N9" s="52">
        <f>(IF($C9="Mensual",IF(AND(N$3&gt;=VLOOKUP($A9,06_OPEX!$A:$L,8,FALSE),N$3&lt;=VLOOKUP($A9,06_OPEX!$A:$L,9,FALSE)),-VLOOKUP($A9,06_OPEX!$A:$L,6,FALSE),0),IF($C9="Unico",IF(N$3=VLOOKUP($A9,06_OPEX!$A:$L,10,FALSE),-VLOOKUP($A9,06_OPEX!$A:$L,6,FALSE),0),IF($C9="Custom",-IFERROR(VLOOKUP($A9,06C_OPEX_CUSTOM!$A:$O,2+MATCH(N$3,06C_OPEX_CUSTOM!$C$3:$N$3,0),FALSE),0),0))))*IFERROR(IF(VLOOKUP($A9,06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O9" s="52">
        <f>(IF($C9="Mensual",IF(AND(O$3&gt;=VLOOKUP($A9,06_OPEX!$A:$L,8,FALSE),O$3&lt;=VLOOKUP($A9,06_OPEX!$A:$L,9,FALSE)),-VLOOKUP($A9,06_OPEX!$A:$L,6,FALSE),0),IF($C9="Unico",IF(O$3=VLOOKUP($A9,06_OPEX!$A:$L,10,FALSE),-VLOOKUP($A9,06_OPEX!$A:$L,6,FALSE),0),IF($C9="Custom",-IFERROR(VLOOKUP($A9,06C_OPEX_CUSTOM!$A:$O,2+MATCH(O$3,06C_OPEX_CUSTOM!$C$3:$N$3,0),FALSE),0),0))))*IFERROR(IF(VLOOKUP($A9,06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P9" s="52">
        <f>(IF($C9="Mensual",IF(AND(P$3&gt;=VLOOKUP($A9,06_OPEX!$A:$L,8,FALSE),P$3&lt;=VLOOKUP($A9,06_OPEX!$A:$L,9,FALSE)),-VLOOKUP($A9,06_OPEX!$A:$L,6,FALSE),0),IF($C9="Unico",IF(P$3=VLOOKUP($A9,06_OPEX!$A:$L,10,FALSE),-VLOOKUP($A9,06_OPEX!$A:$L,6,FALSE),0),IF($C9="Custom",-IFERROR(VLOOKUP($A9,06C_OPEX_CUSTOM!$A:$O,2+MATCH(P$3,06C_OPEX_CUSTOM!$C$3:$N$3,0),FALSE),0),0))))*IFERROR(IF(VLOOKUP($A9,06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Q9" s="56">
        <f>SUM(E9:P9)</f>
        <v/>
      </c>
    </row>
    <row r="10">
      <c r="A10" s="36" t="inlineStr">
        <is>
          <t>OPEX-007</t>
        </is>
      </c>
      <c r="B10" s="36">
        <f>IFERROR(VLOOKUP($A10,06_OPEX!$A:$L,2,FALSE),"")</f>
        <v/>
      </c>
      <c r="C10" s="37">
        <f>IFERROR(VLOOKUP($A10,06_OPEX!$A:$L,4,FALSE),"")</f>
        <v/>
      </c>
      <c r="D10" s="37">
        <f>IFERROR(VLOOKUP($A10,06_OPEX!$A:$L,7,FALSE),"")</f>
        <v/>
      </c>
      <c r="E10" s="52">
        <f>(IF($C10="Mensual",IF(AND(E$3&gt;=VLOOKUP($A10,06_OPEX!$A:$L,8,FALSE),E$3&lt;=VLOOKUP($A10,06_OPEX!$A:$L,9,FALSE)),-VLOOKUP($A10,06_OPEX!$A:$L,6,FALSE),0),IF($C10="Unico",IF(E$3=VLOOKUP($A10,06_OPEX!$A:$L,10,FALSE),-VLOOKUP($A10,06_OPEX!$A:$L,6,FALSE),0),IF($C10="Custom",-IFERROR(VLOOKUP($A10,06C_OPEX_CUSTOM!$A:$O,2+MATCH(E$3,06C_OPEX_CUSTOM!$C$3:$N$3,0),FALSE),0),0))))*IFERROR(IF(VLOOKUP($A10,06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F10" s="52">
        <f>(IF($C10="Mensual",IF(AND(F$3&gt;=VLOOKUP($A10,06_OPEX!$A:$L,8,FALSE),F$3&lt;=VLOOKUP($A10,06_OPEX!$A:$L,9,FALSE)),-VLOOKUP($A10,06_OPEX!$A:$L,6,FALSE),0),IF($C10="Unico",IF(F$3=VLOOKUP($A10,06_OPEX!$A:$L,10,FALSE),-VLOOKUP($A10,06_OPEX!$A:$L,6,FALSE),0),IF($C10="Custom",-IFERROR(VLOOKUP($A10,06C_OPEX_CUSTOM!$A:$O,2+MATCH(F$3,06C_OPEX_CUSTOM!$C$3:$N$3,0),FALSE),0),0))))*IFERROR(IF(VLOOKUP($A10,06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G10" s="52">
        <f>(IF($C10="Mensual",IF(AND(G$3&gt;=VLOOKUP($A10,06_OPEX!$A:$L,8,FALSE),G$3&lt;=VLOOKUP($A10,06_OPEX!$A:$L,9,FALSE)),-VLOOKUP($A10,06_OPEX!$A:$L,6,FALSE),0),IF($C10="Unico",IF(G$3=VLOOKUP($A10,06_OPEX!$A:$L,10,FALSE),-VLOOKUP($A10,06_OPEX!$A:$L,6,FALSE),0),IF($C10="Custom",-IFERROR(VLOOKUP($A10,06C_OPEX_CUSTOM!$A:$O,2+MATCH(G$3,06C_OPEX_CUSTOM!$C$3:$N$3,0),FALSE),0),0))))*IFERROR(IF(VLOOKUP($A10,06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H10" s="52">
        <f>(IF($C10="Mensual",IF(AND(H$3&gt;=VLOOKUP($A10,06_OPEX!$A:$L,8,FALSE),H$3&lt;=VLOOKUP($A10,06_OPEX!$A:$L,9,FALSE)),-VLOOKUP($A10,06_OPEX!$A:$L,6,FALSE),0),IF($C10="Unico",IF(H$3=VLOOKUP($A10,06_OPEX!$A:$L,10,FALSE),-VLOOKUP($A10,06_OPEX!$A:$L,6,FALSE),0),IF($C10="Custom",-IFERROR(VLOOKUP($A10,06C_OPEX_CUSTOM!$A:$O,2+MATCH(H$3,06C_OPEX_CUSTOM!$C$3:$N$3,0),FALSE),0),0))))*IFERROR(IF(VLOOKUP($A10,06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I10" s="52">
        <f>(IF($C10="Mensual",IF(AND(I$3&gt;=VLOOKUP($A10,06_OPEX!$A:$L,8,FALSE),I$3&lt;=VLOOKUP($A10,06_OPEX!$A:$L,9,FALSE)),-VLOOKUP($A10,06_OPEX!$A:$L,6,FALSE),0),IF($C10="Unico",IF(I$3=VLOOKUP($A10,06_OPEX!$A:$L,10,FALSE),-VLOOKUP($A10,06_OPEX!$A:$L,6,FALSE),0),IF($C10="Custom",-IFERROR(VLOOKUP($A10,06C_OPEX_CUSTOM!$A:$O,2+MATCH(I$3,06C_OPEX_CUSTOM!$C$3:$N$3,0),FALSE),0),0))))*IFERROR(IF(VLOOKUP($A10,06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J10" s="52">
        <f>(IF($C10="Mensual",IF(AND(J$3&gt;=VLOOKUP($A10,06_OPEX!$A:$L,8,FALSE),J$3&lt;=VLOOKUP($A10,06_OPEX!$A:$L,9,FALSE)),-VLOOKUP($A10,06_OPEX!$A:$L,6,FALSE),0),IF($C10="Unico",IF(J$3=VLOOKUP($A10,06_OPEX!$A:$L,10,FALSE),-VLOOKUP($A10,06_OPEX!$A:$L,6,FALSE),0),IF($C10="Custom",-IFERROR(VLOOKUP($A10,06C_OPEX_CUSTOM!$A:$O,2+MATCH(J$3,06C_OPEX_CUSTOM!$C$3:$N$3,0),FALSE),0),0))))*IFERROR(IF(VLOOKUP($A10,06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K10" s="52">
        <f>(IF($C10="Mensual",IF(AND(K$3&gt;=VLOOKUP($A10,06_OPEX!$A:$L,8,FALSE),K$3&lt;=VLOOKUP($A10,06_OPEX!$A:$L,9,FALSE)),-VLOOKUP($A10,06_OPEX!$A:$L,6,FALSE),0),IF($C10="Unico",IF(K$3=VLOOKUP($A10,06_OPEX!$A:$L,10,FALSE),-VLOOKUP($A10,06_OPEX!$A:$L,6,FALSE),0),IF($C10="Custom",-IFERROR(VLOOKUP($A10,06C_OPEX_CUSTOM!$A:$O,2+MATCH(K$3,06C_OPEX_CUSTOM!$C$3:$N$3,0),FALSE),0),0))))*IFERROR(IF(VLOOKUP($A10,06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L10" s="52">
        <f>(IF($C10="Mensual",IF(AND(L$3&gt;=VLOOKUP($A10,06_OPEX!$A:$L,8,FALSE),L$3&lt;=VLOOKUP($A10,06_OPEX!$A:$L,9,FALSE)),-VLOOKUP($A10,06_OPEX!$A:$L,6,FALSE),0),IF($C10="Unico",IF(L$3=VLOOKUP($A10,06_OPEX!$A:$L,10,FALSE),-VLOOKUP($A10,06_OPEX!$A:$L,6,FALSE),0),IF($C10="Custom",-IFERROR(VLOOKUP($A10,06C_OPEX_CUSTOM!$A:$O,2+MATCH(L$3,06C_OPEX_CUSTOM!$C$3:$N$3,0),FALSE),0),0))))*IFERROR(IF(VLOOKUP($A10,06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M10" s="52">
        <f>(IF($C10="Mensual",IF(AND(M$3&gt;=VLOOKUP($A10,06_OPEX!$A:$L,8,FALSE),M$3&lt;=VLOOKUP($A10,06_OPEX!$A:$L,9,FALSE)),-VLOOKUP($A10,06_OPEX!$A:$L,6,FALSE),0),IF($C10="Unico",IF(M$3=VLOOKUP($A10,06_OPEX!$A:$L,10,FALSE),-VLOOKUP($A10,06_OPEX!$A:$L,6,FALSE),0),IF($C10="Custom",-IFERROR(VLOOKUP($A10,06C_OPEX_CUSTOM!$A:$O,2+MATCH(M$3,06C_OPEX_CUSTOM!$C$3:$N$3,0),FALSE),0),0))))*IFERROR(IF(VLOOKUP($A10,06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N10" s="52">
        <f>(IF($C10="Mensual",IF(AND(N$3&gt;=VLOOKUP($A10,06_OPEX!$A:$L,8,FALSE),N$3&lt;=VLOOKUP($A10,06_OPEX!$A:$L,9,FALSE)),-VLOOKUP($A10,06_OPEX!$A:$L,6,FALSE),0),IF($C10="Unico",IF(N$3=VLOOKUP($A10,06_OPEX!$A:$L,10,FALSE),-VLOOKUP($A10,06_OPEX!$A:$L,6,FALSE),0),IF($C10="Custom",-IFERROR(VLOOKUP($A10,06C_OPEX_CUSTOM!$A:$O,2+MATCH(N$3,06C_OPEX_CUSTOM!$C$3:$N$3,0),FALSE),0),0))))*IFERROR(IF(VLOOKUP($A10,06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O10" s="52">
        <f>(IF($C10="Mensual",IF(AND(O$3&gt;=VLOOKUP($A10,06_OPEX!$A:$L,8,FALSE),O$3&lt;=VLOOKUP($A10,06_OPEX!$A:$L,9,FALSE)),-VLOOKUP($A10,06_OPEX!$A:$L,6,FALSE),0),IF($C10="Unico",IF(O$3=VLOOKUP($A10,06_OPEX!$A:$L,10,FALSE),-VLOOKUP($A10,06_OPEX!$A:$L,6,FALSE),0),IF($C10="Custom",-IFERROR(VLOOKUP($A10,06C_OPEX_CUSTOM!$A:$O,2+MATCH(O$3,06C_OPEX_CUSTOM!$C$3:$N$3,0),FALSE),0),0))))*IFERROR(IF(VLOOKUP($A10,06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P10" s="52">
        <f>(IF($C10="Mensual",IF(AND(P$3&gt;=VLOOKUP($A10,06_OPEX!$A:$L,8,FALSE),P$3&lt;=VLOOKUP($A10,06_OPEX!$A:$L,9,FALSE)),-VLOOKUP($A10,06_OPEX!$A:$L,6,FALSE),0),IF($C10="Unico",IF(P$3=VLOOKUP($A10,06_OPEX!$A:$L,10,FALSE),-VLOOKUP($A10,06_OPEX!$A:$L,6,FALSE),0),IF($C10="Custom",-IFERROR(VLOOKUP($A10,06C_OPEX_CUSTOM!$A:$O,2+MATCH(P$3,06C_OPEX_CUSTOM!$C$3:$N$3,0),FALSE),0),0))))*IFERROR(IF(VLOOKUP($A10,06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Q10" s="56">
        <f>SUM(E10:P10)</f>
        <v/>
      </c>
    </row>
    <row r="11">
      <c r="A11" s="36" t="inlineStr">
        <is>
          <t>OPEX-008</t>
        </is>
      </c>
      <c r="B11" s="36">
        <f>IFERROR(VLOOKUP($A11,06_OPEX!$A:$L,2,FALSE),"")</f>
        <v/>
      </c>
      <c r="C11" s="37">
        <f>IFERROR(VLOOKUP($A11,06_OPEX!$A:$L,4,FALSE),"")</f>
        <v/>
      </c>
      <c r="D11" s="37">
        <f>IFERROR(VLOOKUP($A11,06_OPEX!$A:$L,7,FALSE),"")</f>
        <v/>
      </c>
      <c r="E11" s="52">
        <f>(IF($C11="Mensual",IF(AND(E$3&gt;=VLOOKUP($A11,06_OPEX!$A:$L,8,FALSE),E$3&lt;=VLOOKUP($A11,06_OPEX!$A:$L,9,FALSE)),-VLOOKUP($A11,06_OPEX!$A:$L,6,FALSE),0),IF($C11="Unico",IF(E$3=VLOOKUP($A11,06_OPEX!$A:$L,10,FALSE),-VLOOKUP($A11,06_OPEX!$A:$L,6,FALSE),0),IF($C11="Custom",-IFERROR(VLOOKUP($A11,06C_OPEX_CUSTOM!$A:$O,2+MATCH(E$3,06C_OPEX_CUSTOM!$C$3:$N$3,0),FALSE),0),0))))*IFERROR(IF(VLOOKUP($A11,06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F11" s="52">
        <f>(IF($C11="Mensual",IF(AND(F$3&gt;=VLOOKUP($A11,06_OPEX!$A:$L,8,FALSE),F$3&lt;=VLOOKUP($A11,06_OPEX!$A:$L,9,FALSE)),-VLOOKUP($A11,06_OPEX!$A:$L,6,FALSE),0),IF($C11="Unico",IF(F$3=VLOOKUP($A11,06_OPEX!$A:$L,10,FALSE),-VLOOKUP($A11,06_OPEX!$A:$L,6,FALSE),0),IF($C11="Custom",-IFERROR(VLOOKUP($A11,06C_OPEX_CUSTOM!$A:$O,2+MATCH(F$3,06C_OPEX_CUSTOM!$C$3:$N$3,0),FALSE),0),0))))*IFERROR(IF(VLOOKUP($A11,06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G11" s="52">
        <f>(IF($C11="Mensual",IF(AND(G$3&gt;=VLOOKUP($A11,06_OPEX!$A:$L,8,FALSE),G$3&lt;=VLOOKUP($A11,06_OPEX!$A:$L,9,FALSE)),-VLOOKUP($A11,06_OPEX!$A:$L,6,FALSE),0),IF($C11="Unico",IF(G$3=VLOOKUP($A11,06_OPEX!$A:$L,10,FALSE),-VLOOKUP($A11,06_OPEX!$A:$L,6,FALSE),0),IF($C11="Custom",-IFERROR(VLOOKUP($A11,06C_OPEX_CUSTOM!$A:$O,2+MATCH(G$3,06C_OPEX_CUSTOM!$C$3:$N$3,0),FALSE),0),0))))*IFERROR(IF(VLOOKUP($A11,06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H11" s="52">
        <f>(IF($C11="Mensual",IF(AND(H$3&gt;=VLOOKUP($A11,06_OPEX!$A:$L,8,FALSE),H$3&lt;=VLOOKUP($A11,06_OPEX!$A:$L,9,FALSE)),-VLOOKUP($A11,06_OPEX!$A:$L,6,FALSE),0),IF($C11="Unico",IF(H$3=VLOOKUP($A11,06_OPEX!$A:$L,10,FALSE),-VLOOKUP($A11,06_OPEX!$A:$L,6,FALSE),0),IF($C11="Custom",-IFERROR(VLOOKUP($A11,06C_OPEX_CUSTOM!$A:$O,2+MATCH(H$3,06C_OPEX_CUSTOM!$C$3:$N$3,0),FALSE),0),0))))*IFERROR(IF(VLOOKUP($A11,06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I11" s="52">
        <f>(IF($C11="Mensual",IF(AND(I$3&gt;=VLOOKUP($A11,06_OPEX!$A:$L,8,FALSE),I$3&lt;=VLOOKUP($A11,06_OPEX!$A:$L,9,FALSE)),-VLOOKUP($A11,06_OPEX!$A:$L,6,FALSE),0),IF($C11="Unico",IF(I$3=VLOOKUP($A11,06_OPEX!$A:$L,10,FALSE),-VLOOKUP($A11,06_OPEX!$A:$L,6,FALSE),0),IF($C11="Custom",-IFERROR(VLOOKUP($A11,06C_OPEX_CUSTOM!$A:$O,2+MATCH(I$3,06C_OPEX_CUSTOM!$C$3:$N$3,0),FALSE),0),0))))*IFERROR(IF(VLOOKUP($A11,06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J11" s="52">
        <f>(IF($C11="Mensual",IF(AND(J$3&gt;=VLOOKUP($A11,06_OPEX!$A:$L,8,FALSE),J$3&lt;=VLOOKUP($A11,06_OPEX!$A:$L,9,FALSE)),-VLOOKUP($A11,06_OPEX!$A:$L,6,FALSE),0),IF($C11="Unico",IF(J$3=VLOOKUP($A11,06_OPEX!$A:$L,10,FALSE),-VLOOKUP($A11,06_OPEX!$A:$L,6,FALSE),0),IF($C11="Custom",-IFERROR(VLOOKUP($A11,06C_OPEX_CUSTOM!$A:$O,2+MATCH(J$3,06C_OPEX_CUSTOM!$C$3:$N$3,0),FALSE),0),0))))*IFERROR(IF(VLOOKUP($A11,06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K11" s="52">
        <f>(IF($C11="Mensual",IF(AND(K$3&gt;=VLOOKUP($A11,06_OPEX!$A:$L,8,FALSE),K$3&lt;=VLOOKUP($A11,06_OPEX!$A:$L,9,FALSE)),-VLOOKUP($A11,06_OPEX!$A:$L,6,FALSE),0),IF($C11="Unico",IF(K$3=VLOOKUP($A11,06_OPEX!$A:$L,10,FALSE),-VLOOKUP($A11,06_OPEX!$A:$L,6,FALSE),0),IF($C11="Custom",-IFERROR(VLOOKUP($A11,06C_OPEX_CUSTOM!$A:$O,2+MATCH(K$3,06C_OPEX_CUSTOM!$C$3:$N$3,0),FALSE),0),0))))*IFERROR(IF(VLOOKUP($A11,06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L11" s="52">
        <f>(IF($C11="Mensual",IF(AND(L$3&gt;=VLOOKUP($A11,06_OPEX!$A:$L,8,FALSE),L$3&lt;=VLOOKUP($A11,06_OPEX!$A:$L,9,FALSE)),-VLOOKUP($A11,06_OPEX!$A:$L,6,FALSE),0),IF($C11="Unico",IF(L$3=VLOOKUP($A11,06_OPEX!$A:$L,10,FALSE),-VLOOKUP($A11,06_OPEX!$A:$L,6,FALSE),0),IF($C11="Custom",-IFERROR(VLOOKUP($A11,06C_OPEX_CUSTOM!$A:$O,2+MATCH(L$3,06C_OPEX_CUSTOM!$C$3:$N$3,0),FALSE),0),0))))*IFERROR(IF(VLOOKUP($A11,06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M11" s="52">
        <f>(IF($C11="Mensual",IF(AND(M$3&gt;=VLOOKUP($A11,06_OPEX!$A:$L,8,FALSE),M$3&lt;=VLOOKUP($A11,06_OPEX!$A:$L,9,FALSE)),-VLOOKUP($A11,06_OPEX!$A:$L,6,FALSE),0),IF($C11="Unico",IF(M$3=VLOOKUP($A11,06_OPEX!$A:$L,10,FALSE),-VLOOKUP($A11,06_OPEX!$A:$L,6,FALSE),0),IF($C11="Custom",-IFERROR(VLOOKUP($A11,06C_OPEX_CUSTOM!$A:$O,2+MATCH(M$3,06C_OPEX_CUSTOM!$C$3:$N$3,0),FALSE),0),0))))*IFERROR(IF(VLOOKUP($A11,06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N11" s="52">
        <f>(IF($C11="Mensual",IF(AND(N$3&gt;=VLOOKUP($A11,06_OPEX!$A:$L,8,FALSE),N$3&lt;=VLOOKUP($A11,06_OPEX!$A:$L,9,FALSE)),-VLOOKUP($A11,06_OPEX!$A:$L,6,FALSE),0),IF($C11="Unico",IF(N$3=VLOOKUP($A11,06_OPEX!$A:$L,10,FALSE),-VLOOKUP($A11,06_OPEX!$A:$L,6,FALSE),0),IF($C11="Custom",-IFERROR(VLOOKUP($A11,06C_OPEX_CUSTOM!$A:$O,2+MATCH(N$3,06C_OPEX_CUSTOM!$C$3:$N$3,0),FALSE),0),0))))*IFERROR(IF(VLOOKUP($A11,06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O11" s="52">
        <f>(IF($C11="Mensual",IF(AND(O$3&gt;=VLOOKUP($A11,06_OPEX!$A:$L,8,FALSE),O$3&lt;=VLOOKUP($A11,06_OPEX!$A:$L,9,FALSE)),-VLOOKUP($A11,06_OPEX!$A:$L,6,FALSE),0),IF($C11="Unico",IF(O$3=VLOOKUP($A11,06_OPEX!$A:$L,10,FALSE),-VLOOKUP($A11,06_OPEX!$A:$L,6,FALSE),0),IF($C11="Custom",-IFERROR(VLOOKUP($A11,06C_OPEX_CUSTOM!$A:$O,2+MATCH(O$3,06C_OPEX_CUSTOM!$C$3:$N$3,0),FALSE),0),0))))*IFERROR(IF(VLOOKUP($A11,06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P11" s="52">
        <f>(IF($C11="Mensual",IF(AND(P$3&gt;=VLOOKUP($A11,06_OPEX!$A:$L,8,FALSE),P$3&lt;=VLOOKUP($A11,06_OPEX!$A:$L,9,FALSE)),-VLOOKUP($A11,06_OPEX!$A:$L,6,FALSE),0),IF($C11="Unico",IF(P$3=VLOOKUP($A11,06_OPEX!$A:$L,10,FALSE),-VLOOKUP($A11,06_OPEX!$A:$L,6,FALSE),0),IF($C11="Custom",-IFERROR(VLOOKUP($A11,06C_OPEX_CUSTOM!$A:$O,2+MATCH(P$3,06C_OPEX_CUSTOM!$C$3:$N$3,0),FALSE),0),0))))*IFERROR(IF(VLOOKUP($A11,06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Q11" s="56">
        <f>SUM(E11:P11)</f>
        <v/>
      </c>
    </row>
    <row r="12">
      <c r="A12" s="36" t="inlineStr">
        <is>
          <t>OPEX-009</t>
        </is>
      </c>
      <c r="B12" s="36">
        <f>IFERROR(VLOOKUP($A12,06_OPEX!$A:$L,2,FALSE),"")</f>
        <v/>
      </c>
      <c r="C12" s="37">
        <f>IFERROR(VLOOKUP($A12,06_OPEX!$A:$L,4,FALSE),"")</f>
        <v/>
      </c>
      <c r="D12" s="37">
        <f>IFERROR(VLOOKUP($A12,06_OPEX!$A:$L,7,FALSE),"")</f>
        <v/>
      </c>
      <c r="E12" s="52">
        <f>(IF($C12="Mensual",IF(AND(E$3&gt;=VLOOKUP($A12,06_OPEX!$A:$L,8,FALSE),E$3&lt;=VLOOKUP($A12,06_OPEX!$A:$L,9,FALSE)),-VLOOKUP($A12,06_OPEX!$A:$L,6,FALSE),0),IF($C12="Unico",IF(E$3=VLOOKUP($A12,06_OPEX!$A:$L,10,FALSE),-VLOOKUP($A12,06_OPEX!$A:$L,6,FALSE),0),IF($C12="Custom",-IFERROR(VLOOKUP($A12,06C_OPEX_CUSTOM!$A:$O,2+MATCH(E$3,06C_OPEX_CUSTOM!$C$3:$N$3,0),FALSE),0),0))))*IFERROR(IF(VLOOKUP($A12,06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F12" s="52">
        <f>(IF($C12="Mensual",IF(AND(F$3&gt;=VLOOKUP($A12,06_OPEX!$A:$L,8,FALSE),F$3&lt;=VLOOKUP($A12,06_OPEX!$A:$L,9,FALSE)),-VLOOKUP($A12,06_OPEX!$A:$L,6,FALSE),0),IF($C12="Unico",IF(F$3=VLOOKUP($A12,06_OPEX!$A:$L,10,FALSE),-VLOOKUP($A12,06_OPEX!$A:$L,6,FALSE),0),IF($C12="Custom",-IFERROR(VLOOKUP($A12,06C_OPEX_CUSTOM!$A:$O,2+MATCH(F$3,06C_OPEX_CUSTOM!$C$3:$N$3,0),FALSE),0),0))))*IFERROR(IF(VLOOKUP($A12,06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G12" s="52">
        <f>(IF($C12="Mensual",IF(AND(G$3&gt;=VLOOKUP($A12,06_OPEX!$A:$L,8,FALSE),G$3&lt;=VLOOKUP($A12,06_OPEX!$A:$L,9,FALSE)),-VLOOKUP($A12,06_OPEX!$A:$L,6,FALSE),0),IF($C12="Unico",IF(G$3=VLOOKUP($A12,06_OPEX!$A:$L,10,FALSE),-VLOOKUP($A12,06_OPEX!$A:$L,6,FALSE),0),IF($C12="Custom",-IFERROR(VLOOKUP($A12,06C_OPEX_CUSTOM!$A:$O,2+MATCH(G$3,06C_OPEX_CUSTOM!$C$3:$N$3,0),FALSE),0),0))))*IFERROR(IF(VLOOKUP($A12,06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H12" s="52">
        <f>(IF($C12="Mensual",IF(AND(H$3&gt;=VLOOKUP($A12,06_OPEX!$A:$L,8,FALSE),H$3&lt;=VLOOKUP($A12,06_OPEX!$A:$L,9,FALSE)),-VLOOKUP($A12,06_OPEX!$A:$L,6,FALSE),0),IF($C12="Unico",IF(H$3=VLOOKUP($A12,06_OPEX!$A:$L,10,FALSE),-VLOOKUP($A12,06_OPEX!$A:$L,6,FALSE),0),IF($C12="Custom",-IFERROR(VLOOKUP($A12,06C_OPEX_CUSTOM!$A:$O,2+MATCH(H$3,06C_OPEX_CUSTOM!$C$3:$N$3,0),FALSE),0),0))))*IFERROR(IF(VLOOKUP($A12,06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I12" s="52">
        <f>(IF($C12="Mensual",IF(AND(I$3&gt;=VLOOKUP($A12,06_OPEX!$A:$L,8,FALSE),I$3&lt;=VLOOKUP($A12,06_OPEX!$A:$L,9,FALSE)),-VLOOKUP($A12,06_OPEX!$A:$L,6,FALSE),0),IF($C12="Unico",IF(I$3=VLOOKUP($A12,06_OPEX!$A:$L,10,FALSE),-VLOOKUP($A12,06_OPEX!$A:$L,6,FALSE),0),IF($C12="Custom",-IFERROR(VLOOKUP($A12,06C_OPEX_CUSTOM!$A:$O,2+MATCH(I$3,06C_OPEX_CUSTOM!$C$3:$N$3,0),FALSE),0),0))))*IFERROR(IF(VLOOKUP($A12,06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J12" s="52">
        <f>(IF($C12="Mensual",IF(AND(J$3&gt;=VLOOKUP($A12,06_OPEX!$A:$L,8,FALSE),J$3&lt;=VLOOKUP($A12,06_OPEX!$A:$L,9,FALSE)),-VLOOKUP($A12,06_OPEX!$A:$L,6,FALSE),0),IF($C12="Unico",IF(J$3=VLOOKUP($A12,06_OPEX!$A:$L,10,FALSE),-VLOOKUP($A12,06_OPEX!$A:$L,6,FALSE),0),IF($C12="Custom",-IFERROR(VLOOKUP($A12,06C_OPEX_CUSTOM!$A:$O,2+MATCH(J$3,06C_OPEX_CUSTOM!$C$3:$N$3,0),FALSE),0),0))))*IFERROR(IF(VLOOKUP($A12,06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K12" s="52">
        <f>(IF($C12="Mensual",IF(AND(K$3&gt;=VLOOKUP($A12,06_OPEX!$A:$L,8,FALSE),K$3&lt;=VLOOKUP($A12,06_OPEX!$A:$L,9,FALSE)),-VLOOKUP($A12,06_OPEX!$A:$L,6,FALSE),0),IF($C12="Unico",IF(K$3=VLOOKUP($A12,06_OPEX!$A:$L,10,FALSE),-VLOOKUP($A12,06_OPEX!$A:$L,6,FALSE),0),IF($C12="Custom",-IFERROR(VLOOKUP($A12,06C_OPEX_CUSTOM!$A:$O,2+MATCH(K$3,06C_OPEX_CUSTOM!$C$3:$N$3,0),FALSE),0),0))))*IFERROR(IF(VLOOKUP($A12,06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L12" s="52">
        <f>(IF($C12="Mensual",IF(AND(L$3&gt;=VLOOKUP($A12,06_OPEX!$A:$L,8,FALSE),L$3&lt;=VLOOKUP($A12,06_OPEX!$A:$L,9,FALSE)),-VLOOKUP($A12,06_OPEX!$A:$L,6,FALSE),0),IF($C12="Unico",IF(L$3=VLOOKUP($A12,06_OPEX!$A:$L,10,FALSE),-VLOOKUP($A12,06_OPEX!$A:$L,6,FALSE),0),IF($C12="Custom",-IFERROR(VLOOKUP($A12,06C_OPEX_CUSTOM!$A:$O,2+MATCH(L$3,06C_OPEX_CUSTOM!$C$3:$N$3,0),FALSE),0),0))))*IFERROR(IF(VLOOKUP($A12,06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M12" s="52">
        <f>(IF($C12="Mensual",IF(AND(M$3&gt;=VLOOKUP($A12,06_OPEX!$A:$L,8,FALSE),M$3&lt;=VLOOKUP($A12,06_OPEX!$A:$L,9,FALSE)),-VLOOKUP($A12,06_OPEX!$A:$L,6,FALSE),0),IF($C12="Unico",IF(M$3=VLOOKUP($A12,06_OPEX!$A:$L,10,FALSE),-VLOOKUP($A12,06_OPEX!$A:$L,6,FALSE),0),IF($C12="Custom",-IFERROR(VLOOKUP($A12,06C_OPEX_CUSTOM!$A:$O,2+MATCH(M$3,06C_OPEX_CUSTOM!$C$3:$N$3,0),FALSE),0),0))))*IFERROR(IF(VLOOKUP($A12,06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N12" s="52">
        <f>(IF($C12="Mensual",IF(AND(N$3&gt;=VLOOKUP($A12,06_OPEX!$A:$L,8,FALSE),N$3&lt;=VLOOKUP($A12,06_OPEX!$A:$L,9,FALSE)),-VLOOKUP($A12,06_OPEX!$A:$L,6,FALSE),0),IF($C12="Unico",IF(N$3=VLOOKUP($A12,06_OPEX!$A:$L,10,FALSE),-VLOOKUP($A12,06_OPEX!$A:$L,6,FALSE),0),IF($C12="Custom",-IFERROR(VLOOKUP($A12,06C_OPEX_CUSTOM!$A:$O,2+MATCH(N$3,06C_OPEX_CUSTOM!$C$3:$N$3,0),FALSE),0),0))))*IFERROR(IF(VLOOKUP($A12,06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O12" s="52">
        <f>(IF($C12="Mensual",IF(AND(O$3&gt;=VLOOKUP($A12,06_OPEX!$A:$L,8,FALSE),O$3&lt;=VLOOKUP($A12,06_OPEX!$A:$L,9,FALSE)),-VLOOKUP($A12,06_OPEX!$A:$L,6,FALSE),0),IF($C12="Unico",IF(O$3=VLOOKUP($A12,06_OPEX!$A:$L,10,FALSE),-VLOOKUP($A12,06_OPEX!$A:$L,6,FALSE),0),IF($C12="Custom",-IFERROR(VLOOKUP($A12,06C_OPEX_CUSTOM!$A:$O,2+MATCH(O$3,06C_OPEX_CUSTOM!$C$3:$N$3,0),FALSE),0),0))))*IFERROR(IF(VLOOKUP($A12,06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P12" s="52">
        <f>(IF($C12="Mensual",IF(AND(P$3&gt;=VLOOKUP($A12,06_OPEX!$A:$L,8,FALSE),P$3&lt;=VLOOKUP($A12,06_OPEX!$A:$L,9,FALSE)),-VLOOKUP($A12,06_OPEX!$A:$L,6,FALSE),0),IF($C12="Unico",IF(P$3=VLOOKUP($A12,06_OPEX!$A:$L,10,FALSE),-VLOOKUP($A12,06_OPEX!$A:$L,6,FALSE),0),IF($C12="Custom",-IFERROR(VLOOKUP($A12,06C_OPEX_CUSTOM!$A:$O,2+MATCH(P$3,06C_OPEX_CUSTOM!$C$3:$N$3,0),FALSE),0),0))))*IFERROR(IF(VLOOKUP($A12,06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Q12" s="56">
        <f>SUM(E12:P12)</f>
        <v/>
      </c>
    </row>
    <row r="13">
      <c r="A13" s="36" t="inlineStr">
        <is>
          <t>OPEX-010</t>
        </is>
      </c>
      <c r="B13" s="36">
        <f>IFERROR(VLOOKUP($A13,06_OPEX!$A:$L,2,FALSE),"")</f>
        <v/>
      </c>
      <c r="C13" s="37">
        <f>IFERROR(VLOOKUP($A13,06_OPEX!$A:$L,4,FALSE),"")</f>
        <v/>
      </c>
      <c r="D13" s="37">
        <f>IFERROR(VLOOKUP($A13,06_OPEX!$A:$L,7,FALSE),"")</f>
        <v/>
      </c>
      <c r="E13" s="52">
        <f>(IF($C13="Mensual",IF(AND(E$3&gt;=VLOOKUP($A13,06_OPEX!$A:$L,8,FALSE),E$3&lt;=VLOOKUP($A13,06_OPEX!$A:$L,9,FALSE)),-VLOOKUP($A13,06_OPEX!$A:$L,6,FALSE),0),IF($C13="Unico",IF(E$3=VLOOKUP($A13,06_OPEX!$A:$L,10,FALSE),-VLOOKUP($A13,06_OPEX!$A:$L,6,FALSE),0),IF($C13="Custom",-IFERROR(VLOOKUP($A13,06C_OPEX_CUSTOM!$A:$O,2+MATCH(E$3,06C_OPEX_CUSTOM!$C$3:$N$3,0),FALSE),0),0))))*IFERROR(IF(VLOOKUP($A13,06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F13" s="52">
        <f>(IF($C13="Mensual",IF(AND(F$3&gt;=VLOOKUP($A13,06_OPEX!$A:$L,8,FALSE),F$3&lt;=VLOOKUP($A13,06_OPEX!$A:$L,9,FALSE)),-VLOOKUP($A13,06_OPEX!$A:$L,6,FALSE),0),IF($C13="Unico",IF(F$3=VLOOKUP($A13,06_OPEX!$A:$L,10,FALSE),-VLOOKUP($A13,06_OPEX!$A:$L,6,FALSE),0),IF($C13="Custom",-IFERROR(VLOOKUP($A13,06C_OPEX_CUSTOM!$A:$O,2+MATCH(F$3,06C_OPEX_CUSTOM!$C$3:$N$3,0),FALSE),0),0))))*IFERROR(IF(VLOOKUP($A13,06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G13" s="52">
        <f>(IF($C13="Mensual",IF(AND(G$3&gt;=VLOOKUP($A13,06_OPEX!$A:$L,8,FALSE),G$3&lt;=VLOOKUP($A13,06_OPEX!$A:$L,9,FALSE)),-VLOOKUP($A13,06_OPEX!$A:$L,6,FALSE),0),IF($C13="Unico",IF(G$3=VLOOKUP($A13,06_OPEX!$A:$L,10,FALSE),-VLOOKUP($A13,06_OPEX!$A:$L,6,FALSE),0),IF($C13="Custom",-IFERROR(VLOOKUP($A13,06C_OPEX_CUSTOM!$A:$O,2+MATCH(G$3,06C_OPEX_CUSTOM!$C$3:$N$3,0),FALSE),0),0))))*IFERROR(IF(VLOOKUP($A13,06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H13" s="52">
        <f>(IF($C13="Mensual",IF(AND(H$3&gt;=VLOOKUP($A13,06_OPEX!$A:$L,8,FALSE),H$3&lt;=VLOOKUP($A13,06_OPEX!$A:$L,9,FALSE)),-VLOOKUP($A13,06_OPEX!$A:$L,6,FALSE),0),IF($C13="Unico",IF(H$3=VLOOKUP($A13,06_OPEX!$A:$L,10,FALSE),-VLOOKUP($A13,06_OPEX!$A:$L,6,FALSE),0),IF($C13="Custom",-IFERROR(VLOOKUP($A13,06C_OPEX_CUSTOM!$A:$O,2+MATCH(H$3,06C_OPEX_CUSTOM!$C$3:$N$3,0),FALSE),0),0))))*IFERROR(IF(VLOOKUP($A13,06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I13" s="52">
        <f>(IF($C13="Mensual",IF(AND(I$3&gt;=VLOOKUP($A13,06_OPEX!$A:$L,8,FALSE),I$3&lt;=VLOOKUP($A13,06_OPEX!$A:$L,9,FALSE)),-VLOOKUP($A13,06_OPEX!$A:$L,6,FALSE),0),IF($C13="Unico",IF(I$3=VLOOKUP($A13,06_OPEX!$A:$L,10,FALSE),-VLOOKUP($A13,06_OPEX!$A:$L,6,FALSE),0),IF($C13="Custom",-IFERROR(VLOOKUP($A13,06C_OPEX_CUSTOM!$A:$O,2+MATCH(I$3,06C_OPEX_CUSTOM!$C$3:$N$3,0),FALSE),0),0))))*IFERROR(IF(VLOOKUP($A13,06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J13" s="52">
        <f>(IF($C13="Mensual",IF(AND(J$3&gt;=VLOOKUP($A13,06_OPEX!$A:$L,8,FALSE),J$3&lt;=VLOOKUP($A13,06_OPEX!$A:$L,9,FALSE)),-VLOOKUP($A13,06_OPEX!$A:$L,6,FALSE),0),IF($C13="Unico",IF(J$3=VLOOKUP($A13,06_OPEX!$A:$L,10,FALSE),-VLOOKUP($A13,06_OPEX!$A:$L,6,FALSE),0),IF($C13="Custom",-IFERROR(VLOOKUP($A13,06C_OPEX_CUSTOM!$A:$O,2+MATCH(J$3,06C_OPEX_CUSTOM!$C$3:$N$3,0),FALSE),0),0))))*IFERROR(IF(VLOOKUP($A13,06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K13" s="52">
        <f>(IF($C13="Mensual",IF(AND(K$3&gt;=VLOOKUP($A13,06_OPEX!$A:$L,8,FALSE),K$3&lt;=VLOOKUP($A13,06_OPEX!$A:$L,9,FALSE)),-VLOOKUP($A13,06_OPEX!$A:$L,6,FALSE),0),IF($C13="Unico",IF(K$3=VLOOKUP($A13,06_OPEX!$A:$L,10,FALSE),-VLOOKUP($A13,06_OPEX!$A:$L,6,FALSE),0),IF($C13="Custom",-IFERROR(VLOOKUP($A13,06C_OPEX_CUSTOM!$A:$O,2+MATCH(K$3,06C_OPEX_CUSTOM!$C$3:$N$3,0),FALSE),0),0))))*IFERROR(IF(VLOOKUP($A13,06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L13" s="52">
        <f>(IF($C13="Mensual",IF(AND(L$3&gt;=VLOOKUP($A13,06_OPEX!$A:$L,8,FALSE),L$3&lt;=VLOOKUP($A13,06_OPEX!$A:$L,9,FALSE)),-VLOOKUP($A13,06_OPEX!$A:$L,6,FALSE),0),IF($C13="Unico",IF(L$3=VLOOKUP($A13,06_OPEX!$A:$L,10,FALSE),-VLOOKUP($A13,06_OPEX!$A:$L,6,FALSE),0),IF($C13="Custom",-IFERROR(VLOOKUP($A13,06C_OPEX_CUSTOM!$A:$O,2+MATCH(L$3,06C_OPEX_CUSTOM!$C$3:$N$3,0),FALSE),0),0))))*IFERROR(IF(VLOOKUP($A13,06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M13" s="52">
        <f>(IF($C13="Mensual",IF(AND(M$3&gt;=VLOOKUP($A13,06_OPEX!$A:$L,8,FALSE),M$3&lt;=VLOOKUP($A13,06_OPEX!$A:$L,9,FALSE)),-VLOOKUP($A13,06_OPEX!$A:$L,6,FALSE),0),IF($C13="Unico",IF(M$3=VLOOKUP($A13,06_OPEX!$A:$L,10,FALSE),-VLOOKUP($A13,06_OPEX!$A:$L,6,FALSE),0),IF($C13="Custom",-IFERROR(VLOOKUP($A13,06C_OPEX_CUSTOM!$A:$O,2+MATCH(M$3,06C_OPEX_CUSTOM!$C$3:$N$3,0),FALSE),0),0))))*IFERROR(IF(VLOOKUP($A13,06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N13" s="52">
        <f>(IF($C13="Mensual",IF(AND(N$3&gt;=VLOOKUP($A13,06_OPEX!$A:$L,8,FALSE),N$3&lt;=VLOOKUP($A13,06_OPEX!$A:$L,9,FALSE)),-VLOOKUP($A13,06_OPEX!$A:$L,6,FALSE),0),IF($C13="Unico",IF(N$3=VLOOKUP($A13,06_OPEX!$A:$L,10,FALSE),-VLOOKUP($A13,06_OPEX!$A:$L,6,FALSE),0),IF($C13="Custom",-IFERROR(VLOOKUP($A13,06C_OPEX_CUSTOM!$A:$O,2+MATCH(N$3,06C_OPEX_CUSTOM!$C$3:$N$3,0),FALSE),0),0))))*IFERROR(IF(VLOOKUP($A13,06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O13" s="52">
        <f>(IF($C13="Mensual",IF(AND(O$3&gt;=VLOOKUP($A13,06_OPEX!$A:$L,8,FALSE),O$3&lt;=VLOOKUP($A13,06_OPEX!$A:$L,9,FALSE)),-VLOOKUP($A13,06_OPEX!$A:$L,6,FALSE),0),IF($C13="Unico",IF(O$3=VLOOKUP($A13,06_OPEX!$A:$L,10,FALSE),-VLOOKUP($A13,06_OPEX!$A:$L,6,FALSE),0),IF($C13="Custom",-IFERROR(VLOOKUP($A13,06C_OPEX_CUSTOM!$A:$O,2+MATCH(O$3,06C_OPEX_CUSTOM!$C$3:$N$3,0),FALSE),0),0))))*IFERROR(IF(VLOOKUP($A13,06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P13" s="52">
        <f>(IF($C13="Mensual",IF(AND(P$3&gt;=VLOOKUP($A13,06_OPEX!$A:$L,8,FALSE),P$3&lt;=VLOOKUP($A13,06_OPEX!$A:$L,9,FALSE)),-VLOOKUP($A13,06_OPEX!$A:$L,6,FALSE),0),IF($C13="Unico",IF(P$3=VLOOKUP($A13,06_OPEX!$A:$L,10,FALSE),-VLOOKUP($A13,06_OPEX!$A:$L,6,FALSE),0),IF($C13="Custom",-IFERROR(VLOOKUP($A13,06C_OPEX_CUSTOM!$A:$O,2+MATCH(P$3,06C_OPEX_CUSTOM!$C$3:$N$3,0),FALSE),0),0))))*IFERROR(IF(VLOOKUP($A13,06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Q13" s="56">
        <f>SUM(E13:P13)</f>
        <v/>
      </c>
    </row>
    <row r="14">
      <c r="A14" s="36" t="inlineStr">
        <is>
          <t>OPEX-011</t>
        </is>
      </c>
      <c r="B14" s="36">
        <f>IFERROR(VLOOKUP($A14,06_OPEX!$A:$L,2,FALSE),"")</f>
        <v/>
      </c>
      <c r="C14" s="37">
        <f>IFERROR(VLOOKUP($A14,06_OPEX!$A:$L,4,FALSE),"")</f>
        <v/>
      </c>
      <c r="D14" s="37">
        <f>IFERROR(VLOOKUP($A14,06_OPEX!$A:$L,7,FALSE),"")</f>
        <v/>
      </c>
      <c r="E14" s="52">
        <f>(IF($C14="Mensual",IF(AND(E$3&gt;=VLOOKUP($A14,06_OPEX!$A:$L,8,FALSE),E$3&lt;=VLOOKUP($A14,06_OPEX!$A:$L,9,FALSE)),-VLOOKUP($A14,06_OPEX!$A:$L,6,FALSE),0),IF($C14="Unico",IF(E$3=VLOOKUP($A14,06_OPEX!$A:$L,10,FALSE),-VLOOKUP($A14,06_OPEX!$A:$L,6,FALSE),0),IF($C14="Custom",-IFERROR(VLOOKUP($A14,06C_OPEX_CUSTOM!$A:$O,2+MATCH(E$3,06C_OPEX_CUSTOM!$C$3:$N$3,0),FALSE),0),0))))*IFERROR(IF(VLOOKUP($A14,06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F14" s="52">
        <f>(IF($C14="Mensual",IF(AND(F$3&gt;=VLOOKUP($A14,06_OPEX!$A:$L,8,FALSE),F$3&lt;=VLOOKUP($A14,06_OPEX!$A:$L,9,FALSE)),-VLOOKUP($A14,06_OPEX!$A:$L,6,FALSE),0),IF($C14="Unico",IF(F$3=VLOOKUP($A14,06_OPEX!$A:$L,10,FALSE),-VLOOKUP($A14,06_OPEX!$A:$L,6,FALSE),0),IF($C14="Custom",-IFERROR(VLOOKUP($A14,06C_OPEX_CUSTOM!$A:$O,2+MATCH(F$3,06C_OPEX_CUSTOM!$C$3:$N$3,0),FALSE),0),0))))*IFERROR(IF(VLOOKUP($A14,06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G14" s="52">
        <f>(IF($C14="Mensual",IF(AND(G$3&gt;=VLOOKUP($A14,06_OPEX!$A:$L,8,FALSE),G$3&lt;=VLOOKUP($A14,06_OPEX!$A:$L,9,FALSE)),-VLOOKUP($A14,06_OPEX!$A:$L,6,FALSE),0),IF($C14="Unico",IF(G$3=VLOOKUP($A14,06_OPEX!$A:$L,10,FALSE),-VLOOKUP($A14,06_OPEX!$A:$L,6,FALSE),0),IF($C14="Custom",-IFERROR(VLOOKUP($A14,06C_OPEX_CUSTOM!$A:$O,2+MATCH(G$3,06C_OPEX_CUSTOM!$C$3:$N$3,0),FALSE),0),0))))*IFERROR(IF(VLOOKUP($A14,06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H14" s="52">
        <f>(IF($C14="Mensual",IF(AND(H$3&gt;=VLOOKUP($A14,06_OPEX!$A:$L,8,FALSE),H$3&lt;=VLOOKUP($A14,06_OPEX!$A:$L,9,FALSE)),-VLOOKUP($A14,06_OPEX!$A:$L,6,FALSE),0),IF($C14="Unico",IF(H$3=VLOOKUP($A14,06_OPEX!$A:$L,10,FALSE),-VLOOKUP($A14,06_OPEX!$A:$L,6,FALSE),0),IF($C14="Custom",-IFERROR(VLOOKUP($A14,06C_OPEX_CUSTOM!$A:$O,2+MATCH(H$3,06C_OPEX_CUSTOM!$C$3:$N$3,0),FALSE),0),0))))*IFERROR(IF(VLOOKUP($A14,06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I14" s="52">
        <f>(IF($C14="Mensual",IF(AND(I$3&gt;=VLOOKUP($A14,06_OPEX!$A:$L,8,FALSE),I$3&lt;=VLOOKUP($A14,06_OPEX!$A:$L,9,FALSE)),-VLOOKUP($A14,06_OPEX!$A:$L,6,FALSE),0),IF($C14="Unico",IF(I$3=VLOOKUP($A14,06_OPEX!$A:$L,10,FALSE),-VLOOKUP($A14,06_OPEX!$A:$L,6,FALSE),0),IF($C14="Custom",-IFERROR(VLOOKUP($A14,06C_OPEX_CUSTOM!$A:$O,2+MATCH(I$3,06C_OPEX_CUSTOM!$C$3:$N$3,0),FALSE),0),0))))*IFERROR(IF(VLOOKUP($A14,06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J14" s="52">
        <f>(IF($C14="Mensual",IF(AND(J$3&gt;=VLOOKUP($A14,06_OPEX!$A:$L,8,FALSE),J$3&lt;=VLOOKUP($A14,06_OPEX!$A:$L,9,FALSE)),-VLOOKUP($A14,06_OPEX!$A:$L,6,FALSE),0),IF($C14="Unico",IF(J$3=VLOOKUP($A14,06_OPEX!$A:$L,10,FALSE),-VLOOKUP($A14,06_OPEX!$A:$L,6,FALSE),0),IF($C14="Custom",-IFERROR(VLOOKUP($A14,06C_OPEX_CUSTOM!$A:$O,2+MATCH(J$3,06C_OPEX_CUSTOM!$C$3:$N$3,0),FALSE),0),0))))*IFERROR(IF(VLOOKUP($A14,06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K14" s="52">
        <f>(IF($C14="Mensual",IF(AND(K$3&gt;=VLOOKUP($A14,06_OPEX!$A:$L,8,FALSE),K$3&lt;=VLOOKUP($A14,06_OPEX!$A:$L,9,FALSE)),-VLOOKUP($A14,06_OPEX!$A:$L,6,FALSE),0),IF($C14="Unico",IF(K$3=VLOOKUP($A14,06_OPEX!$A:$L,10,FALSE),-VLOOKUP($A14,06_OPEX!$A:$L,6,FALSE),0),IF($C14="Custom",-IFERROR(VLOOKUP($A14,06C_OPEX_CUSTOM!$A:$O,2+MATCH(K$3,06C_OPEX_CUSTOM!$C$3:$N$3,0),FALSE),0),0))))*IFERROR(IF(VLOOKUP($A14,06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L14" s="52">
        <f>(IF($C14="Mensual",IF(AND(L$3&gt;=VLOOKUP($A14,06_OPEX!$A:$L,8,FALSE),L$3&lt;=VLOOKUP($A14,06_OPEX!$A:$L,9,FALSE)),-VLOOKUP($A14,06_OPEX!$A:$L,6,FALSE),0),IF($C14="Unico",IF(L$3=VLOOKUP($A14,06_OPEX!$A:$L,10,FALSE),-VLOOKUP($A14,06_OPEX!$A:$L,6,FALSE),0),IF($C14="Custom",-IFERROR(VLOOKUP($A14,06C_OPEX_CUSTOM!$A:$O,2+MATCH(L$3,06C_OPEX_CUSTOM!$C$3:$N$3,0),FALSE),0),0))))*IFERROR(IF(VLOOKUP($A14,06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M14" s="52">
        <f>(IF($C14="Mensual",IF(AND(M$3&gt;=VLOOKUP($A14,06_OPEX!$A:$L,8,FALSE),M$3&lt;=VLOOKUP($A14,06_OPEX!$A:$L,9,FALSE)),-VLOOKUP($A14,06_OPEX!$A:$L,6,FALSE),0),IF($C14="Unico",IF(M$3=VLOOKUP($A14,06_OPEX!$A:$L,10,FALSE),-VLOOKUP($A14,06_OPEX!$A:$L,6,FALSE),0),IF($C14="Custom",-IFERROR(VLOOKUP($A14,06C_OPEX_CUSTOM!$A:$O,2+MATCH(M$3,06C_OPEX_CUSTOM!$C$3:$N$3,0),FALSE),0),0))))*IFERROR(IF(VLOOKUP($A14,06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N14" s="52">
        <f>(IF($C14="Mensual",IF(AND(N$3&gt;=VLOOKUP($A14,06_OPEX!$A:$L,8,FALSE),N$3&lt;=VLOOKUP($A14,06_OPEX!$A:$L,9,FALSE)),-VLOOKUP($A14,06_OPEX!$A:$L,6,FALSE),0),IF($C14="Unico",IF(N$3=VLOOKUP($A14,06_OPEX!$A:$L,10,FALSE),-VLOOKUP($A14,06_OPEX!$A:$L,6,FALSE),0),IF($C14="Custom",-IFERROR(VLOOKUP($A14,06C_OPEX_CUSTOM!$A:$O,2+MATCH(N$3,06C_OPEX_CUSTOM!$C$3:$N$3,0),FALSE),0),0))))*IFERROR(IF(VLOOKUP($A14,06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O14" s="52">
        <f>(IF($C14="Mensual",IF(AND(O$3&gt;=VLOOKUP($A14,06_OPEX!$A:$L,8,FALSE),O$3&lt;=VLOOKUP($A14,06_OPEX!$A:$L,9,FALSE)),-VLOOKUP($A14,06_OPEX!$A:$L,6,FALSE),0),IF($C14="Unico",IF(O$3=VLOOKUP($A14,06_OPEX!$A:$L,10,FALSE),-VLOOKUP($A14,06_OPEX!$A:$L,6,FALSE),0),IF($C14="Custom",-IFERROR(VLOOKUP($A14,06C_OPEX_CUSTOM!$A:$O,2+MATCH(O$3,06C_OPEX_CUSTOM!$C$3:$N$3,0),FALSE),0),0))))*IFERROR(IF(VLOOKUP($A14,06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P14" s="52">
        <f>(IF($C14="Mensual",IF(AND(P$3&gt;=VLOOKUP($A14,06_OPEX!$A:$L,8,FALSE),P$3&lt;=VLOOKUP($A14,06_OPEX!$A:$L,9,FALSE)),-VLOOKUP($A14,06_OPEX!$A:$L,6,FALSE),0),IF($C14="Unico",IF(P$3=VLOOKUP($A14,06_OPEX!$A:$L,10,FALSE),-VLOOKUP($A14,06_OPEX!$A:$L,6,FALSE),0),IF($C14="Custom",-IFERROR(VLOOKUP($A14,06C_OPEX_CUSTOM!$A:$O,2+MATCH(P$3,06C_OPEX_CUSTOM!$C$3:$N$3,0),FALSE),0),0))))*IFERROR(IF(VLOOKUP($A14,06_OPEX!$A:$L,5,FALSE)="Variable",(INDEX(02B_ESCENARIOS!$B$4:$D$11, MATCH("(INDEX(02B_ESCENARIOS!$B$4:$D$11, MATCH("MULT_OPEX_VARIABLE", 02B_ESCENARIOS!$A$4:$A$11, 0), MATCH("Base", 02B_ESCENARIOS!$B$3:$D$3, 0)))", 02B_ESCENARIOS!$A$4:$A$11, 0), MATCH("Base", 02B_ESCENARIOS!$B$3:$D$3, 0))),(INDEX(02B_ESCENARIOS!$B$4:$D$11, MATCH("(INDEX(02B_ESCENARIOS!$B$4:$D$11, MATCH("MULT_OPEX_FIJO", 02B_ESCENARIOS!$A$4:$A$11, 0), MATCH("Base", 02B_ESCENARIOS!$B$3:$D$3, 0)))", 02B_ESCENARIOS!$A$4:$A$11, 0), MATCH("Base", 02B_ESCENARIOS!$B$3:$D$3, 0)))),1)</f>
        <v/>
      </c>
      <c r="Q14" s="56">
        <f>SUM(E14:P14)</f>
        <v/>
      </c>
    </row>
    <row r="16">
      <c r="A16" s="34" t="inlineStr">
        <is>
          <t>TOTAL_OPEX</t>
        </is>
      </c>
      <c r="E16" s="57">
        <f>SUM(E4:E15)</f>
        <v/>
      </c>
      <c r="F16" s="57">
        <f>SUM(F4:F15)</f>
        <v/>
      </c>
      <c r="G16" s="57">
        <f>SUM(G4:G15)</f>
        <v/>
      </c>
      <c r="H16" s="57">
        <f>SUM(H4:H15)</f>
        <v/>
      </c>
      <c r="I16" s="57">
        <f>SUM(I4:I15)</f>
        <v/>
      </c>
      <c r="J16" s="57">
        <f>SUM(J4:J15)</f>
        <v/>
      </c>
      <c r="K16" s="57">
        <f>SUM(K4:K15)</f>
        <v/>
      </c>
      <c r="L16" s="57">
        <f>SUM(L4:L15)</f>
        <v/>
      </c>
      <c r="M16" s="57">
        <f>SUM(M4:M15)</f>
        <v/>
      </c>
      <c r="N16" s="57">
        <f>SUM(N4:N15)</f>
        <v/>
      </c>
      <c r="O16" s="57">
        <f>SUM(O4:O15)</f>
        <v/>
      </c>
      <c r="P16" s="57">
        <f>SUM(P4:P15)</f>
        <v/>
      </c>
      <c r="Q16" s="57">
        <f>SUM(Q4:Q15)</f>
        <v/>
      </c>
    </row>
  </sheetData>
  <mergeCells count="2">
    <mergeCell ref="A1:Q1"/>
    <mergeCell ref="A16:D16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</cols>
  <sheetData>
    <row r="1">
      <c r="A1" s="7" t="inlineStr">
        <is>
          <t>FACTURACIÓN (Devengo) — Neto vs IVA vs Bruto (Calculado)</t>
        </is>
      </c>
    </row>
    <row r="3">
      <c r="A3" s="8" t="inlineStr">
        <is>
          <t>Concepto</t>
        </is>
      </c>
      <c r="B3" s="31" t="n">
        <v>46053</v>
      </c>
      <c r="C3" s="31" t="n">
        <v>46081</v>
      </c>
      <c r="D3" s="31" t="n">
        <v>46112</v>
      </c>
      <c r="E3" s="31" t="n">
        <v>46142</v>
      </c>
      <c r="F3" s="31" t="n">
        <v>46173</v>
      </c>
      <c r="G3" s="31" t="n">
        <v>46203</v>
      </c>
      <c r="H3" s="31" t="n">
        <v>46234</v>
      </c>
      <c r="I3" s="31" t="n">
        <v>46265</v>
      </c>
      <c r="J3" s="31" t="n">
        <v>46295</v>
      </c>
      <c r="K3" s="31" t="n">
        <v>46326</v>
      </c>
      <c r="L3" s="31" t="n">
        <v>46356</v>
      </c>
      <c r="M3" s="31" t="n">
        <v>46387</v>
      </c>
      <c r="N3" s="8" t="inlineStr">
        <is>
          <t>Total_Año</t>
        </is>
      </c>
    </row>
    <row r="4">
      <c r="A4" s="38" t="inlineStr">
        <is>
          <t>Ventas_netas_sin_IVA</t>
        </is>
      </c>
      <c r="B4" s="52">
        <f>SUMIFS(04B_HITOS_BASE!$E$4:$E$500,04B_HITOS_BASE!$C$4:$C$500,B$3)</f>
        <v/>
      </c>
      <c r="C4" s="52">
        <f>SUMIFS(04B_HITOS_BASE!$E$4:$E$500,04B_HITOS_BASE!$C$4:$C$500,C$3)</f>
        <v/>
      </c>
      <c r="D4" s="52">
        <f>SUMIFS(04B_HITOS_BASE!$E$4:$E$500,04B_HITOS_BASE!$C$4:$C$500,D$3)</f>
        <v/>
      </c>
      <c r="E4" s="52">
        <f>SUMIFS(04B_HITOS_BASE!$E$4:$E$500,04B_HITOS_BASE!$C$4:$C$500,E$3)</f>
        <v/>
      </c>
      <c r="F4" s="52">
        <f>SUMIFS(04B_HITOS_BASE!$E$4:$E$500,04B_HITOS_BASE!$C$4:$C$500,F$3)</f>
        <v/>
      </c>
      <c r="G4" s="52">
        <f>SUMIFS(04B_HITOS_BASE!$E$4:$E$500,04B_HITOS_BASE!$C$4:$C$500,G$3)</f>
        <v/>
      </c>
      <c r="H4" s="52">
        <f>SUMIFS(04B_HITOS_BASE!$E$4:$E$500,04B_HITOS_BASE!$C$4:$C$500,H$3)</f>
        <v/>
      </c>
      <c r="I4" s="52">
        <f>SUMIFS(04B_HITOS_BASE!$E$4:$E$500,04B_HITOS_BASE!$C$4:$C$500,I$3)</f>
        <v/>
      </c>
      <c r="J4" s="52">
        <f>SUMIFS(04B_HITOS_BASE!$E$4:$E$500,04B_HITOS_BASE!$C$4:$C$500,J$3)</f>
        <v/>
      </c>
      <c r="K4" s="52">
        <f>SUMIFS(04B_HITOS_BASE!$E$4:$E$500,04B_HITOS_BASE!$C$4:$C$500,K$3)</f>
        <v/>
      </c>
      <c r="L4" s="52">
        <f>SUMIFS(04B_HITOS_BASE!$E$4:$E$500,04B_HITOS_BASE!$C$4:$C$500,L$3)</f>
        <v/>
      </c>
      <c r="M4" s="52">
        <f>SUMIFS(04B_HITOS_BASE!$E$4:$E$500,04B_HITOS_BASE!$C$4:$C$500,M$3)</f>
        <v/>
      </c>
      <c r="N4" s="52">
        <f>SUM(B4:M4)</f>
        <v/>
      </c>
    </row>
    <row r="5">
      <c r="A5" s="36" t="inlineStr">
        <is>
          <t>IVA_debito</t>
        </is>
      </c>
      <c r="B5" s="52">
        <f>SUMIFS(04B_HITOS_BASE!$F$4:$F$500,04B_HITOS_BASE!$C$4:$C$500,B$3)</f>
        <v/>
      </c>
      <c r="C5" s="52">
        <f>SUMIFS(04B_HITOS_BASE!$F$4:$F$500,04B_HITOS_BASE!$C$4:$C$500,C$3)</f>
        <v/>
      </c>
      <c r="D5" s="52">
        <f>SUMIFS(04B_HITOS_BASE!$F$4:$F$500,04B_HITOS_BASE!$C$4:$C$500,D$3)</f>
        <v/>
      </c>
      <c r="E5" s="52">
        <f>SUMIFS(04B_HITOS_BASE!$F$4:$F$500,04B_HITOS_BASE!$C$4:$C$500,E$3)</f>
        <v/>
      </c>
      <c r="F5" s="52">
        <f>SUMIFS(04B_HITOS_BASE!$F$4:$F$500,04B_HITOS_BASE!$C$4:$C$500,F$3)</f>
        <v/>
      </c>
      <c r="G5" s="52">
        <f>SUMIFS(04B_HITOS_BASE!$F$4:$F$500,04B_HITOS_BASE!$C$4:$C$500,G$3)</f>
        <v/>
      </c>
      <c r="H5" s="52">
        <f>SUMIFS(04B_HITOS_BASE!$F$4:$F$500,04B_HITOS_BASE!$C$4:$C$500,H$3)</f>
        <v/>
      </c>
      <c r="I5" s="52">
        <f>SUMIFS(04B_HITOS_BASE!$F$4:$F$500,04B_HITOS_BASE!$C$4:$C$500,I$3)</f>
        <v/>
      </c>
      <c r="J5" s="52">
        <f>SUMIFS(04B_HITOS_BASE!$F$4:$F$500,04B_HITOS_BASE!$C$4:$C$500,J$3)</f>
        <v/>
      </c>
      <c r="K5" s="52">
        <f>SUMIFS(04B_HITOS_BASE!$F$4:$F$500,04B_HITOS_BASE!$C$4:$C$500,K$3)</f>
        <v/>
      </c>
      <c r="L5" s="52">
        <f>SUMIFS(04B_HITOS_BASE!$F$4:$F$500,04B_HITOS_BASE!$C$4:$C$500,L$3)</f>
        <v/>
      </c>
      <c r="M5" s="52">
        <f>SUMIFS(04B_HITOS_BASE!$F$4:$F$500,04B_HITOS_BASE!$C$4:$C$500,M$3)</f>
        <v/>
      </c>
      <c r="N5" s="52">
        <f>SUM(B5:M5)</f>
        <v/>
      </c>
    </row>
    <row r="6">
      <c r="A6" s="36" t="inlineStr">
        <is>
          <t>Ventas_brutas_con_IVA</t>
        </is>
      </c>
      <c r="B6" s="52">
        <f>SUMIFS(04B_HITOS_BASE!$G$4:$G$500,04B_HITOS_BASE!$C$4:$C$500,B$3)</f>
        <v/>
      </c>
      <c r="C6" s="52">
        <f>SUMIFS(04B_HITOS_BASE!$G$4:$G$500,04B_HITOS_BASE!$C$4:$C$500,C$3)</f>
        <v/>
      </c>
      <c r="D6" s="52">
        <f>SUMIFS(04B_HITOS_BASE!$G$4:$G$500,04B_HITOS_BASE!$C$4:$C$500,D$3)</f>
        <v/>
      </c>
      <c r="E6" s="52">
        <f>SUMIFS(04B_HITOS_BASE!$G$4:$G$500,04B_HITOS_BASE!$C$4:$C$500,E$3)</f>
        <v/>
      </c>
      <c r="F6" s="52">
        <f>SUMIFS(04B_HITOS_BASE!$G$4:$G$500,04B_HITOS_BASE!$C$4:$C$500,F$3)</f>
        <v/>
      </c>
      <c r="G6" s="52">
        <f>SUMIFS(04B_HITOS_BASE!$G$4:$G$500,04B_HITOS_BASE!$C$4:$C$500,G$3)</f>
        <v/>
      </c>
      <c r="H6" s="52">
        <f>SUMIFS(04B_HITOS_BASE!$G$4:$G$500,04B_HITOS_BASE!$C$4:$C$500,H$3)</f>
        <v/>
      </c>
      <c r="I6" s="52">
        <f>SUMIFS(04B_HITOS_BASE!$G$4:$G$500,04B_HITOS_BASE!$C$4:$C$500,I$3)</f>
        <v/>
      </c>
      <c r="J6" s="52">
        <f>SUMIFS(04B_HITOS_BASE!$G$4:$G$500,04B_HITOS_BASE!$C$4:$C$500,J$3)</f>
        <v/>
      </c>
      <c r="K6" s="52">
        <f>SUMIFS(04B_HITOS_BASE!$G$4:$G$500,04B_HITOS_BASE!$C$4:$C$500,K$3)</f>
        <v/>
      </c>
      <c r="L6" s="52">
        <f>SUMIFS(04B_HITOS_BASE!$G$4:$G$500,04B_HITOS_BASE!$C$4:$C$500,L$3)</f>
        <v/>
      </c>
      <c r="M6" s="52">
        <f>SUMIFS(04B_HITOS_BASE!$G$4:$G$500,04B_HITOS_BASE!$C$4:$C$500,M$3)</f>
        <v/>
      </c>
      <c r="N6" s="52">
        <f>SUM(B6:M6)</f>
        <v/>
      </c>
    </row>
  </sheetData>
  <mergeCells count="1">
    <mergeCell ref="A1:N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</cols>
  <sheetData>
    <row r="1">
      <c r="A1" s="7" t="inlineStr">
        <is>
          <t>COBRANZAS (Caja) — Cobros brutos por mes (Calculado)</t>
        </is>
      </c>
    </row>
    <row r="3">
      <c r="A3" s="8" t="inlineStr">
        <is>
          <t>Concepto</t>
        </is>
      </c>
      <c r="B3" s="31" t="n">
        <v>46053</v>
      </c>
      <c r="C3" s="31" t="n">
        <v>46081</v>
      </c>
      <c r="D3" s="31" t="n">
        <v>46112</v>
      </c>
      <c r="E3" s="31" t="n">
        <v>46142</v>
      </c>
      <c r="F3" s="31" t="n">
        <v>46173</v>
      </c>
      <c r="G3" s="31" t="n">
        <v>46203</v>
      </c>
      <c r="H3" s="31" t="n">
        <v>46234</v>
      </c>
      <c r="I3" s="31" t="n">
        <v>46265</v>
      </c>
      <c r="J3" s="31" t="n">
        <v>46295</v>
      </c>
      <c r="K3" s="31" t="n">
        <v>46326</v>
      </c>
      <c r="L3" s="31" t="n">
        <v>46356</v>
      </c>
      <c r="M3" s="31" t="n">
        <v>46387</v>
      </c>
      <c r="N3" s="8" t="inlineStr">
        <is>
          <t>Total_Año</t>
        </is>
      </c>
    </row>
    <row r="4">
      <c r="A4" s="38" t="inlineStr">
        <is>
          <t>Cobros_brutos_con_IVA</t>
        </is>
      </c>
      <c r="B4" s="52">
        <f>SUMIFS(04B_HITOS_BASE!$K$4:$K$500,04B_HITOS_BASE!$J$4:$J$500,B$3)</f>
        <v/>
      </c>
      <c r="C4" s="52">
        <f>SUMIFS(04B_HITOS_BASE!$K$4:$K$500,04B_HITOS_BASE!$J$4:$J$500,C$3)</f>
        <v/>
      </c>
      <c r="D4" s="52">
        <f>SUMIFS(04B_HITOS_BASE!$K$4:$K$500,04B_HITOS_BASE!$J$4:$J$500,D$3)</f>
        <v/>
      </c>
      <c r="E4" s="52">
        <f>SUMIFS(04B_HITOS_BASE!$K$4:$K$500,04B_HITOS_BASE!$J$4:$J$500,E$3)</f>
        <v/>
      </c>
      <c r="F4" s="52">
        <f>SUMIFS(04B_HITOS_BASE!$K$4:$K$500,04B_HITOS_BASE!$J$4:$J$500,F$3)</f>
        <v/>
      </c>
      <c r="G4" s="52">
        <f>SUMIFS(04B_HITOS_BASE!$K$4:$K$500,04B_HITOS_BASE!$J$4:$J$500,G$3)</f>
        <v/>
      </c>
      <c r="H4" s="52">
        <f>SUMIFS(04B_HITOS_BASE!$K$4:$K$500,04B_HITOS_BASE!$J$4:$J$500,H$3)</f>
        <v/>
      </c>
      <c r="I4" s="52">
        <f>SUMIFS(04B_HITOS_BASE!$K$4:$K$500,04B_HITOS_BASE!$J$4:$J$500,I$3)</f>
        <v/>
      </c>
      <c r="J4" s="52">
        <f>SUMIFS(04B_HITOS_BASE!$K$4:$K$500,04B_HITOS_BASE!$J$4:$J$500,J$3)</f>
        <v/>
      </c>
      <c r="K4" s="52">
        <f>SUMIFS(04B_HITOS_BASE!$K$4:$K$500,04B_HITOS_BASE!$J$4:$J$500,K$3)</f>
        <v/>
      </c>
      <c r="L4" s="52">
        <f>SUMIFS(04B_HITOS_BASE!$K$4:$K$500,04B_HITOS_BASE!$J$4:$J$500,L$3)</f>
        <v/>
      </c>
      <c r="M4" s="52">
        <f>SUMIFS(04B_HITOS_BASE!$K$4:$K$500,04B_HITOS_BASE!$J$4:$J$500,M$3)</f>
        <v/>
      </c>
      <c r="N4" s="52">
        <f>SUM(B4:M4)</f>
        <v/>
      </c>
    </row>
  </sheetData>
  <mergeCells count="1">
    <mergeCell ref="A1:N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</cols>
  <sheetData>
    <row r="1">
      <c r="A1" s="7" t="inlineStr">
        <is>
          <t>IVA LEDGER (F29) — Débito/Crédito/Remanente/Pago (Calculado)</t>
        </is>
      </c>
    </row>
    <row r="3">
      <c r="A3" s="8" t="inlineStr">
        <is>
          <t>Concepto</t>
        </is>
      </c>
      <c r="B3" s="31" t="n">
        <v>46053</v>
      </c>
      <c r="C3" s="31" t="n">
        <v>46081</v>
      </c>
      <c r="D3" s="31" t="n">
        <v>46112</v>
      </c>
      <c r="E3" s="31" t="n">
        <v>46142</v>
      </c>
      <c r="F3" s="31" t="n">
        <v>46173</v>
      </c>
      <c r="G3" s="31" t="n">
        <v>46203</v>
      </c>
      <c r="H3" s="31" t="n">
        <v>46234</v>
      </c>
      <c r="I3" s="31" t="n">
        <v>46265</v>
      </c>
      <c r="J3" s="31" t="n">
        <v>46295</v>
      </c>
      <c r="K3" s="31" t="n">
        <v>46326</v>
      </c>
      <c r="L3" s="31" t="n">
        <v>46356</v>
      </c>
      <c r="M3" s="31" t="n">
        <v>46387</v>
      </c>
      <c r="N3" s="8" t="inlineStr">
        <is>
          <t>Total_Año</t>
        </is>
      </c>
    </row>
    <row r="4">
      <c r="A4" s="38" t="inlineStr">
        <is>
          <t>IVA_debito (ventas)</t>
        </is>
      </c>
      <c r="B4" s="52">
        <f>10_FACTURACION_NETO_BASE!B5</f>
        <v/>
      </c>
      <c r="C4" s="52">
        <f>10_FACTURACION_NETO_BASE!C5</f>
        <v/>
      </c>
      <c r="D4" s="52">
        <f>10_FACTURACION_NETO_BASE!D5</f>
        <v/>
      </c>
      <c r="E4" s="52">
        <f>10_FACTURACION_NETO_BASE!E5</f>
        <v/>
      </c>
      <c r="F4" s="52">
        <f>10_FACTURACION_NETO_BASE!F5</f>
        <v/>
      </c>
      <c r="G4" s="52">
        <f>10_FACTURACION_NETO_BASE!G5</f>
        <v/>
      </c>
      <c r="H4" s="52">
        <f>10_FACTURACION_NETO_BASE!H5</f>
        <v/>
      </c>
      <c r="I4" s="52">
        <f>10_FACTURACION_NETO_BASE!I5</f>
        <v/>
      </c>
      <c r="J4" s="52">
        <f>10_FACTURACION_NETO_BASE!J5</f>
        <v/>
      </c>
      <c r="K4" s="52">
        <f>10_FACTURACION_NETO_BASE!K5</f>
        <v/>
      </c>
      <c r="L4" s="52">
        <f>10_FACTURACION_NETO_BASE!L5</f>
        <v/>
      </c>
      <c r="M4" s="52">
        <f>10_FACTURACION_NETO_BASE!M5</f>
        <v/>
      </c>
      <c r="N4" s="52">
        <f>SUM(B4:M4)</f>
        <v/>
      </c>
    </row>
    <row r="5">
      <c r="A5" s="36" t="inlineStr">
        <is>
          <t>IVA_credito (compras)</t>
        </is>
      </c>
      <c r="B5" s="52">
        <f>-TASA_IVA*(SUMIFS(06B_OPEX_MENSUAL_BASE!B$4:B$200,06B_OPEX_MENSUAL_BASE!$D$4:$D$200,"SI")+06E_COSTOS_DIRECTOS_MENSUAL!B7*(INDEX(02B_ESCENARIOS!$B$4:$D$11, MATCH("MULT_COSTO_DIRECTO", 02B_ESCENARIOS!$A$4:$A$11, 0), MATCH("Base", 02B_ESCENARIOS!$B$3:$D$3, 0))))</f>
        <v/>
      </c>
      <c r="C5" s="52">
        <f>-TASA_IVA*(SUMIFS(06B_OPEX_MENSUAL_BASE!C$4:C$200,06B_OPEX_MENSUAL_BASE!$D$4:$D$200,"SI")+06E_COSTOS_DIRECTOS_MENSUAL!C7*(INDEX(02B_ESCENARIOS!$B$4:$D$11, MATCH("MULT_COSTO_DIRECTO", 02B_ESCENARIOS!$A$4:$A$11, 0), MATCH("Base", 02B_ESCENARIOS!$B$3:$D$3, 0))))</f>
        <v/>
      </c>
      <c r="D5" s="52">
        <f>-TASA_IVA*(SUMIFS(06B_OPEX_MENSUAL_BASE!D$4:D$200,06B_OPEX_MENSUAL_BASE!$D$4:$D$200,"SI")+06E_COSTOS_DIRECTOS_MENSUAL!D7*(INDEX(02B_ESCENARIOS!$B$4:$D$11, MATCH("MULT_COSTO_DIRECTO", 02B_ESCENARIOS!$A$4:$A$11, 0), MATCH("Base", 02B_ESCENARIOS!$B$3:$D$3, 0))))</f>
        <v/>
      </c>
      <c r="E5" s="52">
        <f>-TASA_IVA*(SUMIFS(06B_OPEX_MENSUAL_BASE!E$4:E$200,06B_OPEX_MENSUAL_BASE!$D$4:$D$200,"SI")+06E_COSTOS_DIRECTOS_MENSUAL!E7*(INDEX(02B_ESCENARIOS!$B$4:$D$11, MATCH("MULT_COSTO_DIRECTO", 02B_ESCENARIOS!$A$4:$A$11, 0), MATCH("Base", 02B_ESCENARIOS!$B$3:$D$3, 0))))</f>
        <v/>
      </c>
      <c r="F5" s="52">
        <f>-TASA_IVA*(SUMIFS(06B_OPEX_MENSUAL_BASE!F$4:F$200,06B_OPEX_MENSUAL_BASE!$D$4:$D$200,"SI")+06E_COSTOS_DIRECTOS_MENSUAL!F7*(INDEX(02B_ESCENARIOS!$B$4:$D$11, MATCH("MULT_COSTO_DIRECTO", 02B_ESCENARIOS!$A$4:$A$11, 0), MATCH("Base", 02B_ESCENARIOS!$B$3:$D$3, 0))))</f>
        <v/>
      </c>
      <c r="G5" s="52">
        <f>-TASA_IVA*(SUMIFS(06B_OPEX_MENSUAL_BASE!G$4:G$200,06B_OPEX_MENSUAL_BASE!$D$4:$D$200,"SI")+06E_COSTOS_DIRECTOS_MENSUAL!G7*(INDEX(02B_ESCENARIOS!$B$4:$D$11, MATCH("MULT_COSTO_DIRECTO", 02B_ESCENARIOS!$A$4:$A$11, 0), MATCH("Base", 02B_ESCENARIOS!$B$3:$D$3, 0))))</f>
        <v/>
      </c>
      <c r="H5" s="52">
        <f>-TASA_IVA*(SUMIFS(06B_OPEX_MENSUAL_BASE!H$4:H$200,06B_OPEX_MENSUAL_BASE!$D$4:$D$200,"SI")+06E_COSTOS_DIRECTOS_MENSUAL!H7*(INDEX(02B_ESCENARIOS!$B$4:$D$11, MATCH("MULT_COSTO_DIRECTO", 02B_ESCENARIOS!$A$4:$A$11, 0), MATCH("Base", 02B_ESCENARIOS!$B$3:$D$3, 0))))</f>
        <v/>
      </c>
      <c r="I5" s="52">
        <f>-TASA_IVA*(SUMIFS(06B_OPEX_MENSUAL_BASE!I$4:I$200,06B_OPEX_MENSUAL_BASE!$D$4:$D$200,"SI")+06E_COSTOS_DIRECTOS_MENSUAL!I7*(INDEX(02B_ESCENARIOS!$B$4:$D$11, MATCH("MULT_COSTO_DIRECTO", 02B_ESCENARIOS!$A$4:$A$11, 0), MATCH("Base", 02B_ESCENARIOS!$B$3:$D$3, 0))))</f>
        <v/>
      </c>
      <c r="J5" s="52">
        <f>-TASA_IVA*(SUMIFS(06B_OPEX_MENSUAL_BASE!J$4:J$200,06B_OPEX_MENSUAL_BASE!$D$4:$D$200,"SI")+06E_COSTOS_DIRECTOS_MENSUAL!J7*(INDEX(02B_ESCENARIOS!$B$4:$D$11, MATCH("MULT_COSTO_DIRECTO", 02B_ESCENARIOS!$A$4:$A$11, 0), MATCH("Base", 02B_ESCENARIOS!$B$3:$D$3, 0))))</f>
        <v/>
      </c>
      <c r="K5" s="52">
        <f>-TASA_IVA*(SUMIFS(06B_OPEX_MENSUAL_BASE!K$4:K$200,06B_OPEX_MENSUAL_BASE!$D$4:$D$200,"SI")+06E_COSTOS_DIRECTOS_MENSUAL!K7*(INDEX(02B_ESCENARIOS!$B$4:$D$11, MATCH("MULT_COSTO_DIRECTO", 02B_ESCENARIOS!$A$4:$A$11, 0), MATCH("Base", 02B_ESCENARIOS!$B$3:$D$3, 0))))</f>
        <v/>
      </c>
      <c r="L5" s="52">
        <f>-TASA_IVA*(SUMIFS(06B_OPEX_MENSUAL_BASE!L$4:L$200,06B_OPEX_MENSUAL_BASE!$D$4:$D$200,"SI")+06E_COSTOS_DIRECTOS_MENSUAL!L7*(INDEX(02B_ESCENARIOS!$B$4:$D$11, MATCH("MULT_COSTO_DIRECTO", 02B_ESCENARIOS!$A$4:$A$11, 0), MATCH("Base", 02B_ESCENARIOS!$B$3:$D$3, 0))))</f>
        <v/>
      </c>
      <c r="M5" s="52">
        <f>-TASA_IVA*(SUMIFS(06B_OPEX_MENSUAL_BASE!M$4:M$200,06B_OPEX_MENSUAL_BASE!$D$4:$D$200,"SI")+06E_COSTOS_DIRECTOS_MENSUAL!M7*(INDEX(02B_ESCENARIOS!$B$4:$D$11, MATCH("MULT_COSTO_DIRECTO", 02B_ESCENARIOS!$A$4:$A$11, 0), MATCH("Base", 02B_ESCENARIOS!$B$3:$D$3, 0))))</f>
        <v/>
      </c>
      <c r="N5" s="52">
        <f>SUM(B5:M5)</f>
        <v/>
      </c>
    </row>
    <row r="6">
      <c r="A6" s="36" t="inlineStr">
        <is>
          <t>Remanente_anterior</t>
        </is>
      </c>
      <c r="B6" s="52">
        <f>IVA_REMANENTE_INICIAL</f>
        <v/>
      </c>
      <c r="C6" s="52">
        <f>B9</f>
        <v/>
      </c>
      <c r="D6" s="52">
        <f>C9</f>
        <v/>
      </c>
      <c r="E6" s="52">
        <f>D9</f>
        <v/>
      </c>
      <c r="F6" s="52">
        <f>E9</f>
        <v/>
      </c>
      <c r="G6" s="52">
        <f>F9</f>
        <v/>
      </c>
      <c r="H6" s="52">
        <f>G9</f>
        <v/>
      </c>
      <c r="I6" s="52">
        <f>H9</f>
        <v/>
      </c>
      <c r="J6" s="52">
        <f>I9</f>
        <v/>
      </c>
      <c r="K6" s="52">
        <f>J9</f>
        <v/>
      </c>
      <c r="L6" s="52">
        <f>K9</f>
        <v/>
      </c>
      <c r="M6" s="52">
        <f>L9</f>
        <v/>
      </c>
      <c r="N6" s="52">
        <f>SUM(B6:M6)</f>
        <v/>
      </c>
    </row>
    <row r="7">
      <c r="A7" s="36" t="inlineStr">
        <is>
          <t>IVA_neto_mes</t>
        </is>
      </c>
      <c r="B7" s="52">
        <f>B4+B6-B5</f>
        <v/>
      </c>
      <c r="C7" s="52">
        <f>C4+C6-C5</f>
        <v/>
      </c>
      <c r="D7" s="52">
        <f>D4+D6-D5</f>
        <v/>
      </c>
      <c r="E7" s="52">
        <f>E4+E6-E5</f>
        <v/>
      </c>
      <c r="F7" s="52">
        <f>F4+F6-F5</f>
        <v/>
      </c>
      <c r="G7" s="52">
        <f>G4+G6-G5</f>
        <v/>
      </c>
      <c r="H7" s="52">
        <f>H4+H6-H5</f>
        <v/>
      </c>
      <c r="I7" s="52">
        <f>I4+I6-I5</f>
        <v/>
      </c>
      <c r="J7" s="52">
        <f>J4+J6-J5</f>
        <v/>
      </c>
      <c r="K7" s="52">
        <f>K4+K6-K5</f>
        <v/>
      </c>
      <c r="L7" s="52">
        <f>L4+L6-L5</f>
        <v/>
      </c>
      <c r="M7" s="52">
        <f>M4+M6-M5</f>
        <v/>
      </c>
      <c r="N7" s="52">
        <f>SUM(B7:M7)</f>
        <v/>
      </c>
    </row>
    <row r="8">
      <c r="A8" s="36" t="inlineStr">
        <is>
          <t>IVA_a_pagar (F29)</t>
        </is>
      </c>
      <c r="B8" s="52">
        <f>MAX(0,B7)</f>
        <v/>
      </c>
      <c r="C8" s="52">
        <f>MAX(0,C7)</f>
        <v/>
      </c>
      <c r="D8" s="52">
        <f>MAX(0,D7)</f>
        <v/>
      </c>
      <c r="E8" s="52">
        <f>MAX(0,E7)</f>
        <v/>
      </c>
      <c r="F8" s="52">
        <f>MAX(0,F7)</f>
        <v/>
      </c>
      <c r="G8" s="52">
        <f>MAX(0,G7)</f>
        <v/>
      </c>
      <c r="H8" s="52">
        <f>MAX(0,H7)</f>
        <v/>
      </c>
      <c r="I8" s="52">
        <f>MAX(0,I7)</f>
        <v/>
      </c>
      <c r="J8" s="52">
        <f>MAX(0,J7)</f>
        <v/>
      </c>
      <c r="K8" s="52">
        <f>MAX(0,K7)</f>
        <v/>
      </c>
      <c r="L8" s="52">
        <f>MAX(0,L7)</f>
        <v/>
      </c>
      <c r="M8" s="52">
        <f>MAX(0,M7)</f>
        <v/>
      </c>
      <c r="N8" s="52">
        <f>SUM(B8:M8)</f>
        <v/>
      </c>
    </row>
    <row r="9">
      <c r="A9" s="36" t="inlineStr">
        <is>
          <t>Remanente_siguiente</t>
        </is>
      </c>
      <c r="B9" s="52">
        <f>B7-B8</f>
        <v/>
      </c>
      <c r="C9" s="52">
        <f>C7-C8</f>
        <v/>
      </c>
      <c r="D9" s="52">
        <f>D7-D8</f>
        <v/>
      </c>
      <c r="E9" s="52">
        <f>E7-E8</f>
        <v/>
      </c>
      <c r="F9" s="52">
        <f>F7-F8</f>
        <v/>
      </c>
      <c r="G9" s="52">
        <f>G7-G8</f>
        <v/>
      </c>
      <c r="H9" s="52">
        <f>H7-H8</f>
        <v/>
      </c>
      <c r="I9" s="52">
        <f>I7-I8</f>
        <v/>
      </c>
      <c r="J9" s="52">
        <f>J7-J8</f>
        <v/>
      </c>
      <c r="K9" s="52">
        <f>K7-K8</f>
        <v/>
      </c>
      <c r="L9" s="52">
        <f>L7-L8</f>
        <v/>
      </c>
      <c r="M9" s="52">
        <f>M7-M8</f>
        <v/>
      </c>
      <c r="N9" s="52">
        <f>SUM(B9:M9)</f>
        <v/>
      </c>
    </row>
  </sheetData>
  <mergeCells count="1">
    <mergeCell ref="A1:N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</cols>
  <sheetData>
    <row r="1">
      <c r="A1" s="7" t="inlineStr">
        <is>
          <t>FLUJO DE CAJA 2026 (Calculado)</t>
        </is>
      </c>
    </row>
    <row r="3">
      <c r="A3" s="8" t="inlineStr">
        <is>
          <t>Concepto</t>
        </is>
      </c>
      <c r="B3" s="31" t="n">
        <v>46053</v>
      </c>
      <c r="C3" s="31" t="n">
        <v>46081</v>
      </c>
      <c r="D3" s="31" t="n">
        <v>46112</v>
      </c>
      <c r="E3" s="31" t="n">
        <v>46142</v>
      </c>
      <c r="F3" s="31" t="n">
        <v>46173</v>
      </c>
      <c r="G3" s="31" t="n">
        <v>46203</v>
      </c>
      <c r="H3" s="31" t="n">
        <v>46234</v>
      </c>
      <c r="I3" s="31" t="n">
        <v>46265</v>
      </c>
      <c r="J3" s="31" t="n">
        <v>46295</v>
      </c>
      <c r="K3" s="31" t="n">
        <v>46326</v>
      </c>
      <c r="L3" s="31" t="n">
        <v>46356</v>
      </c>
      <c r="M3" s="31" t="n">
        <v>46387</v>
      </c>
      <c r="N3" s="8" t="inlineStr">
        <is>
          <t>Total_Año</t>
        </is>
      </c>
    </row>
    <row r="4">
      <c r="A4" s="38" t="inlineStr">
        <is>
          <t>Saldo_inicial</t>
        </is>
      </c>
      <c r="B4" s="52">
        <f>SALDO_INICIAL_CAJA</f>
        <v/>
      </c>
      <c r="C4" s="52">
        <f>B13</f>
        <v/>
      </c>
      <c r="D4" s="52">
        <f>C13</f>
        <v/>
      </c>
      <c r="E4" s="52">
        <f>D13</f>
        <v/>
      </c>
      <c r="F4" s="52">
        <f>E13</f>
        <v/>
      </c>
      <c r="G4" s="52">
        <f>F13</f>
        <v/>
      </c>
      <c r="H4" s="52">
        <f>G13</f>
        <v/>
      </c>
      <c r="I4" s="52">
        <f>H13</f>
        <v/>
      </c>
      <c r="J4" s="52">
        <f>I13</f>
        <v/>
      </c>
      <c r="K4" s="52">
        <f>J13</f>
        <v/>
      </c>
      <c r="L4" s="52">
        <f>K13</f>
        <v/>
      </c>
      <c r="M4" s="52">
        <f>L13</f>
        <v/>
      </c>
      <c r="N4" s="52">
        <f>SUM(B4:M4)</f>
        <v/>
      </c>
    </row>
    <row r="5">
      <c r="A5" s="36" t="inlineStr">
        <is>
          <t>Cobros_del_mes (caja) [bruto con IVA]</t>
        </is>
      </c>
      <c r="B5" s="52">
        <f>12_COBRANZAS_BASE!B4</f>
        <v/>
      </c>
      <c r="C5" s="52">
        <f>12_COBRANZAS_BASE!C4</f>
        <v/>
      </c>
      <c r="D5" s="52">
        <f>12_COBRANZAS_BASE!D4</f>
        <v/>
      </c>
      <c r="E5" s="52">
        <f>12_COBRANZAS_BASE!E4</f>
        <v/>
      </c>
      <c r="F5" s="52">
        <f>12_COBRANZAS_BASE!F4</f>
        <v/>
      </c>
      <c r="G5" s="52">
        <f>12_COBRANZAS_BASE!G4</f>
        <v/>
      </c>
      <c r="H5" s="52">
        <f>12_COBRANZAS_BASE!H4</f>
        <v/>
      </c>
      <c r="I5" s="52">
        <f>12_COBRANZAS_BASE!I4</f>
        <v/>
      </c>
      <c r="J5" s="52">
        <f>12_COBRANZAS_BASE!J4</f>
        <v/>
      </c>
      <c r="K5" s="52">
        <f>12_COBRANZAS_BASE!K4</f>
        <v/>
      </c>
      <c r="L5" s="52">
        <f>12_COBRANZAS_BASE!L4</f>
        <v/>
      </c>
      <c r="M5" s="52">
        <f>12_COBRANZAS_BASE!M4</f>
        <v/>
      </c>
      <c r="N5" s="52">
        <f>SUM(B5:M5)</f>
        <v/>
      </c>
    </row>
    <row r="6">
      <c r="A6" s="36" t="inlineStr">
        <is>
          <t>Disponible operacional (Saldo inicial + cobros)</t>
        </is>
      </c>
      <c r="B6" s="52">
        <f>B4+B5</f>
        <v/>
      </c>
      <c r="C6" s="52">
        <f>C4+C5</f>
        <v/>
      </c>
      <c r="D6" s="52">
        <f>D4+D5</f>
        <v/>
      </c>
      <c r="E6" s="52">
        <f>E4+E5</f>
        <v/>
      </c>
      <c r="F6" s="52">
        <f>F4+F5</f>
        <v/>
      </c>
      <c r="G6" s="52">
        <f>G4+G5</f>
        <v/>
      </c>
      <c r="H6" s="52">
        <f>H4+H5</f>
        <v/>
      </c>
      <c r="I6" s="52">
        <f>I4+I5</f>
        <v/>
      </c>
      <c r="J6" s="52">
        <f>J4+J5</f>
        <v/>
      </c>
      <c r="K6" s="52">
        <f>K4+K5</f>
        <v/>
      </c>
      <c r="L6" s="52">
        <f>L4+L5</f>
        <v/>
      </c>
      <c r="M6" s="52">
        <f>M4+M5</f>
        <v/>
      </c>
      <c r="N6" s="52">
        <f>SUM(B6:M6)</f>
        <v/>
      </c>
    </row>
    <row r="7">
      <c r="A7" s="36" t="inlineStr">
        <is>
          <t>Pagos_costos_directos (gross)</t>
        </is>
      </c>
      <c r="B7" s="52">
        <f>(06E_COSTOS_DIRECTOS_MENSUAL!C7*(1+TASA_IVA))*(INDEX(02B_ESCENARIOS!$B$4:$D$11, MATCH("MULT_COSTO_DIRECTO", 02B_ESCENARIOS!$A$4:$A$11, 0), MATCH("Base", 02B_ESCENARIOS!$B$3:$D$3, 0)))</f>
        <v/>
      </c>
      <c r="C7" s="52">
        <f>(06E_COSTOS_DIRECTOS_MENSUAL!D7*(1+TASA_IVA))*(INDEX(02B_ESCENARIOS!$B$4:$D$11, MATCH("MULT_COSTO_DIRECTO", 02B_ESCENARIOS!$A$4:$A$11, 0), MATCH("Base", 02B_ESCENARIOS!$B$3:$D$3, 0)))</f>
        <v/>
      </c>
      <c r="D7" s="52">
        <f>(06E_COSTOS_DIRECTOS_MENSUAL!E7*(1+TASA_IVA))*(INDEX(02B_ESCENARIOS!$B$4:$D$11, MATCH("MULT_COSTO_DIRECTO", 02B_ESCENARIOS!$A$4:$A$11, 0), MATCH("Base", 02B_ESCENARIOS!$B$3:$D$3, 0)))</f>
        <v/>
      </c>
      <c r="E7" s="52">
        <f>(06E_COSTOS_DIRECTOS_MENSUAL!F7*(1+TASA_IVA))*(INDEX(02B_ESCENARIOS!$B$4:$D$11, MATCH("MULT_COSTO_DIRECTO", 02B_ESCENARIOS!$A$4:$A$11, 0), MATCH("Base", 02B_ESCENARIOS!$B$3:$D$3, 0)))</f>
        <v/>
      </c>
      <c r="F7" s="52">
        <f>(06E_COSTOS_DIRECTOS_MENSUAL!G7*(1+TASA_IVA))*(INDEX(02B_ESCENARIOS!$B$4:$D$11, MATCH("MULT_COSTO_DIRECTO", 02B_ESCENARIOS!$A$4:$A$11, 0), MATCH("Base", 02B_ESCENARIOS!$B$3:$D$3, 0)))</f>
        <v/>
      </c>
      <c r="G7" s="52">
        <f>(06E_COSTOS_DIRECTOS_MENSUAL!H7*(1+TASA_IVA))*(INDEX(02B_ESCENARIOS!$B$4:$D$11, MATCH("MULT_COSTO_DIRECTO", 02B_ESCENARIOS!$A$4:$A$11, 0), MATCH("Base", 02B_ESCENARIOS!$B$3:$D$3, 0)))</f>
        <v/>
      </c>
      <c r="H7" s="52">
        <f>(06E_COSTOS_DIRECTOS_MENSUAL!I7*(1+TASA_IVA))*(INDEX(02B_ESCENARIOS!$B$4:$D$11, MATCH("MULT_COSTO_DIRECTO", 02B_ESCENARIOS!$A$4:$A$11, 0), MATCH("Base", 02B_ESCENARIOS!$B$3:$D$3, 0)))</f>
        <v/>
      </c>
      <c r="I7" s="52">
        <f>(06E_COSTOS_DIRECTOS_MENSUAL!J7*(1+TASA_IVA))*(INDEX(02B_ESCENARIOS!$B$4:$D$11, MATCH("MULT_COSTO_DIRECTO", 02B_ESCENARIOS!$A$4:$A$11, 0), MATCH("Base", 02B_ESCENARIOS!$B$3:$D$3, 0)))</f>
        <v/>
      </c>
      <c r="J7" s="52">
        <f>(06E_COSTOS_DIRECTOS_MENSUAL!K7*(1+TASA_IVA))*(INDEX(02B_ESCENARIOS!$B$4:$D$11, MATCH("MULT_COSTO_DIRECTO", 02B_ESCENARIOS!$A$4:$A$11, 0), MATCH("Base", 02B_ESCENARIOS!$B$3:$D$3, 0)))</f>
        <v/>
      </c>
      <c r="K7" s="52">
        <f>(06E_COSTOS_DIRECTOS_MENSUAL!L7*(1+TASA_IVA))*(INDEX(02B_ESCENARIOS!$B$4:$D$11, MATCH("MULT_COSTO_DIRECTO", 02B_ESCENARIOS!$A$4:$A$11, 0), MATCH("Base", 02B_ESCENARIOS!$B$3:$D$3, 0)))</f>
        <v/>
      </c>
      <c r="L7" s="52">
        <f>(06E_COSTOS_DIRECTOS_MENSUAL!M7*(1+TASA_IVA))*(INDEX(02B_ESCENARIOS!$B$4:$D$11, MATCH("MULT_COSTO_DIRECTO", 02B_ESCENARIOS!$A$4:$A$11, 0), MATCH("Base", 02B_ESCENARIOS!$B$3:$D$3, 0)))</f>
        <v/>
      </c>
      <c r="M7" s="52">
        <f>(06E_COSTOS_DIRECTOS_MENSUAL!N7*(1+TASA_IVA))*(INDEX(02B_ESCENARIOS!$B$4:$D$11, MATCH("MULT_COSTO_DIRECTO", 02B_ESCENARIOS!$A$4:$A$11, 0), MATCH("Base", 02B_ESCENARIOS!$B$3:$D$3, 0)))</f>
        <v/>
      </c>
      <c r="N7" s="52">
        <f>SUM(B7:M7)</f>
        <v/>
      </c>
    </row>
    <row r="8">
      <c r="A8" s="36" t="inlineStr">
        <is>
          <t>Pagos_personas (sin IVA)</t>
        </is>
      </c>
      <c r="B8" s="52">
        <f>(05B_PERSONAS_MENSUAL!D12)*(INDEX(02B_ESCENARIOS!$B$4:$D$11, MATCH("MULT_PERSONAS", 02B_ESCENARIOS!$A$4:$A$11, 0), MATCH("Base", 02B_ESCENARIOS!$B$3:$D$3, 0)))</f>
        <v/>
      </c>
      <c r="C8" s="52">
        <f>(05B_PERSONAS_MENSUAL!E12)*(INDEX(02B_ESCENARIOS!$B$4:$D$11, MATCH("MULT_PERSONAS", 02B_ESCENARIOS!$A$4:$A$11, 0), MATCH("Base", 02B_ESCENARIOS!$B$3:$D$3, 0)))</f>
        <v/>
      </c>
      <c r="D8" s="52">
        <f>(05B_PERSONAS_MENSUAL!F12)*(INDEX(02B_ESCENARIOS!$B$4:$D$11, MATCH("MULT_PERSONAS", 02B_ESCENARIOS!$A$4:$A$11, 0), MATCH("Base", 02B_ESCENARIOS!$B$3:$D$3, 0)))</f>
        <v/>
      </c>
      <c r="E8" s="52">
        <f>(05B_PERSONAS_MENSUAL!G12)*(INDEX(02B_ESCENARIOS!$B$4:$D$11, MATCH("MULT_PERSONAS", 02B_ESCENARIOS!$A$4:$A$11, 0), MATCH("Base", 02B_ESCENARIOS!$B$3:$D$3, 0)))</f>
        <v/>
      </c>
      <c r="F8" s="52">
        <f>(05B_PERSONAS_MENSUAL!H12)*(INDEX(02B_ESCENARIOS!$B$4:$D$11, MATCH("MULT_PERSONAS", 02B_ESCENARIOS!$A$4:$A$11, 0), MATCH("Base", 02B_ESCENARIOS!$B$3:$D$3, 0)))</f>
        <v/>
      </c>
      <c r="G8" s="52">
        <f>(05B_PERSONAS_MENSUAL!I12)*(INDEX(02B_ESCENARIOS!$B$4:$D$11, MATCH("MULT_PERSONAS", 02B_ESCENARIOS!$A$4:$A$11, 0), MATCH("Base", 02B_ESCENARIOS!$B$3:$D$3, 0)))</f>
        <v/>
      </c>
      <c r="H8" s="52">
        <f>(05B_PERSONAS_MENSUAL!J12)*(INDEX(02B_ESCENARIOS!$B$4:$D$11, MATCH("MULT_PERSONAS", 02B_ESCENARIOS!$A$4:$A$11, 0), MATCH("Base", 02B_ESCENARIOS!$B$3:$D$3, 0)))</f>
        <v/>
      </c>
      <c r="I8" s="52">
        <f>(05B_PERSONAS_MENSUAL!K12)*(INDEX(02B_ESCENARIOS!$B$4:$D$11, MATCH("MULT_PERSONAS", 02B_ESCENARIOS!$A$4:$A$11, 0), MATCH("Base", 02B_ESCENARIOS!$B$3:$D$3, 0)))</f>
        <v/>
      </c>
      <c r="J8" s="52">
        <f>(05B_PERSONAS_MENSUAL!L12)*(INDEX(02B_ESCENARIOS!$B$4:$D$11, MATCH("MULT_PERSONAS", 02B_ESCENARIOS!$A$4:$A$11, 0), MATCH("Base", 02B_ESCENARIOS!$B$3:$D$3, 0)))</f>
        <v/>
      </c>
      <c r="K8" s="52">
        <f>(05B_PERSONAS_MENSUAL!M12)*(INDEX(02B_ESCENARIOS!$B$4:$D$11, MATCH("MULT_PERSONAS", 02B_ESCENARIOS!$A$4:$A$11, 0), MATCH("Base", 02B_ESCENARIOS!$B$3:$D$3, 0)))</f>
        <v/>
      </c>
      <c r="L8" s="52">
        <f>(05B_PERSONAS_MENSUAL!N12)*(INDEX(02B_ESCENARIOS!$B$4:$D$11, MATCH("MULT_PERSONAS", 02B_ESCENARIOS!$A$4:$A$11, 0), MATCH("Base", 02B_ESCENARIOS!$B$3:$D$3, 0)))</f>
        <v/>
      </c>
      <c r="M8" s="52">
        <f>(05B_PERSONAS_MENSUAL!O12)*(INDEX(02B_ESCENARIOS!$B$4:$D$11, MATCH("MULT_PERSONAS", 02B_ESCENARIOS!$A$4:$A$11, 0), MATCH("Base", 02B_ESCENARIOS!$B$3:$D$3, 0)))</f>
        <v/>
      </c>
      <c r="N8" s="52">
        <f>SUM(B8:M8)</f>
        <v/>
      </c>
    </row>
    <row r="9">
      <c r="A9" s="36" t="inlineStr">
        <is>
          <t>Pagos_OPEX (gross)</t>
        </is>
      </c>
      <c r="B9" s="52">
        <f>06B_OPEX_MENSUAL_BASE!E16+(SUMIFS(06B_OPEX_MENSUAL_BASE!E$4:E$200,06B_OPEX_MENSUAL_BASE!$D$4:$D$200,"SI"))*TASA_IVA</f>
        <v/>
      </c>
      <c r="C9" s="52">
        <f>06B_OPEX_MENSUAL_BASE!F16+(SUMIFS(06B_OPEX_MENSUAL_BASE!F$4:F$200,06B_OPEX_MENSUAL_BASE!$D$4:$D$200,"SI"))*TASA_IVA</f>
        <v/>
      </c>
      <c r="D9" s="52">
        <f>06B_OPEX_MENSUAL_BASE!G16+(SUMIFS(06B_OPEX_MENSUAL_BASE!G$4:G$200,06B_OPEX_MENSUAL_BASE!$D$4:$D$200,"SI"))*TASA_IVA</f>
        <v/>
      </c>
      <c r="E9" s="52">
        <f>06B_OPEX_MENSUAL_BASE!H16+(SUMIFS(06B_OPEX_MENSUAL_BASE!H$4:H$200,06B_OPEX_MENSUAL_BASE!$D$4:$D$200,"SI"))*TASA_IVA</f>
        <v/>
      </c>
      <c r="F9" s="52">
        <f>06B_OPEX_MENSUAL_BASE!I16+(SUMIFS(06B_OPEX_MENSUAL_BASE!I$4:I$200,06B_OPEX_MENSUAL_BASE!$D$4:$D$200,"SI"))*TASA_IVA</f>
        <v/>
      </c>
      <c r="G9" s="52">
        <f>06B_OPEX_MENSUAL_BASE!J16+(SUMIFS(06B_OPEX_MENSUAL_BASE!J$4:J$200,06B_OPEX_MENSUAL_BASE!$D$4:$D$200,"SI"))*TASA_IVA</f>
        <v/>
      </c>
      <c r="H9" s="52">
        <f>06B_OPEX_MENSUAL_BASE!K16+(SUMIFS(06B_OPEX_MENSUAL_BASE!K$4:K$200,06B_OPEX_MENSUAL_BASE!$D$4:$D$200,"SI"))*TASA_IVA</f>
        <v/>
      </c>
      <c r="I9" s="52">
        <f>06B_OPEX_MENSUAL_BASE!L16+(SUMIFS(06B_OPEX_MENSUAL_BASE!L$4:L$200,06B_OPEX_MENSUAL_BASE!$D$4:$D$200,"SI"))*TASA_IVA</f>
        <v/>
      </c>
      <c r="J9" s="52">
        <f>06B_OPEX_MENSUAL_BASE!M16+(SUMIFS(06B_OPEX_MENSUAL_BASE!M$4:M$200,06B_OPEX_MENSUAL_BASE!$D$4:$D$200,"SI"))*TASA_IVA</f>
        <v/>
      </c>
      <c r="K9" s="52">
        <f>06B_OPEX_MENSUAL_BASE!N16+(SUMIFS(06B_OPEX_MENSUAL_BASE!N$4:N$200,06B_OPEX_MENSUAL_BASE!$D$4:$D$200,"SI"))*TASA_IVA</f>
        <v/>
      </c>
      <c r="L9" s="52">
        <f>06B_OPEX_MENSUAL_BASE!O16+(SUMIFS(06B_OPEX_MENSUAL_BASE!O$4:O$200,06B_OPEX_MENSUAL_BASE!$D$4:$D$200,"SI"))*TASA_IVA</f>
        <v/>
      </c>
      <c r="M9" s="52">
        <f>06B_OPEX_MENSUAL_BASE!P16+(SUMIFS(06B_OPEX_MENSUAL_BASE!P$4:P$200,06B_OPEX_MENSUAL_BASE!$D$4:$D$200,"SI"))*TASA_IVA</f>
        <v/>
      </c>
      <c r="N9" s="52">
        <f>SUM(B9:M9)</f>
        <v/>
      </c>
    </row>
    <row r="10">
      <c r="A10" s="36" t="inlineStr">
        <is>
          <t>Pago_IVA_F29</t>
        </is>
      </c>
      <c r="B10" s="52">
        <f>-11_IVA_LEDGER_BASE!B8</f>
        <v/>
      </c>
      <c r="C10" s="52">
        <f>-11_IVA_LEDGER_BASE!C8</f>
        <v/>
      </c>
      <c r="D10" s="52">
        <f>-11_IVA_LEDGER_BASE!D8</f>
        <v/>
      </c>
      <c r="E10" s="52">
        <f>-11_IVA_LEDGER_BASE!E8</f>
        <v/>
      </c>
      <c r="F10" s="52">
        <f>-11_IVA_LEDGER_BASE!F8</f>
        <v/>
      </c>
      <c r="G10" s="52">
        <f>-11_IVA_LEDGER_BASE!G8</f>
        <v/>
      </c>
      <c r="H10" s="52">
        <f>-11_IVA_LEDGER_BASE!H8</f>
        <v/>
      </c>
      <c r="I10" s="52">
        <f>-11_IVA_LEDGER_BASE!I8</f>
        <v/>
      </c>
      <c r="J10" s="52">
        <f>-11_IVA_LEDGER_BASE!J8</f>
        <v/>
      </c>
      <c r="K10" s="52">
        <f>-11_IVA_LEDGER_BASE!K8</f>
        <v/>
      </c>
      <c r="L10" s="52">
        <f>-11_IVA_LEDGER_BASE!L8</f>
        <v/>
      </c>
      <c r="M10" s="52">
        <f>-11_IVA_LEDGER_BASE!M8</f>
        <v/>
      </c>
      <c r="N10" s="52">
        <f>SUM(B10:M10)</f>
        <v/>
      </c>
    </row>
    <row r="11">
      <c r="A11" s="36" t="inlineStr">
        <is>
          <t>Otros_no_operacionales (neto caja)</t>
        </is>
      </c>
      <c r="B11" s="52">
        <f>07B_NO_OPERACIONALES_MENSUAL!D18</f>
        <v/>
      </c>
      <c r="C11" s="52">
        <f>07B_NO_OPERACIONALES_MENSUAL!E18</f>
        <v/>
      </c>
      <c r="D11" s="52">
        <f>07B_NO_OPERACIONALES_MENSUAL!F18</f>
        <v/>
      </c>
      <c r="E11" s="52">
        <f>07B_NO_OPERACIONALES_MENSUAL!G18</f>
        <v/>
      </c>
      <c r="F11" s="52">
        <f>07B_NO_OPERACIONALES_MENSUAL!H18</f>
        <v/>
      </c>
      <c r="G11" s="52">
        <f>07B_NO_OPERACIONALES_MENSUAL!I18</f>
        <v/>
      </c>
      <c r="H11" s="52">
        <f>07B_NO_OPERACIONALES_MENSUAL!J18</f>
        <v/>
      </c>
      <c r="I11" s="52">
        <f>07B_NO_OPERACIONALES_MENSUAL!K18</f>
        <v/>
      </c>
      <c r="J11" s="52">
        <f>07B_NO_OPERACIONALES_MENSUAL!L18</f>
        <v/>
      </c>
      <c r="K11" s="52">
        <f>07B_NO_OPERACIONALES_MENSUAL!M18</f>
        <v/>
      </c>
      <c r="L11" s="52">
        <f>07B_NO_OPERACIONALES_MENSUAL!N18</f>
        <v/>
      </c>
      <c r="M11" s="52">
        <f>07B_NO_OPERACIONALES_MENSUAL!O18</f>
        <v/>
      </c>
      <c r="N11" s="52">
        <f>SUM(B11:M11)</f>
        <v/>
      </c>
    </row>
    <row r="12">
      <c r="A12" s="36" t="inlineStr">
        <is>
          <t>Variación_caja</t>
        </is>
      </c>
      <c r="B12" s="52">
        <f>B5+B7+B8+B9+B10+B11</f>
        <v/>
      </c>
      <c r="C12" s="52">
        <f>C5+C7+C8+C9+C10+C11</f>
        <v/>
      </c>
      <c r="D12" s="52">
        <f>D5+D7+D8+D9+D10+D11</f>
        <v/>
      </c>
      <c r="E12" s="52">
        <f>E5+E7+E8+E9+E10+E11</f>
        <v/>
      </c>
      <c r="F12" s="52">
        <f>F5+F7+F8+F9+F10+F11</f>
        <v/>
      </c>
      <c r="G12" s="52">
        <f>G5+G7+G8+G9+G10+G11</f>
        <v/>
      </c>
      <c r="H12" s="52">
        <f>H5+H7+H8+H9+H10+H11</f>
        <v/>
      </c>
      <c r="I12" s="52">
        <f>I5+I7+I8+I9+I10+I11</f>
        <v/>
      </c>
      <c r="J12" s="52">
        <f>J5+J7+J8+J9+J10+J11</f>
        <v/>
      </c>
      <c r="K12" s="52">
        <f>K5+K7+K8+K9+K10+K11</f>
        <v/>
      </c>
      <c r="L12" s="52">
        <f>L5+L7+L8+L9+L10+L11</f>
        <v/>
      </c>
      <c r="M12" s="52">
        <f>M5+M7+M8+M9+M10+M11</f>
        <v/>
      </c>
      <c r="N12" s="52">
        <f>SUM(B12:M12)</f>
        <v/>
      </c>
    </row>
    <row r="13">
      <c r="A13" s="38" t="inlineStr">
        <is>
          <t>Saldo_final</t>
        </is>
      </c>
      <c r="B13" s="57">
        <f>B4+B12</f>
        <v/>
      </c>
      <c r="C13" s="57">
        <f>C4+C12</f>
        <v/>
      </c>
      <c r="D13" s="57">
        <f>D4+D12</f>
        <v/>
      </c>
      <c r="E13" s="57">
        <f>E4+E12</f>
        <v/>
      </c>
      <c r="F13" s="57">
        <f>F4+F12</f>
        <v/>
      </c>
      <c r="G13" s="57">
        <f>G4+G12</f>
        <v/>
      </c>
      <c r="H13" s="57">
        <f>H4+H12</f>
        <v/>
      </c>
      <c r="I13" s="57">
        <f>I4+I12</f>
        <v/>
      </c>
      <c r="J13" s="57">
        <f>J4+J12</f>
        <v/>
      </c>
      <c r="K13" s="57">
        <f>K4+K12</f>
        <v/>
      </c>
      <c r="L13" s="57">
        <f>L4+L12</f>
        <v/>
      </c>
      <c r="M13" s="57">
        <f>M4+M12</f>
        <v/>
      </c>
      <c r="N13" s="57">
        <f>SUM(B13:M13)</f>
        <v/>
      </c>
    </row>
  </sheetData>
  <mergeCells count="1">
    <mergeCell ref="A1:N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</cols>
  <sheetData>
    <row r="1">
      <c r="A1" s="7" t="inlineStr">
        <is>
          <t>P&amp;L (Estado de Resultados) — Neto sin IVA (Calculado)</t>
        </is>
      </c>
    </row>
    <row r="3">
      <c r="A3" s="8" t="inlineStr">
        <is>
          <t>Concepto</t>
        </is>
      </c>
      <c r="B3" s="31" t="n">
        <v>46053</v>
      </c>
      <c r="C3" s="31" t="n">
        <v>46081</v>
      </c>
      <c r="D3" s="31" t="n">
        <v>46112</v>
      </c>
      <c r="E3" s="31" t="n">
        <v>46142</v>
      </c>
      <c r="F3" s="31" t="n">
        <v>46173</v>
      </c>
      <c r="G3" s="31" t="n">
        <v>46203</v>
      </c>
      <c r="H3" s="31" t="n">
        <v>46234</v>
      </c>
      <c r="I3" s="31" t="n">
        <v>46265</v>
      </c>
      <c r="J3" s="31" t="n">
        <v>46295</v>
      </c>
      <c r="K3" s="31" t="n">
        <v>46326</v>
      </c>
      <c r="L3" s="31" t="n">
        <v>46356</v>
      </c>
      <c r="M3" s="31" t="n">
        <v>46387</v>
      </c>
      <c r="N3" s="8" t="inlineStr">
        <is>
          <t>Total_Año</t>
        </is>
      </c>
    </row>
    <row r="4">
      <c r="A4" s="38" t="inlineStr">
        <is>
          <t>Ventas_netas_sin_IVA</t>
        </is>
      </c>
      <c r="B4" s="52">
        <f>10_FACTURACION_NETO_BASE!B4</f>
        <v/>
      </c>
      <c r="C4" s="52">
        <f>10_FACTURACION_NETO_BASE!C4</f>
        <v/>
      </c>
      <c r="D4" s="52">
        <f>10_FACTURACION_NETO_BASE!D4</f>
        <v/>
      </c>
      <c r="E4" s="52">
        <f>10_FACTURACION_NETO_BASE!E4</f>
        <v/>
      </c>
      <c r="F4" s="52">
        <f>10_FACTURACION_NETO_BASE!F4</f>
        <v/>
      </c>
      <c r="G4" s="52">
        <f>10_FACTURACION_NETO_BASE!G4</f>
        <v/>
      </c>
      <c r="H4" s="52">
        <f>10_FACTURACION_NETO_BASE!H4</f>
        <v/>
      </c>
      <c r="I4" s="52">
        <f>10_FACTURACION_NETO_BASE!I4</f>
        <v/>
      </c>
      <c r="J4" s="52">
        <f>10_FACTURACION_NETO_BASE!J4</f>
        <v/>
      </c>
      <c r="K4" s="52">
        <f>10_FACTURACION_NETO_BASE!K4</f>
        <v/>
      </c>
      <c r="L4" s="52">
        <f>10_FACTURACION_NETO_BASE!L4</f>
        <v/>
      </c>
      <c r="M4" s="52">
        <f>10_FACTURACION_NETO_BASE!M4</f>
        <v/>
      </c>
      <c r="N4" s="52">
        <f>SUM(B4:M4)</f>
        <v/>
      </c>
    </row>
    <row r="5">
      <c r="A5" s="36" t="inlineStr">
        <is>
          <t>Costos_directos_netos</t>
        </is>
      </c>
      <c r="B5" s="52">
        <f>06E_COSTOS_DIRECTOS_MENSUAL!C7*(INDEX(02B_ESCENARIOS!$B$4:$D$11, MATCH("MULT_COSTO_DIRECTO", 02B_ESCENARIOS!$A$4:$A$11, 0), MATCH("Base", 02B_ESCENARIOS!$B$3:$D$3, 0)))</f>
        <v/>
      </c>
      <c r="C5" s="52">
        <f>06E_COSTOS_DIRECTOS_MENSUAL!D7*(INDEX(02B_ESCENARIOS!$B$4:$D$11, MATCH("MULT_COSTO_DIRECTO", 02B_ESCENARIOS!$A$4:$A$11, 0), MATCH("Base", 02B_ESCENARIOS!$B$3:$D$3, 0)))</f>
        <v/>
      </c>
      <c r="D5" s="52">
        <f>06E_COSTOS_DIRECTOS_MENSUAL!E7*(INDEX(02B_ESCENARIOS!$B$4:$D$11, MATCH("MULT_COSTO_DIRECTO", 02B_ESCENARIOS!$A$4:$A$11, 0), MATCH("Base", 02B_ESCENARIOS!$B$3:$D$3, 0)))</f>
        <v/>
      </c>
      <c r="E5" s="52">
        <f>06E_COSTOS_DIRECTOS_MENSUAL!F7*(INDEX(02B_ESCENARIOS!$B$4:$D$11, MATCH("MULT_COSTO_DIRECTO", 02B_ESCENARIOS!$A$4:$A$11, 0), MATCH("Base", 02B_ESCENARIOS!$B$3:$D$3, 0)))</f>
        <v/>
      </c>
      <c r="F5" s="52">
        <f>06E_COSTOS_DIRECTOS_MENSUAL!G7*(INDEX(02B_ESCENARIOS!$B$4:$D$11, MATCH("MULT_COSTO_DIRECTO", 02B_ESCENARIOS!$A$4:$A$11, 0), MATCH("Base", 02B_ESCENARIOS!$B$3:$D$3, 0)))</f>
        <v/>
      </c>
      <c r="G5" s="52">
        <f>06E_COSTOS_DIRECTOS_MENSUAL!H7*(INDEX(02B_ESCENARIOS!$B$4:$D$11, MATCH("MULT_COSTO_DIRECTO", 02B_ESCENARIOS!$A$4:$A$11, 0), MATCH("Base", 02B_ESCENARIOS!$B$3:$D$3, 0)))</f>
        <v/>
      </c>
      <c r="H5" s="52">
        <f>06E_COSTOS_DIRECTOS_MENSUAL!I7*(INDEX(02B_ESCENARIOS!$B$4:$D$11, MATCH("MULT_COSTO_DIRECTO", 02B_ESCENARIOS!$A$4:$A$11, 0), MATCH("Base", 02B_ESCENARIOS!$B$3:$D$3, 0)))</f>
        <v/>
      </c>
      <c r="I5" s="52">
        <f>06E_COSTOS_DIRECTOS_MENSUAL!J7*(INDEX(02B_ESCENARIOS!$B$4:$D$11, MATCH("MULT_COSTO_DIRECTO", 02B_ESCENARIOS!$A$4:$A$11, 0), MATCH("Base", 02B_ESCENARIOS!$B$3:$D$3, 0)))</f>
        <v/>
      </c>
      <c r="J5" s="52">
        <f>06E_COSTOS_DIRECTOS_MENSUAL!K7*(INDEX(02B_ESCENARIOS!$B$4:$D$11, MATCH("MULT_COSTO_DIRECTO", 02B_ESCENARIOS!$A$4:$A$11, 0), MATCH("Base", 02B_ESCENARIOS!$B$3:$D$3, 0)))</f>
        <v/>
      </c>
      <c r="K5" s="52">
        <f>06E_COSTOS_DIRECTOS_MENSUAL!L7*(INDEX(02B_ESCENARIOS!$B$4:$D$11, MATCH("MULT_COSTO_DIRECTO", 02B_ESCENARIOS!$A$4:$A$11, 0), MATCH("Base", 02B_ESCENARIOS!$B$3:$D$3, 0)))</f>
        <v/>
      </c>
      <c r="L5" s="52">
        <f>06E_COSTOS_DIRECTOS_MENSUAL!M7*(INDEX(02B_ESCENARIOS!$B$4:$D$11, MATCH("MULT_COSTO_DIRECTO", 02B_ESCENARIOS!$A$4:$A$11, 0), MATCH("Base", 02B_ESCENARIOS!$B$3:$D$3, 0)))</f>
        <v/>
      </c>
      <c r="M5" s="52">
        <f>06E_COSTOS_DIRECTOS_MENSUAL!N7*(INDEX(02B_ESCENARIOS!$B$4:$D$11, MATCH("MULT_COSTO_DIRECTO", 02B_ESCENARIOS!$A$4:$A$11, 0), MATCH("Base", 02B_ESCENARIOS!$B$3:$D$3, 0)))</f>
        <v/>
      </c>
      <c r="N5" s="52">
        <f>SUM(B5:M5)</f>
        <v/>
      </c>
    </row>
    <row r="6">
      <c r="A6" s="36" t="inlineStr">
        <is>
          <t>Margen_bruto</t>
        </is>
      </c>
      <c r="B6" s="52">
        <f>B4+B5</f>
        <v/>
      </c>
      <c r="C6" s="52">
        <f>C4+C5</f>
        <v/>
      </c>
      <c r="D6" s="52">
        <f>D4+D5</f>
        <v/>
      </c>
      <c r="E6" s="52">
        <f>E4+E5</f>
        <v/>
      </c>
      <c r="F6" s="52">
        <f>F4+F5</f>
        <v/>
      </c>
      <c r="G6" s="52">
        <f>G4+G5</f>
        <v/>
      </c>
      <c r="H6" s="52">
        <f>H4+H5</f>
        <v/>
      </c>
      <c r="I6" s="52">
        <f>I4+I5</f>
        <v/>
      </c>
      <c r="J6" s="52">
        <f>J4+J5</f>
        <v/>
      </c>
      <c r="K6" s="52">
        <f>K4+K5</f>
        <v/>
      </c>
      <c r="L6" s="52">
        <f>L4+L5</f>
        <v/>
      </c>
      <c r="M6" s="52">
        <f>M4+M5</f>
        <v/>
      </c>
      <c r="N6" s="52">
        <f>SUM(B6:M6)</f>
        <v/>
      </c>
    </row>
    <row r="7">
      <c r="A7" s="36" t="inlineStr">
        <is>
          <t>OPEX_Personas</t>
        </is>
      </c>
      <c r="B7" s="52">
        <f>05B_PERSONAS_MENSUAL!D12*(INDEX(02B_ESCENARIOS!$B$4:$D$11, MATCH("MULT_PERSONAS", 02B_ESCENARIOS!$A$4:$A$11, 0), MATCH("Base", 02B_ESCENARIOS!$B$3:$D$3, 0)))</f>
        <v/>
      </c>
      <c r="C7" s="52">
        <f>05B_PERSONAS_MENSUAL!E12*(INDEX(02B_ESCENARIOS!$B$4:$D$11, MATCH("MULT_PERSONAS", 02B_ESCENARIOS!$A$4:$A$11, 0), MATCH("Base", 02B_ESCENARIOS!$B$3:$D$3, 0)))</f>
        <v/>
      </c>
      <c r="D7" s="52">
        <f>05B_PERSONAS_MENSUAL!F12*(INDEX(02B_ESCENARIOS!$B$4:$D$11, MATCH("MULT_PERSONAS", 02B_ESCENARIOS!$A$4:$A$11, 0), MATCH("Base", 02B_ESCENARIOS!$B$3:$D$3, 0)))</f>
        <v/>
      </c>
      <c r="E7" s="52">
        <f>05B_PERSONAS_MENSUAL!G12*(INDEX(02B_ESCENARIOS!$B$4:$D$11, MATCH("MULT_PERSONAS", 02B_ESCENARIOS!$A$4:$A$11, 0), MATCH("Base", 02B_ESCENARIOS!$B$3:$D$3, 0)))</f>
        <v/>
      </c>
      <c r="F7" s="52">
        <f>05B_PERSONAS_MENSUAL!H12*(INDEX(02B_ESCENARIOS!$B$4:$D$11, MATCH("MULT_PERSONAS", 02B_ESCENARIOS!$A$4:$A$11, 0), MATCH("Base", 02B_ESCENARIOS!$B$3:$D$3, 0)))</f>
        <v/>
      </c>
      <c r="G7" s="52">
        <f>05B_PERSONAS_MENSUAL!I12*(INDEX(02B_ESCENARIOS!$B$4:$D$11, MATCH("MULT_PERSONAS", 02B_ESCENARIOS!$A$4:$A$11, 0), MATCH("Base", 02B_ESCENARIOS!$B$3:$D$3, 0)))</f>
        <v/>
      </c>
      <c r="H7" s="52">
        <f>05B_PERSONAS_MENSUAL!J12*(INDEX(02B_ESCENARIOS!$B$4:$D$11, MATCH("MULT_PERSONAS", 02B_ESCENARIOS!$A$4:$A$11, 0), MATCH("Base", 02B_ESCENARIOS!$B$3:$D$3, 0)))</f>
        <v/>
      </c>
      <c r="I7" s="52">
        <f>05B_PERSONAS_MENSUAL!K12*(INDEX(02B_ESCENARIOS!$B$4:$D$11, MATCH("MULT_PERSONAS", 02B_ESCENARIOS!$A$4:$A$11, 0), MATCH("Base", 02B_ESCENARIOS!$B$3:$D$3, 0)))</f>
        <v/>
      </c>
      <c r="J7" s="52">
        <f>05B_PERSONAS_MENSUAL!L12*(INDEX(02B_ESCENARIOS!$B$4:$D$11, MATCH("MULT_PERSONAS", 02B_ESCENARIOS!$A$4:$A$11, 0), MATCH("Base", 02B_ESCENARIOS!$B$3:$D$3, 0)))</f>
        <v/>
      </c>
      <c r="K7" s="52">
        <f>05B_PERSONAS_MENSUAL!M12*(INDEX(02B_ESCENARIOS!$B$4:$D$11, MATCH("MULT_PERSONAS", 02B_ESCENARIOS!$A$4:$A$11, 0), MATCH("Base", 02B_ESCENARIOS!$B$3:$D$3, 0)))</f>
        <v/>
      </c>
      <c r="L7" s="52">
        <f>05B_PERSONAS_MENSUAL!N12*(INDEX(02B_ESCENARIOS!$B$4:$D$11, MATCH("MULT_PERSONAS", 02B_ESCENARIOS!$A$4:$A$11, 0), MATCH("Base", 02B_ESCENARIOS!$B$3:$D$3, 0)))</f>
        <v/>
      </c>
      <c r="M7" s="52">
        <f>05B_PERSONAS_MENSUAL!O12*(INDEX(02B_ESCENARIOS!$B$4:$D$11, MATCH("MULT_PERSONAS", 02B_ESCENARIOS!$A$4:$A$11, 0), MATCH("Base", 02B_ESCENARIOS!$B$3:$D$3, 0)))</f>
        <v/>
      </c>
      <c r="N7" s="52">
        <f>SUM(B7:M7)</f>
        <v/>
      </c>
    </row>
    <row r="8">
      <c r="A8" s="36" t="inlineStr">
        <is>
          <t>OPEX_Otros_netos</t>
        </is>
      </c>
      <c r="B8" s="52">
        <f>06B_OPEX_MENSUAL_BASE!E16</f>
        <v/>
      </c>
      <c r="C8" s="52">
        <f>06B_OPEX_MENSUAL_BASE!F16</f>
        <v/>
      </c>
      <c r="D8" s="52">
        <f>06B_OPEX_MENSUAL_BASE!G16</f>
        <v/>
      </c>
      <c r="E8" s="52">
        <f>06B_OPEX_MENSUAL_BASE!H16</f>
        <v/>
      </c>
      <c r="F8" s="52">
        <f>06B_OPEX_MENSUAL_BASE!I16</f>
        <v/>
      </c>
      <c r="G8" s="52">
        <f>06B_OPEX_MENSUAL_BASE!J16</f>
        <v/>
      </c>
      <c r="H8" s="52">
        <f>06B_OPEX_MENSUAL_BASE!K16</f>
        <v/>
      </c>
      <c r="I8" s="52">
        <f>06B_OPEX_MENSUAL_BASE!L16</f>
        <v/>
      </c>
      <c r="J8" s="52">
        <f>06B_OPEX_MENSUAL_BASE!M16</f>
        <v/>
      </c>
      <c r="K8" s="52">
        <f>06B_OPEX_MENSUAL_BASE!N16</f>
        <v/>
      </c>
      <c r="L8" s="52">
        <f>06B_OPEX_MENSUAL_BASE!O16</f>
        <v/>
      </c>
      <c r="M8" s="52">
        <f>06B_OPEX_MENSUAL_BASE!P16</f>
        <v/>
      </c>
      <c r="N8" s="52">
        <f>SUM(B8:M8)</f>
        <v/>
      </c>
    </row>
    <row r="9">
      <c r="A9" s="38" t="inlineStr">
        <is>
          <t>Resultado_operacional</t>
        </is>
      </c>
      <c r="B9" s="57">
        <f>B6+B7+B8</f>
        <v/>
      </c>
      <c r="C9" s="57">
        <f>C6+C7+C8</f>
        <v/>
      </c>
      <c r="D9" s="57">
        <f>D6+D7+D8</f>
        <v/>
      </c>
      <c r="E9" s="57">
        <f>E6+E7+E8</f>
        <v/>
      </c>
      <c r="F9" s="57">
        <f>F6+F7+F8</f>
        <v/>
      </c>
      <c r="G9" s="57">
        <f>G6+G7+G8</f>
        <v/>
      </c>
      <c r="H9" s="57">
        <f>H6+H7+H8</f>
        <v/>
      </c>
      <c r="I9" s="57">
        <f>I6+I7+I8</f>
        <v/>
      </c>
      <c r="J9" s="57">
        <f>J6+J7+J8</f>
        <v/>
      </c>
      <c r="K9" s="57">
        <f>K6+K7+K8</f>
        <v/>
      </c>
      <c r="L9" s="57">
        <f>L6+L7+L8</f>
        <v/>
      </c>
      <c r="M9" s="57">
        <f>M6+M7+M8</f>
        <v/>
      </c>
      <c r="N9" s="57">
        <f>SUM(B9:M9)</f>
        <v/>
      </c>
    </row>
    <row r="10">
      <c r="A10" s="36" t="inlineStr">
        <is>
          <t>Otros_no_operacionales</t>
        </is>
      </c>
      <c r="B10" s="52">
        <f>07B_NO_OPERACIONALES_MENSUAL!D18</f>
        <v/>
      </c>
      <c r="C10" s="52">
        <f>07B_NO_OPERACIONALES_MENSUAL!E18</f>
        <v/>
      </c>
      <c r="D10" s="52">
        <f>07B_NO_OPERACIONALES_MENSUAL!F18</f>
        <v/>
      </c>
      <c r="E10" s="52">
        <f>07B_NO_OPERACIONALES_MENSUAL!G18</f>
        <v/>
      </c>
      <c r="F10" s="52">
        <f>07B_NO_OPERACIONALES_MENSUAL!H18</f>
        <v/>
      </c>
      <c r="G10" s="52">
        <f>07B_NO_OPERACIONALES_MENSUAL!I18</f>
        <v/>
      </c>
      <c r="H10" s="52">
        <f>07B_NO_OPERACIONALES_MENSUAL!J18</f>
        <v/>
      </c>
      <c r="I10" s="52">
        <f>07B_NO_OPERACIONALES_MENSUAL!K18</f>
        <v/>
      </c>
      <c r="J10" s="52">
        <f>07B_NO_OPERACIONALES_MENSUAL!L18</f>
        <v/>
      </c>
      <c r="K10" s="52">
        <f>07B_NO_OPERACIONALES_MENSUAL!M18</f>
        <v/>
      </c>
      <c r="L10" s="52">
        <f>07B_NO_OPERACIONALES_MENSUAL!N18</f>
        <v/>
      </c>
      <c r="M10" s="52">
        <f>07B_NO_OPERACIONALES_MENSUAL!O18</f>
        <v/>
      </c>
      <c r="N10" s="52">
        <f>SUM(B10:M10)</f>
        <v/>
      </c>
    </row>
    <row r="11">
      <c r="A11" s="38" t="inlineStr">
        <is>
          <t>Resultado_antes_de_impuestos (aprox)</t>
        </is>
      </c>
      <c r="B11" s="57">
        <f>B9+B10</f>
        <v/>
      </c>
      <c r="C11" s="57">
        <f>C9+C10</f>
        <v/>
      </c>
      <c r="D11" s="57">
        <f>D9+D10</f>
        <v/>
      </c>
      <c r="E11" s="57">
        <f>E9+E10</f>
        <v/>
      </c>
      <c r="F11" s="57">
        <f>F9+F10</f>
        <v/>
      </c>
      <c r="G11" s="57">
        <f>G9+G10</f>
        <v/>
      </c>
      <c r="H11" s="57">
        <f>H9+H10</f>
        <v/>
      </c>
      <c r="I11" s="57">
        <f>I9+I10</f>
        <v/>
      </c>
      <c r="J11" s="57">
        <f>J9+J10</f>
        <v/>
      </c>
      <c r="K11" s="57">
        <f>K9+K10</f>
        <v/>
      </c>
      <c r="L11" s="57">
        <f>L9+L10</f>
        <v/>
      </c>
      <c r="M11" s="57">
        <f>M9+M10</f>
        <v/>
      </c>
      <c r="N11" s="57">
        <f>SUM(B11:M11)</f>
        <v/>
      </c>
    </row>
  </sheetData>
  <mergeCells count="1">
    <mergeCell ref="A1:N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M500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4" customWidth="1" min="4" max="4"/>
    <col width="16" customWidth="1" min="5" max="5"/>
    <col width="14" customWidth="1" min="6" max="6"/>
    <col width="16" customWidth="1" min="7" max="7"/>
    <col width="10" customWidth="1" min="8" max="8"/>
    <col width="10" customWidth="1" min="9" max="9"/>
    <col width="12" customWidth="1" min="10" max="10"/>
    <col width="16" customWidth="1" min="11" max="11"/>
    <col width="28" customWidth="1" min="12" max="12"/>
    <col width="24" customWidth="1" min="13" max="13"/>
  </cols>
  <sheetData>
    <row r="1">
      <c r="A1" s="7" t="inlineStr">
        <is>
          <t>HITOS DE FACTURACIÓN (Inputs) — editable en A:D, L:M</t>
        </is>
      </c>
    </row>
    <row r="3">
      <c r="A3" s="8" t="inlineStr">
        <is>
          <t>Proyecto_ID</t>
        </is>
      </c>
      <c r="B3" s="8" t="inlineStr">
        <is>
          <t>Hito_n</t>
        </is>
      </c>
      <c r="C3" s="8" t="inlineStr">
        <is>
          <t>Mes_facturacion</t>
        </is>
      </c>
      <c r="D3" s="8" t="inlineStr">
        <is>
          <t>Pct_facturacion</t>
        </is>
      </c>
      <c r="E3" s="8" t="inlineStr">
        <is>
          <t>Monto_neto_hito</t>
        </is>
      </c>
      <c r="F3" s="8" t="inlineStr">
        <is>
          <t>IVA_hito</t>
        </is>
      </c>
      <c r="G3" s="8" t="inlineStr">
        <is>
          <t>Monto_bruto_hito</t>
        </is>
      </c>
      <c r="H3" s="8" t="inlineStr">
        <is>
          <t>DSO_dias</t>
        </is>
      </c>
      <c r="I3" s="8" t="inlineStr">
        <is>
          <t>Shift_meses</t>
        </is>
      </c>
      <c r="J3" s="8" t="inlineStr">
        <is>
          <t>Mes_cobro</t>
        </is>
      </c>
      <c r="K3" s="8" t="inlineStr">
        <is>
          <t>Cobro_bruto_hito</t>
        </is>
      </c>
      <c r="L3" s="8" t="inlineStr">
        <is>
          <t>Glosa</t>
        </is>
      </c>
      <c r="M3" s="8" t="inlineStr">
        <is>
          <t>Notas</t>
        </is>
      </c>
    </row>
    <row r="4">
      <c r="A4" s="16" t="inlineStr">
        <is>
          <t>PRJ-001</t>
        </is>
      </c>
      <c r="B4" s="18" t="n">
        <v>1</v>
      </c>
      <c r="C4" s="51" t="n">
        <v>46142</v>
      </c>
      <c r="D4" s="43" t="n">
        <v>0.5</v>
      </c>
      <c r="E4" s="52">
        <f>D4*VLOOKUP(A4,04_PROYECTOS!$A:$N,5,FALSE)*(INDEX(02B_ESCENARIOS!$B$4:$D$11, MATCH("MULT_PRECIO", 02B_ESCENARIOS!$A$4:$A$11, 0), MATCH("Conservador", 02B_ESCENARIOS!$B$3:$D$3, 0)))*INDEX(02B_ESCENARIOS!$B$15:$D$19, MATCH(VLOOKUP(A4,04_PROYECTOS!$A:$N,9,FALSE), 02B_ESCENARIOS!$A$15:$A$19, 0), MATCH("Conservador", 02B_ESCENARIOS!$B$14:$D$14, 0))</f>
        <v/>
      </c>
      <c r="F4" s="52">
        <f>E4*VLOOKUP(A4,04_PROYECTOS!$A:$N,6,FALSE)</f>
        <v/>
      </c>
      <c r="G4" s="52">
        <f>E4+F4</f>
        <v/>
      </c>
      <c r="H4" s="19">
        <f>IF(VLOOKUP(A4,04_PROYECTOS!$A:$N,10,FALSE)="", IF(VLOOKUP(A4,04_PROYECTOS!$A:$N,4,FALSE)="Privado", INDEX(02B_ESCENARIOS!$B$4:$D$11, MATCH("DSO_PRIVADO_DEFAULT", 02B_ESCENARIOS!$A$4:$A$11, 0), MATCH("Conservador", 02B_ESCENARIOS!$B$3:$D$3, 0)), IF(VLOOKUP(A4,04_PROYECTOS!$A:$N,4,FALSE)="Publico_&lt;10M",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VLOOKUP(A4,04_PROYECTOS!$A:$N,10,FALSE))</f>
        <v/>
      </c>
      <c r="I4" s="19">
        <f>ROUNDUP(H4/30,0)</f>
        <v/>
      </c>
      <c r="J4" s="53">
        <f>EDATE(C4,I4)</f>
        <v/>
      </c>
      <c r="K4" s="52">
        <f>G4</f>
        <v/>
      </c>
      <c r="L4" s="16" t="inlineStr">
        <is>
          <t>Inicio 50%</t>
        </is>
      </c>
      <c r="M4" s="16" t="inlineStr"/>
    </row>
    <row r="5">
      <c r="A5" s="16" t="inlineStr">
        <is>
          <t>PRJ-001</t>
        </is>
      </c>
      <c r="B5" s="18" t="n">
        <v>2</v>
      </c>
      <c r="C5" s="51" t="n">
        <v>46142</v>
      </c>
      <c r="D5" s="43" t="n">
        <v>0.5</v>
      </c>
      <c r="E5" s="52">
        <f>D5*VLOOKUP(A5,04_PROYECTOS!$A:$N,5,FALSE)*(INDEX(02B_ESCENARIOS!$B$4:$D$11, MATCH("MULT_PRECIO", 02B_ESCENARIOS!$A$4:$A$11, 0), MATCH("Conservador", 02B_ESCENARIOS!$B$3:$D$3, 0)))*INDEX(02B_ESCENARIOS!$B$15:$D$19, MATCH(VLOOKUP(A5,04_PROYECTOS!$A:$N,9,FALSE), 02B_ESCENARIOS!$A$15:$A$19, 0), MATCH("Conservador", 02B_ESCENARIOS!$B$14:$D$14, 0))</f>
        <v/>
      </c>
      <c r="F5" s="52">
        <f>E5*VLOOKUP(A5,04_PROYECTOS!$A:$N,6,FALSE)</f>
        <v/>
      </c>
      <c r="G5" s="52">
        <f>E5+F5</f>
        <v/>
      </c>
      <c r="H5" s="19">
        <f>IF(VLOOKUP(A5,04_PROYECTOS!$A:$N,10,FALSE)="", IF(VLOOKUP(A5,04_PROYECTOS!$A:$N,4,FALSE)="Privado", INDEX(02B_ESCENARIOS!$B$4:$D$11, MATCH("DSO_PRIVADO_DEFAULT", 02B_ESCENARIOS!$A$4:$A$11, 0), MATCH("Conservador", 02B_ESCENARIOS!$B$3:$D$3, 0)), IF(VLOOKUP(A5,04_PROYECTOS!$A:$N,4,FALSE)="Publico_&lt;10M",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VLOOKUP(A5,04_PROYECTOS!$A:$N,10,FALSE))</f>
        <v/>
      </c>
      <c r="I5" s="19">
        <f>ROUNDUP(H5/30,0)</f>
        <v/>
      </c>
      <c r="J5" s="53">
        <f>EDATE(C5,I5)</f>
        <v/>
      </c>
      <c r="K5" s="52">
        <f>G5</f>
        <v/>
      </c>
      <c r="L5" s="16" t="inlineStr">
        <is>
          <t>Final 50%</t>
        </is>
      </c>
      <c r="M5" s="16" t="inlineStr"/>
    </row>
    <row r="6">
      <c r="A6" s="16" t="inlineStr">
        <is>
          <t>PRJ-002</t>
        </is>
      </c>
      <c r="B6" s="18" t="n">
        <v>1</v>
      </c>
      <c r="C6" s="51" t="n">
        <v>46081</v>
      </c>
      <c r="D6" s="43" t="n">
        <v>0.5</v>
      </c>
      <c r="E6" s="52">
        <f>D6*VLOOKUP(A6,04_PROYECTOS!$A:$N,5,FALSE)*(INDEX(02B_ESCENARIOS!$B$4:$D$11, MATCH("MULT_PRECIO", 02B_ESCENARIOS!$A$4:$A$11, 0), MATCH("Conservador", 02B_ESCENARIOS!$B$3:$D$3, 0)))*INDEX(02B_ESCENARIOS!$B$15:$D$19, MATCH(VLOOKUP(A6,04_PROYECTOS!$A:$N,9,FALSE), 02B_ESCENARIOS!$A$15:$A$19, 0), MATCH("Conservador", 02B_ESCENARIOS!$B$14:$D$14, 0))</f>
        <v/>
      </c>
      <c r="F6" s="52">
        <f>E6*VLOOKUP(A6,04_PROYECTOS!$A:$N,6,FALSE)</f>
        <v/>
      </c>
      <c r="G6" s="52">
        <f>E6+F6</f>
        <v/>
      </c>
      <c r="H6" s="19">
        <f>IF(VLOOKUP(A6,04_PROYECTOS!$A:$N,10,FALSE)="", IF(VLOOKUP(A6,04_PROYECTOS!$A:$N,4,FALSE)="Privado", INDEX(02B_ESCENARIOS!$B$4:$D$11, MATCH("DSO_PRIVADO_DEFAULT", 02B_ESCENARIOS!$A$4:$A$11, 0), MATCH("Conservador", 02B_ESCENARIOS!$B$3:$D$3, 0)), IF(VLOOKUP(A6,04_PROYECTOS!$A:$N,4,FALSE)="Publico_&lt;10M",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VLOOKUP(A6,04_PROYECTOS!$A:$N,10,FALSE))</f>
        <v/>
      </c>
      <c r="I6" s="19">
        <f>ROUNDUP(H6/30,0)</f>
        <v/>
      </c>
      <c r="J6" s="53">
        <f>EDATE(C6,I6)</f>
        <v/>
      </c>
      <c r="K6" s="52">
        <f>G6</f>
        <v/>
      </c>
      <c r="L6" s="16" t="inlineStr">
        <is>
          <t>Inicio 50%</t>
        </is>
      </c>
      <c r="M6" s="16" t="inlineStr"/>
    </row>
    <row r="7">
      <c r="A7" s="16" t="inlineStr">
        <is>
          <t>PRJ-002</t>
        </is>
      </c>
      <c r="B7" s="18" t="n">
        <v>2</v>
      </c>
      <c r="C7" s="51" t="n">
        <v>46081</v>
      </c>
      <c r="D7" s="43" t="n">
        <v>0.5</v>
      </c>
      <c r="E7" s="52">
        <f>D7*VLOOKUP(A7,04_PROYECTOS!$A:$N,5,FALSE)*(INDEX(02B_ESCENARIOS!$B$4:$D$11, MATCH("MULT_PRECIO", 02B_ESCENARIOS!$A$4:$A$11, 0), MATCH("Conservador", 02B_ESCENARIOS!$B$3:$D$3, 0)))*INDEX(02B_ESCENARIOS!$B$15:$D$19, MATCH(VLOOKUP(A7,04_PROYECTOS!$A:$N,9,FALSE), 02B_ESCENARIOS!$A$15:$A$19, 0), MATCH("Conservador", 02B_ESCENARIOS!$B$14:$D$14, 0))</f>
        <v/>
      </c>
      <c r="F7" s="52">
        <f>E7*VLOOKUP(A7,04_PROYECTOS!$A:$N,6,FALSE)</f>
        <v/>
      </c>
      <c r="G7" s="52">
        <f>E7+F7</f>
        <v/>
      </c>
      <c r="H7" s="19">
        <f>IF(VLOOKUP(A7,04_PROYECTOS!$A:$N,10,FALSE)="", IF(VLOOKUP(A7,04_PROYECTOS!$A:$N,4,FALSE)="Privado", INDEX(02B_ESCENARIOS!$B$4:$D$11, MATCH("DSO_PRIVADO_DEFAULT", 02B_ESCENARIOS!$A$4:$A$11, 0), MATCH("Conservador", 02B_ESCENARIOS!$B$3:$D$3, 0)), IF(VLOOKUP(A7,04_PROYECTOS!$A:$N,4,FALSE)="Publico_&lt;10M",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VLOOKUP(A7,04_PROYECTOS!$A:$N,10,FALSE))</f>
        <v/>
      </c>
      <c r="I7" s="19">
        <f>ROUNDUP(H7/30,0)</f>
        <v/>
      </c>
      <c r="J7" s="53">
        <f>EDATE(C7,I7)</f>
        <v/>
      </c>
      <c r="K7" s="52">
        <f>G7</f>
        <v/>
      </c>
      <c r="L7" s="16" t="inlineStr">
        <is>
          <t>Final 50%</t>
        </is>
      </c>
      <c r="M7" s="16" t="inlineStr"/>
    </row>
    <row r="8">
      <c r="A8" s="16" t="inlineStr">
        <is>
          <t>PRJ-003</t>
        </is>
      </c>
      <c r="B8" s="18" t="n">
        <v>1</v>
      </c>
      <c r="C8" s="51" t="n">
        <v>46081</v>
      </c>
      <c r="D8" s="43" t="n">
        <v>0.5</v>
      </c>
      <c r="E8" s="52">
        <f>D8*VLOOKUP(A8,04_PROYECTOS!$A:$N,5,FALSE)*(INDEX(02B_ESCENARIOS!$B$4:$D$11, MATCH("MULT_PRECIO", 02B_ESCENARIOS!$A$4:$A$11, 0), MATCH("Conservador", 02B_ESCENARIOS!$B$3:$D$3, 0)))*INDEX(02B_ESCENARIOS!$B$15:$D$19, MATCH(VLOOKUP(A8,04_PROYECTOS!$A:$N,9,FALSE), 02B_ESCENARIOS!$A$15:$A$19, 0), MATCH("Conservador", 02B_ESCENARIOS!$B$14:$D$14, 0))</f>
        <v/>
      </c>
      <c r="F8" s="52">
        <f>E8*VLOOKUP(A8,04_PROYECTOS!$A:$N,6,FALSE)</f>
        <v/>
      </c>
      <c r="G8" s="52">
        <f>E8+F8</f>
        <v/>
      </c>
      <c r="H8" s="19">
        <f>IF(VLOOKUP(A8,04_PROYECTOS!$A:$N,10,FALSE)="", IF(VLOOKUP(A8,04_PROYECTOS!$A:$N,4,FALSE)="Privado", INDEX(02B_ESCENARIOS!$B$4:$D$11, MATCH("DSO_PRIVADO_DEFAULT", 02B_ESCENARIOS!$A$4:$A$11, 0), MATCH("Conservador", 02B_ESCENARIOS!$B$3:$D$3, 0)), IF(VLOOKUP(A8,04_PROYECTOS!$A:$N,4,FALSE)="Publico_&lt;10M",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VLOOKUP(A8,04_PROYECTOS!$A:$N,10,FALSE))</f>
        <v/>
      </c>
      <c r="I8" s="19">
        <f>ROUNDUP(H8/30,0)</f>
        <v/>
      </c>
      <c r="J8" s="53">
        <f>EDATE(C8,I8)</f>
        <v/>
      </c>
      <c r="K8" s="52">
        <f>G8</f>
        <v/>
      </c>
      <c r="L8" s="16" t="inlineStr">
        <is>
          <t>Inicio 50%</t>
        </is>
      </c>
      <c r="M8" s="16" t="inlineStr"/>
    </row>
    <row r="9">
      <c r="A9" s="16" t="inlineStr">
        <is>
          <t>PRJ-003</t>
        </is>
      </c>
      <c r="B9" s="18" t="n">
        <v>2</v>
      </c>
      <c r="C9" s="51" t="n">
        <v>46081</v>
      </c>
      <c r="D9" s="43" t="n">
        <v>0.5</v>
      </c>
      <c r="E9" s="52">
        <f>D9*VLOOKUP(A9,04_PROYECTOS!$A:$N,5,FALSE)*(INDEX(02B_ESCENARIOS!$B$4:$D$11, MATCH("MULT_PRECIO", 02B_ESCENARIOS!$A$4:$A$11, 0), MATCH("Conservador", 02B_ESCENARIOS!$B$3:$D$3, 0)))*INDEX(02B_ESCENARIOS!$B$15:$D$19, MATCH(VLOOKUP(A9,04_PROYECTOS!$A:$N,9,FALSE), 02B_ESCENARIOS!$A$15:$A$19, 0), MATCH("Conservador", 02B_ESCENARIOS!$B$14:$D$14, 0))</f>
        <v/>
      </c>
      <c r="F9" s="52">
        <f>E9*VLOOKUP(A9,04_PROYECTOS!$A:$N,6,FALSE)</f>
        <v/>
      </c>
      <c r="G9" s="52">
        <f>E9+F9</f>
        <v/>
      </c>
      <c r="H9" s="19">
        <f>IF(VLOOKUP(A9,04_PROYECTOS!$A:$N,10,FALSE)="", IF(VLOOKUP(A9,04_PROYECTOS!$A:$N,4,FALSE)="Privado", INDEX(02B_ESCENARIOS!$B$4:$D$11, MATCH("DSO_PRIVADO_DEFAULT", 02B_ESCENARIOS!$A$4:$A$11, 0), MATCH("Conservador", 02B_ESCENARIOS!$B$3:$D$3, 0)), IF(VLOOKUP(A9,04_PROYECTOS!$A:$N,4,FALSE)="Publico_&lt;10M",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VLOOKUP(A9,04_PROYECTOS!$A:$N,10,FALSE))</f>
        <v/>
      </c>
      <c r="I9" s="19">
        <f>ROUNDUP(H9/30,0)</f>
        <v/>
      </c>
      <c r="J9" s="53">
        <f>EDATE(C9,I9)</f>
        <v/>
      </c>
      <c r="K9" s="52">
        <f>G9</f>
        <v/>
      </c>
      <c r="L9" s="16" t="inlineStr">
        <is>
          <t>Final 50%</t>
        </is>
      </c>
      <c r="M9" s="16" t="inlineStr"/>
    </row>
    <row r="10">
      <c r="A10" s="16" t="inlineStr">
        <is>
          <t>PRJ-004</t>
        </is>
      </c>
      <c r="B10" s="18" t="n">
        <v>1</v>
      </c>
      <c r="C10" s="51" t="n">
        <v>46081</v>
      </c>
      <c r="D10" s="43" t="n">
        <v>0.5</v>
      </c>
      <c r="E10" s="52">
        <f>D10*VLOOKUP(A10,04_PROYECTOS!$A:$N,5,FALSE)*(INDEX(02B_ESCENARIOS!$B$4:$D$11, MATCH("MULT_PRECIO", 02B_ESCENARIOS!$A$4:$A$11, 0), MATCH("Conservador", 02B_ESCENARIOS!$B$3:$D$3, 0)))*INDEX(02B_ESCENARIOS!$B$15:$D$19, MATCH(VLOOKUP(A10,04_PROYECTOS!$A:$N,9,FALSE), 02B_ESCENARIOS!$A$15:$A$19, 0), MATCH("Conservador", 02B_ESCENARIOS!$B$14:$D$14, 0))</f>
        <v/>
      </c>
      <c r="F10" s="52">
        <f>E10*VLOOKUP(A10,04_PROYECTOS!$A:$N,6,FALSE)</f>
        <v/>
      </c>
      <c r="G10" s="52">
        <f>E10+F10</f>
        <v/>
      </c>
      <c r="H10" s="19">
        <f>IF(VLOOKUP(A10,04_PROYECTOS!$A:$N,10,FALSE)="", IF(VLOOKUP(A10,04_PROYECTOS!$A:$N,4,FALSE)="Privado", INDEX(02B_ESCENARIOS!$B$4:$D$11, MATCH("DSO_PRIVADO_DEFAULT", 02B_ESCENARIOS!$A$4:$A$11, 0), MATCH("Conservador", 02B_ESCENARIOS!$B$3:$D$3, 0)), IF(VLOOKUP(A10,04_PROYECTOS!$A:$N,4,FALSE)="Publico_&lt;10M",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VLOOKUP(A10,04_PROYECTOS!$A:$N,10,FALSE))</f>
        <v/>
      </c>
      <c r="I10" s="19">
        <f>ROUNDUP(H10/30,0)</f>
        <v/>
      </c>
      <c r="J10" s="53">
        <f>EDATE(C10,I10)</f>
        <v/>
      </c>
      <c r="K10" s="52">
        <f>G10</f>
        <v/>
      </c>
      <c r="L10" s="16" t="inlineStr">
        <is>
          <t>Inicio 50%</t>
        </is>
      </c>
      <c r="M10" s="16" t="inlineStr"/>
    </row>
    <row r="11">
      <c r="A11" s="16" t="inlineStr">
        <is>
          <t>PRJ-004</t>
        </is>
      </c>
      <c r="B11" s="18" t="n">
        <v>2</v>
      </c>
      <c r="C11" s="51" t="n">
        <v>46142</v>
      </c>
      <c r="D11" s="43" t="n">
        <v>0.5</v>
      </c>
      <c r="E11" s="52">
        <f>D11*VLOOKUP(A11,04_PROYECTOS!$A:$N,5,FALSE)*(INDEX(02B_ESCENARIOS!$B$4:$D$11, MATCH("MULT_PRECIO", 02B_ESCENARIOS!$A$4:$A$11, 0), MATCH("Conservador", 02B_ESCENARIOS!$B$3:$D$3, 0)))*INDEX(02B_ESCENARIOS!$B$15:$D$19, MATCH(VLOOKUP(A11,04_PROYECTOS!$A:$N,9,FALSE), 02B_ESCENARIOS!$A$15:$A$19, 0), MATCH("Conservador", 02B_ESCENARIOS!$B$14:$D$14, 0))</f>
        <v/>
      </c>
      <c r="F11" s="52">
        <f>E11*VLOOKUP(A11,04_PROYECTOS!$A:$N,6,FALSE)</f>
        <v/>
      </c>
      <c r="G11" s="52">
        <f>E11+F11</f>
        <v/>
      </c>
      <c r="H11" s="19">
        <f>IF(VLOOKUP(A11,04_PROYECTOS!$A:$N,10,FALSE)="", IF(VLOOKUP(A11,04_PROYECTOS!$A:$N,4,FALSE)="Privado", INDEX(02B_ESCENARIOS!$B$4:$D$11, MATCH("DSO_PRIVADO_DEFAULT", 02B_ESCENARIOS!$A$4:$A$11, 0), MATCH("Conservador", 02B_ESCENARIOS!$B$3:$D$3, 0)), IF(VLOOKUP(A11,04_PROYECTOS!$A:$N,4,FALSE)="Publico_&lt;10M",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VLOOKUP(A11,04_PROYECTOS!$A:$N,10,FALSE))</f>
        <v/>
      </c>
      <c r="I11" s="19">
        <f>ROUNDUP(H11/30,0)</f>
        <v/>
      </c>
      <c r="J11" s="53">
        <f>EDATE(C11,I11)</f>
        <v/>
      </c>
      <c r="K11" s="52">
        <f>G11</f>
        <v/>
      </c>
      <c r="L11" s="16" t="inlineStr">
        <is>
          <t>Final 50%</t>
        </is>
      </c>
      <c r="M11" s="16" t="inlineStr"/>
    </row>
    <row r="12">
      <c r="A12" s="16" t="inlineStr">
        <is>
          <t>PRJ-005</t>
        </is>
      </c>
      <c r="B12" s="18" t="n">
        <v>1</v>
      </c>
      <c r="C12" s="51" t="n">
        <v>46081</v>
      </c>
      <c r="D12" s="43" t="n">
        <v>0.5</v>
      </c>
      <c r="E12" s="52">
        <f>D12*VLOOKUP(A12,04_PROYECTOS!$A:$N,5,FALSE)*(INDEX(02B_ESCENARIOS!$B$4:$D$11, MATCH("MULT_PRECIO", 02B_ESCENARIOS!$A$4:$A$11, 0), MATCH("Conservador", 02B_ESCENARIOS!$B$3:$D$3, 0)))*INDEX(02B_ESCENARIOS!$B$15:$D$19, MATCH(VLOOKUP(A12,04_PROYECTOS!$A:$N,9,FALSE), 02B_ESCENARIOS!$A$15:$A$19, 0), MATCH("Conservador", 02B_ESCENARIOS!$B$14:$D$14, 0))</f>
        <v/>
      </c>
      <c r="F12" s="52">
        <f>E12*VLOOKUP(A12,04_PROYECTOS!$A:$N,6,FALSE)</f>
        <v/>
      </c>
      <c r="G12" s="52">
        <f>E12+F12</f>
        <v/>
      </c>
      <c r="H12" s="19">
        <f>IF(VLOOKUP(A12,04_PROYECTOS!$A:$N,10,FALSE)="", IF(VLOOKUP(A12,04_PROYECTOS!$A:$N,4,FALSE)="Privado", INDEX(02B_ESCENARIOS!$B$4:$D$11, MATCH("DSO_PRIVADO_DEFAULT", 02B_ESCENARIOS!$A$4:$A$11, 0), MATCH("Conservador", 02B_ESCENARIOS!$B$3:$D$3, 0)), IF(VLOOKUP(A12,04_PROYECTOS!$A:$N,4,FALSE)="Publico_&lt;10M",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VLOOKUP(A12,04_PROYECTOS!$A:$N,10,FALSE))</f>
        <v/>
      </c>
      <c r="I12" s="19">
        <f>ROUNDUP(H12/30,0)</f>
        <v/>
      </c>
      <c r="J12" s="53">
        <f>EDATE(C12,I12)</f>
        <v/>
      </c>
      <c r="K12" s="52">
        <f>G12</f>
        <v/>
      </c>
      <c r="L12" s="16" t="inlineStr">
        <is>
          <t>Inicio 50%</t>
        </is>
      </c>
      <c r="M12" s="16" t="inlineStr"/>
    </row>
    <row r="13">
      <c r="A13" s="16" t="inlineStr">
        <is>
          <t>PRJ-005</t>
        </is>
      </c>
      <c r="B13" s="18" t="n">
        <v>2</v>
      </c>
      <c r="C13" s="51" t="n">
        <v>46081</v>
      </c>
      <c r="D13" s="43" t="n">
        <v>0.5</v>
      </c>
      <c r="E13" s="52">
        <f>D13*VLOOKUP(A13,04_PROYECTOS!$A:$N,5,FALSE)*(INDEX(02B_ESCENARIOS!$B$4:$D$11, MATCH("MULT_PRECIO", 02B_ESCENARIOS!$A$4:$A$11, 0), MATCH("Conservador", 02B_ESCENARIOS!$B$3:$D$3, 0)))*INDEX(02B_ESCENARIOS!$B$15:$D$19, MATCH(VLOOKUP(A13,04_PROYECTOS!$A:$N,9,FALSE), 02B_ESCENARIOS!$A$15:$A$19, 0), MATCH("Conservador", 02B_ESCENARIOS!$B$14:$D$14, 0))</f>
        <v/>
      </c>
      <c r="F13" s="52">
        <f>E13*VLOOKUP(A13,04_PROYECTOS!$A:$N,6,FALSE)</f>
        <v/>
      </c>
      <c r="G13" s="52">
        <f>E13+F13</f>
        <v/>
      </c>
      <c r="H13" s="19">
        <f>IF(VLOOKUP(A13,04_PROYECTOS!$A:$N,10,FALSE)="", IF(VLOOKUP(A13,04_PROYECTOS!$A:$N,4,FALSE)="Privado", INDEX(02B_ESCENARIOS!$B$4:$D$11, MATCH("DSO_PRIVADO_DEFAULT", 02B_ESCENARIOS!$A$4:$A$11, 0), MATCH("Conservador", 02B_ESCENARIOS!$B$3:$D$3, 0)), IF(VLOOKUP(A13,04_PROYECTOS!$A:$N,4,FALSE)="Publico_&lt;10M",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VLOOKUP(A13,04_PROYECTOS!$A:$N,10,FALSE))</f>
        <v/>
      </c>
      <c r="I13" s="19">
        <f>ROUNDUP(H13/30,0)</f>
        <v/>
      </c>
      <c r="J13" s="53">
        <f>EDATE(C13,I13)</f>
        <v/>
      </c>
      <c r="K13" s="52">
        <f>G13</f>
        <v/>
      </c>
      <c r="L13" s="16" t="inlineStr">
        <is>
          <t>Final 50%</t>
        </is>
      </c>
      <c r="M13" s="16" t="inlineStr"/>
    </row>
    <row r="14">
      <c r="A14" s="16" t="inlineStr">
        <is>
          <t>PRJ-006</t>
        </is>
      </c>
      <c r="B14" s="18" t="n">
        <v>1</v>
      </c>
      <c r="C14" s="51" t="n">
        <v>46081</v>
      </c>
      <c r="D14" s="43" t="n">
        <v>1</v>
      </c>
      <c r="E14" s="52">
        <f>D14*VLOOKUP(A14,04_PROYECTOS!$A:$N,5,FALSE)*(INDEX(02B_ESCENARIOS!$B$4:$D$11, MATCH("MULT_PRECIO", 02B_ESCENARIOS!$A$4:$A$11, 0), MATCH("Conservador", 02B_ESCENARIOS!$B$3:$D$3, 0)))*INDEX(02B_ESCENARIOS!$B$15:$D$19, MATCH(VLOOKUP(A14,04_PROYECTOS!$A:$N,9,FALSE), 02B_ESCENARIOS!$A$15:$A$19, 0), MATCH("Conservador", 02B_ESCENARIOS!$B$14:$D$14, 0))</f>
        <v/>
      </c>
      <c r="F14" s="52">
        <f>E14*VLOOKUP(A14,04_PROYECTOS!$A:$N,6,FALSE)</f>
        <v/>
      </c>
      <c r="G14" s="52">
        <f>E14+F14</f>
        <v/>
      </c>
      <c r="H14" s="19">
        <f>IF(VLOOKUP(A14,04_PROYECTOS!$A:$N,10,FALSE)="", IF(VLOOKUP(A14,04_PROYECTOS!$A:$N,4,FALSE)="Privado", INDEX(02B_ESCENARIOS!$B$4:$D$11, MATCH("DSO_PRIVADO_DEFAULT", 02B_ESCENARIOS!$A$4:$A$11, 0), MATCH("Conservador", 02B_ESCENARIOS!$B$3:$D$3, 0)), IF(VLOOKUP(A14,04_PROYECTOS!$A:$N,4,FALSE)="Publico_&lt;10M",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VLOOKUP(A14,04_PROYECTOS!$A:$N,10,FALSE))</f>
        <v/>
      </c>
      <c r="I14" s="19">
        <f>ROUNDUP(H14/30,0)</f>
        <v/>
      </c>
      <c r="J14" s="53">
        <f>EDATE(C14,I14)</f>
        <v/>
      </c>
      <c r="K14" s="52">
        <f>G14</f>
        <v/>
      </c>
      <c r="L14" s="16" t="inlineStr">
        <is>
          <t>Pago final público &lt;10M</t>
        </is>
      </c>
      <c r="M14" s="16" t="inlineStr"/>
    </row>
    <row r="15">
      <c r="A15" s="16" t="inlineStr">
        <is>
          <t>PRJ-007</t>
        </is>
      </c>
      <c r="B15" s="18" t="n">
        <v>1</v>
      </c>
      <c r="C15" s="51" t="n">
        <v>46112</v>
      </c>
      <c r="D15" s="43" t="n">
        <v>0.5</v>
      </c>
      <c r="E15" s="52">
        <f>D15*VLOOKUP(A15,04_PROYECTOS!$A:$N,5,FALSE)*(INDEX(02B_ESCENARIOS!$B$4:$D$11, MATCH("MULT_PRECIO", 02B_ESCENARIOS!$A$4:$A$11, 0), MATCH("Conservador", 02B_ESCENARIOS!$B$3:$D$3, 0)))*INDEX(02B_ESCENARIOS!$B$15:$D$19, MATCH(VLOOKUP(A15,04_PROYECTOS!$A:$N,9,FALSE), 02B_ESCENARIOS!$A$15:$A$19, 0), MATCH("Conservador", 02B_ESCENARIOS!$B$14:$D$14, 0))</f>
        <v/>
      </c>
      <c r="F15" s="52">
        <f>E15*VLOOKUP(A15,04_PROYECTOS!$A:$N,6,FALSE)</f>
        <v/>
      </c>
      <c r="G15" s="52">
        <f>E15+F15</f>
        <v/>
      </c>
      <c r="H15" s="19">
        <f>IF(VLOOKUP(A15,04_PROYECTOS!$A:$N,10,FALSE)="", IF(VLOOKUP(A15,04_PROYECTOS!$A:$N,4,FALSE)="Privado", INDEX(02B_ESCENARIOS!$B$4:$D$11, MATCH("DSO_PRIVADO_DEFAULT", 02B_ESCENARIOS!$A$4:$A$11, 0), MATCH("Conservador", 02B_ESCENARIOS!$B$3:$D$3, 0)), IF(VLOOKUP(A15,04_PROYECTOS!$A:$N,4,FALSE)="Publico_&lt;10M",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VLOOKUP(A15,04_PROYECTOS!$A:$N,10,FALSE))</f>
        <v/>
      </c>
      <c r="I15" s="19">
        <f>ROUNDUP(H15/30,0)</f>
        <v/>
      </c>
      <c r="J15" s="53">
        <f>EDATE(C15,I15)</f>
        <v/>
      </c>
      <c r="K15" s="52">
        <f>G15</f>
        <v/>
      </c>
      <c r="L15" s="16" t="inlineStr">
        <is>
          <t>Inicio 50%</t>
        </is>
      </c>
      <c r="M15" s="16" t="inlineStr"/>
    </row>
    <row r="16">
      <c r="A16" s="16" t="inlineStr">
        <is>
          <t>PRJ-007</t>
        </is>
      </c>
      <c r="B16" s="18" t="n">
        <v>2</v>
      </c>
      <c r="C16" s="51" t="n">
        <v>46112</v>
      </c>
      <c r="D16" s="43" t="n">
        <v>0.5</v>
      </c>
      <c r="E16" s="52">
        <f>D16*VLOOKUP(A16,04_PROYECTOS!$A:$N,5,FALSE)*(INDEX(02B_ESCENARIOS!$B$4:$D$11, MATCH("MULT_PRECIO", 02B_ESCENARIOS!$A$4:$A$11, 0), MATCH("Conservador", 02B_ESCENARIOS!$B$3:$D$3, 0)))*INDEX(02B_ESCENARIOS!$B$15:$D$19, MATCH(VLOOKUP(A16,04_PROYECTOS!$A:$N,9,FALSE), 02B_ESCENARIOS!$A$15:$A$19, 0), MATCH("Conservador", 02B_ESCENARIOS!$B$14:$D$14, 0))</f>
        <v/>
      </c>
      <c r="F16" s="52">
        <f>E16*VLOOKUP(A16,04_PROYECTOS!$A:$N,6,FALSE)</f>
        <v/>
      </c>
      <c r="G16" s="52">
        <f>E16+F16</f>
        <v/>
      </c>
      <c r="H16" s="19">
        <f>IF(VLOOKUP(A16,04_PROYECTOS!$A:$N,10,FALSE)="", IF(VLOOKUP(A16,04_PROYECTOS!$A:$N,4,FALSE)="Privado", INDEX(02B_ESCENARIOS!$B$4:$D$11, MATCH("DSO_PRIVADO_DEFAULT", 02B_ESCENARIOS!$A$4:$A$11, 0), MATCH("Conservador", 02B_ESCENARIOS!$B$3:$D$3, 0)), IF(VLOOKUP(A16,04_PROYECTOS!$A:$N,4,FALSE)="Publico_&lt;10M",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VLOOKUP(A16,04_PROYECTOS!$A:$N,10,FALSE))</f>
        <v/>
      </c>
      <c r="I16" s="19">
        <f>ROUNDUP(H16/30,0)</f>
        <v/>
      </c>
      <c r="J16" s="53">
        <f>EDATE(C16,I16)</f>
        <v/>
      </c>
      <c r="K16" s="52">
        <f>G16</f>
        <v/>
      </c>
      <c r="L16" s="16" t="inlineStr">
        <is>
          <t>Final 50%</t>
        </is>
      </c>
      <c r="M16" s="16" t="inlineStr"/>
    </row>
    <row r="17">
      <c r="A17" s="16" t="inlineStr">
        <is>
          <t>PRJ-008</t>
        </is>
      </c>
      <c r="B17" s="18" t="n">
        <v>1</v>
      </c>
      <c r="C17" s="51" t="n">
        <v>46081</v>
      </c>
      <c r="D17" s="43" t="n">
        <v>1</v>
      </c>
      <c r="E17" s="52">
        <f>D17*VLOOKUP(A17,04_PROYECTOS!$A:$N,5,FALSE)*(INDEX(02B_ESCENARIOS!$B$4:$D$11, MATCH("MULT_PRECIO", 02B_ESCENARIOS!$A$4:$A$11, 0), MATCH("Conservador", 02B_ESCENARIOS!$B$3:$D$3, 0)))*INDEX(02B_ESCENARIOS!$B$15:$D$19, MATCH(VLOOKUP(A17,04_PROYECTOS!$A:$N,9,FALSE), 02B_ESCENARIOS!$A$15:$A$19, 0), MATCH("Conservador", 02B_ESCENARIOS!$B$14:$D$14, 0))</f>
        <v/>
      </c>
      <c r="F17" s="52">
        <f>E17*VLOOKUP(A17,04_PROYECTOS!$A:$N,6,FALSE)</f>
        <v/>
      </c>
      <c r="G17" s="52">
        <f>E17+F17</f>
        <v/>
      </c>
      <c r="H17" s="19">
        <f>IF(VLOOKUP(A17,04_PROYECTOS!$A:$N,10,FALSE)="", IF(VLOOKUP(A17,04_PROYECTOS!$A:$N,4,FALSE)="Privado", INDEX(02B_ESCENARIOS!$B$4:$D$11, MATCH("DSO_PRIVADO_DEFAULT", 02B_ESCENARIOS!$A$4:$A$11, 0), MATCH("Conservador", 02B_ESCENARIOS!$B$3:$D$3, 0)), IF(VLOOKUP(A17,04_PROYECTOS!$A:$N,4,FALSE)="Publico_&lt;10M",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VLOOKUP(A17,04_PROYECTOS!$A:$N,10,FALSE))</f>
        <v/>
      </c>
      <c r="I17" s="19">
        <f>ROUNDUP(H17/30,0)</f>
        <v/>
      </c>
      <c r="J17" s="53">
        <f>EDATE(C17,I17)</f>
        <v/>
      </c>
      <c r="K17" s="52">
        <f>G17</f>
        <v/>
      </c>
      <c r="L17" s="16" t="inlineStr">
        <is>
          <t>Pago final público &lt;10M</t>
        </is>
      </c>
      <c r="M17" s="16" t="inlineStr"/>
    </row>
    <row r="18">
      <c r="A18" s="16" t="inlineStr">
        <is>
          <t>PRJ-009</t>
        </is>
      </c>
      <c r="B18" s="18" t="n">
        <v>1</v>
      </c>
      <c r="C18" s="51" t="n">
        <v>46081</v>
      </c>
      <c r="D18" s="43" t="n">
        <v>1</v>
      </c>
      <c r="E18" s="52">
        <f>D18*VLOOKUP(A18,04_PROYECTOS!$A:$N,5,FALSE)*(INDEX(02B_ESCENARIOS!$B$4:$D$11, MATCH("MULT_PRECIO", 02B_ESCENARIOS!$A$4:$A$11, 0), MATCH("Conservador", 02B_ESCENARIOS!$B$3:$D$3, 0)))*INDEX(02B_ESCENARIOS!$B$15:$D$19, MATCH(VLOOKUP(A18,04_PROYECTOS!$A:$N,9,FALSE), 02B_ESCENARIOS!$A$15:$A$19, 0), MATCH("Conservador", 02B_ESCENARIOS!$B$14:$D$14, 0))</f>
        <v/>
      </c>
      <c r="F18" s="52">
        <f>E18*VLOOKUP(A18,04_PROYECTOS!$A:$N,6,FALSE)</f>
        <v/>
      </c>
      <c r="G18" s="52">
        <f>E18+F18</f>
        <v/>
      </c>
      <c r="H18" s="19">
        <f>IF(VLOOKUP(A18,04_PROYECTOS!$A:$N,10,FALSE)="", IF(VLOOKUP(A18,04_PROYECTOS!$A:$N,4,FALSE)="Privado", INDEX(02B_ESCENARIOS!$B$4:$D$11, MATCH("DSO_PRIVADO_DEFAULT", 02B_ESCENARIOS!$A$4:$A$11, 0), MATCH("Conservador", 02B_ESCENARIOS!$B$3:$D$3, 0)), IF(VLOOKUP(A18,04_PROYECTOS!$A:$N,4,FALSE)="Publico_&lt;10M",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VLOOKUP(A18,04_PROYECTOS!$A:$N,10,FALSE))</f>
        <v/>
      </c>
      <c r="I18" s="19">
        <f>ROUNDUP(H18/30,0)</f>
        <v/>
      </c>
      <c r="J18" s="53">
        <f>EDATE(C18,I18)</f>
        <v/>
      </c>
      <c r="K18" s="52">
        <f>G18</f>
        <v/>
      </c>
      <c r="L18" s="16" t="inlineStr">
        <is>
          <t>Pago final público &lt;10M</t>
        </is>
      </c>
      <c r="M18" s="16" t="inlineStr"/>
    </row>
    <row r="19">
      <c r="A19" s="16" t="inlineStr">
        <is>
          <t>PRJ-010</t>
        </is>
      </c>
      <c r="B19" s="18" t="n">
        <v>1</v>
      </c>
      <c r="C19" s="51" t="n">
        <v>46053</v>
      </c>
      <c r="D19" s="43" t="n">
        <v>0.5</v>
      </c>
      <c r="E19" s="52">
        <f>D19*VLOOKUP(A19,04_PROYECTOS!$A:$N,5,FALSE)*(INDEX(02B_ESCENARIOS!$B$4:$D$11, MATCH("MULT_PRECIO", 02B_ESCENARIOS!$A$4:$A$11, 0), MATCH("Conservador", 02B_ESCENARIOS!$B$3:$D$3, 0)))*INDEX(02B_ESCENARIOS!$B$15:$D$19, MATCH(VLOOKUP(A19,04_PROYECTOS!$A:$N,9,FALSE), 02B_ESCENARIOS!$A$15:$A$19, 0), MATCH("Conservador", 02B_ESCENARIOS!$B$14:$D$14, 0))</f>
        <v/>
      </c>
      <c r="F19" s="52">
        <f>E19*VLOOKUP(A19,04_PROYECTOS!$A:$N,6,FALSE)</f>
        <v/>
      </c>
      <c r="G19" s="52">
        <f>E19+F19</f>
        <v/>
      </c>
      <c r="H19" s="19">
        <f>IF(VLOOKUP(A19,04_PROYECTOS!$A:$N,10,FALSE)="", IF(VLOOKUP(A19,04_PROYECTOS!$A:$N,4,FALSE)="Privado", INDEX(02B_ESCENARIOS!$B$4:$D$11, MATCH("DSO_PRIVADO_DEFAULT", 02B_ESCENARIOS!$A$4:$A$11, 0), MATCH("Conservador", 02B_ESCENARIOS!$B$3:$D$3, 0)), IF(VLOOKUP(A19,04_PROYECTOS!$A:$N,4,FALSE)="Publico_&lt;10M",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VLOOKUP(A19,04_PROYECTOS!$A:$N,10,FALSE))</f>
        <v/>
      </c>
      <c r="I19" s="19">
        <f>ROUNDUP(H19/30,0)</f>
        <v/>
      </c>
      <c r="J19" s="53">
        <f>EDATE(C19,I19)</f>
        <v/>
      </c>
      <c r="K19" s="52">
        <f>G19</f>
        <v/>
      </c>
      <c r="L19" s="16" t="inlineStr">
        <is>
          <t>Inicio 50%</t>
        </is>
      </c>
      <c r="M19" s="16" t="inlineStr"/>
    </row>
    <row r="20">
      <c r="A20" s="16" t="inlineStr">
        <is>
          <t>PRJ-010</t>
        </is>
      </c>
      <c r="B20" s="18" t="n">
        <v>2</v>
      </c>
      <c r="C20" s="51" t="n">
        <v>46053</v>
      </c>
      <c r="D20" s="43" t="n">
        <v>0.5</v>
      </c>
      <c r="E20" s="52">
        <f>D20*VLOOKUP(A20,04_PROYECTOS!$A:$N,5,FALSE)*(INDEX(02B_ESCENARIOS!$B$4:$D$11, MATCH("MULT_PRECIO", 02B_ESCENARIOS!$A$4:$A$11, 0), MATCH("Conservador", 02B_ESCENARIOS!$B$3:$D$3, 0)))*INDEX(02B_ESCENARIOS!$B$15:$D$19, MATCH(VLOOKUP(A20,04_PROYECTOS!$A:$N,9,FALSE), 02B_ESCENARIOS!$A$15:$A$19, 0), MATCH("Conservador", 02B_ESCENARIOS!$B$14:$D$14, 0))</f>
        <v/>
      </c>
      <c r="F20" s="52">
        <f>E20*VLOOKUP(A20,04_PROYECTOS!$A:$N,6,FALSE)</f>
        <v/>
      </c>
      <c r="G20" s="52">
        <f>E20+F20</f>
        <v/>
      </c>
      <c r="H20" s="19">
        <f>IF(VLOOKUP(A20,04_PROYECTOS!$A:$N,10,FALSE)="", IF(VLOOKUP(A20,04_PROYECTOS!$A:$N,4,FALSE)="Privado", INDEX(02B_ESCENARIOS!$B$4:$D$11, MATCH("DSO_PRIVADO_DEFAULT", 02B_ESCENARIOS!$A$4:$A$11, 0), MATCH("Conservador", 02B_ESCENARIOS!$B$3:$D$3, 0)), IF(VLOOKUP(A20,04_PROYECTOS!$A:$N,4,FALSE)="Publico_&lt;10M",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VLOOKUP(A20,04_PROYECTOS!$A:$N,10,FALSE))</f>
        <v/>
      </c>
      <c r="I20" s="19">
        <f>ROUNDUP(H20/30,0)</f>
        <v/>
      </c>
      <c r="J20" s="53">
        <f>EDATE(C20,I20)</f>
        <v/>
      </c>
      <c r="K20" s="52">
        <f>G20</f>
        <v/>
      </c>
      <c r="L20" s="16" t="inlineStr">
        <is>
          <t>Final 50%</t>
        </is>
      </c>
      <c r="M20" s="16" t="inlineStr"/>
    </row>
    <row r="21">
      <c r="A21" s="16" t="inlineStr">
        <is>
          <t>PRJ-011</t>
        </is>
      </c>
      <c r="B21" s="18" t="n">
        <v>1</v>
      </c>
      <c r="C21" s="51" t="n">
        <v>46112</v>
      </c>
      <c r="D21" s="43" t="n">
        <v>1</v>
      </c>
      <c r="E21" s="52">
        <f>D21*VLOOKUP(A21,04_PROYECTOS!$A:$N,5,FALSE)*(INDEX(02B_ESCENARIOS!$B$4:$D$11, MATCH("MULT_PRECIO", 02B_ESCENARIOS!$A$4:$A$11, 0), MATCH("Conservador", 02B_ESCENARIOS!$B$3:$D$3, 0)))*INDEX(02B_ESCENARIOS!$B$15:$D$19, MATCH(VLOOKUP(A21,04_PROYECTOS!$A:$N,9,FALSE), 02B_ESCENARIOS!$A$15:$A$19, 0), MATCH("Conservador", 02B_ESCENARIOS!$B$14:$D$14, 0))</f>
        <v/>
      </c>
      <c r="F21" s="52">
        <f>E21*VLOOKUP(A21,04_PROYECTOS!$A:$N,6,FALSE)</f>
        <v/>
      </c>
      <c r="G21" s="52">
        <f>E21+F21</f>
        <v/>
      </c>
      <c r="H21" s="19">
        <f>IF(VLOOKUP(A21,04_PROYECTOS!$A:$N,10,FALSE)="", IF(VLOOKUP(A21,04_PROYECTOS!$A:$N,4,FALSE)="Privado", INDEX(02B_ESCENARIOS!$B$4:$D$11, MATCH("DSO_PRIVADO_DEFAULT", 02B_ESCENARIOS!$A$4:$A$11, 0), MATCH("Conservador", 02B_ESCENARIOS!$B$3:$D$3, 0)), IF(VLOOKUP(A21,04_PROYECTOS!$A:$N,4,FALSE)="Publico_&lt;10M",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VLOOKUP(A21,04_PROYECTOS!$A:$N,10,FALSE))</f>
        <v/>
      </c>
      <c r="I21" s="19">
        <f>ROUNDUP(H21/30,0)</f>
        <v/>
      </c>
      <c r="J21" s="53">
        <f>EDATE(C21,I21)</f>
        <v/>
      </c>
      <c r="K21" s="52">
        <f>G21</f>
        <v/>
      </c>
      <c r="L21" s="16" t="inlineStr">
        <is>
          <t>Pago final público &lt;10M</t>
        </is>
      </c>
      <c r="M21" s="16" t="inlineStr"/>
    </row>
    <row r="22">
      <c r="A22" s="16" t="inlineStr">
        <is>
          <t>PRJ-012</t>
        </is>
      </c>
      <c r="B22" s="18" t="n">
        <v>1</v>
      </c>
      <c r="C22" s="51" t="n">
        <v>46053</v>
      </c>
      <c r="D22" s="43" t="n">
        <v>1</v>
      </c>
      <c r="E22" s="52">
        <f>D22*VLOOKUP(A22,04_PROYECTOS!$A:$N,5,FALSE)*(INDEX(02B_ESCENARIOS!$B$4:$D$11, MATCH("MULT_PRECIO", 02B_ESCENARIOS!$A$4:$A$11, 0), MATCH("Conservador", 02B_ESCENARIOS!$B$3:$D$3, 0)))*INDEX(02B_ESCENARIOS!$B$15:$D$19, MATCH(VLOOKUP(A22,04_PROYECTOS!$A:$N,9,FALSE), 02B_ESCENARIOS!$A$15:$A$19, 0), MATCH("Conservador", 02B_ESCENARIOS!$B$14:$D$14, 0))</f>
        <v/>
      </c>
      <c r="F22" s="52">
        <f>E22*VLOOKUP(A22,04_PROYECTOS!$A:$N,6,FALSE)</f>
        <v/>
      </c>
      <c r="G22" s="52">
        <f>E22+F22</f>
        <v/>
      </c>
      <c r="H22" s="19">
        <f>IF(VLOOKUP(A22,04_PROYECTOS!$A:$N,10,FALSE)="", IF(VLOOKUP(A22,04_PROYECTOS!$A:$N,4,FALSE)="Privado", INDEX(02B_ESCENARIOS!$B$4:$D$11, MATCH("DSO_PRIVADO_DEFAULT", 02B_ESCENARIOS!$A$4:$A$11, 0), MATCH("Conservador", 02B_ESCENARIOS!$B$3:$D$3, 0)), IF(VLOOKUP(A22,04_PROYECTOS!$A:$N,4,FALSE)="Publico_&lt;10M",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VLOOKUP(A22,04_PROYECTOS!$A:$N,10,FALSE))</f>
        <v/>
      </c>
      <c r="I22" s="19">
        <f>ROUNDUP(H22/30,0)</f>
        <v/>
      </c>
      <c r="J22" s="53">
        <f>EDATE(C22,I22)</f>
        <v/>
      </c>
      <c r="K22" s="52">
        <f>G22</f>
        <v/>
      </c>
      <c r="L22" s="16" t="inlineStr">
        <is>
          <t>Pago final público &lt;10M</t>
        </is>
      </c>
      <c r="M22" s="16" t="inlineStr"/>
    </row>
    <row r="23">
      <c r="A23" s="16" t="inlineStr">
        <is>
          <t>PRJ-013</t>
        </is>
      </c>
      <c r="B23" s="18" t="n">
        <v>1</v>
      </c>
      <c r="C23" s="51" t="n">
        <v>46081</v>
      </c>
      <c r="D23" s="43" t="n">
        <v>0.5</v>
      </c>
      <c r="E23" s="52">
        <f>D23*VLOOKUP(A23,04_PROYECTOS!$A:$N,5,FALSE)*(INDEX(02B_ESCENARIOS!$B$4:$D$11, MATCH("MULT_PRECIO", 02B_ESCENARIOS!$A$4:$A$11, 0), MATCH("Conservador", 02B_ESCENARIOS!$B$3:$D$3, 0)))*INDEX(02B_ESCENARIOS!$B$15:$D$19, MATCH(VLOOKUP(A23,04_PROYECTOS!$A:$N,9,FALSE), 02B_ESCENARIOS!$A$15:$A$19, 0), MATCH("Conservador", 02B_ESCENARIOS!$B$14:$D$14, 0))</f>
        <v/>
      </c>
      <c r="F23" s="52">
        <f>E23*VLOOKUP(A23,04_PROYECTOS!$A:$N,6,FALSE)</f>
        <v/>
      </c>
      <c r="G23" s="52">
        <f>E23+F23</f>
        <v/>
      </c>
      <c r="H23" s="19">
        <f>IF(VLOOKUP(A23,04_PROYECTOS!$A:$N,10,FALSE)="", IF(VLOOKUP(A23,04_PROYECTOS!$A:$N,4,FALSE)="Privado", INDEX(02B_ESCENARIOS!$B$4:$D$11, MATCH("DSO_PRIVADO_DEFAULT", 02B_ESCENARIOS!$A$4:$A$11, 0), MATCH("Conservador", 02B_ESCENARIOS!$B$3:$D$3, 0)), IF(VLOOKUP(A23,04_PROYECTOS!$A:$N,4,FALSE)="Publico_&lt;10M",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VLOOKUP(A23,04_PROYECTOS!$A:$N,10,FALSE))</f>
        <v/>
      </c>
      <c r="I23" s="19">
        <f>ROUNDUP(H23/30,0)</f>
        <v/>
      </c>
      <c r="J23" s="53">
        <f>EDATE(C23,I23)</f>
        <v/>
      </c>
      <c r="K23" s="52">
        <f>G23</f>
        <v/>
      </c>
      <c r="L23" s="16" t="inlineStr">
        <is>
          <t>Inicio 50%</t>
        </is>
      </c>
      <c r="M23" s="16" t="inlineStr"/>
    </row>
    <row r="24">
      <c r="A24" s="16" t="inlineStr">
        <is>
          <t>PRJ-013</t>
        </is>
      </c>
      <c r="B24" s="18" t="n">
        <v>2</v>
      </c>
      <c r="C24" s="51" t="n">
        <v>46173</v>
      </c>
      <c r="D24" s="43" t="n">
        <v>0.5</v>
      </c>
      <c r="E24" s="52">
        <f>D24*VLOOKUP(A24,04_PROYECTOS!$A:$N,5,FALSE)*(INDEX(02B_ESCENARIOS!$B$4:$D$11, MATCH("MULT_PRECIO", 02B_ESCENARIOS!$A$4:$A$11, 0), MATCH("Conservador", 02B_ESCENARIOS!$B$3:$D$3, 0)))*INDEX(02B_ESCENARIOS!$B$15:$D$19, MATCH(VLOOKUP(A24,04_PROYECTOS!$A:$N,9,FALSE), 02B_ESCENARIOS!$A$15:$A$19, 0), MATCH("Conservador", 02B_ESCENARIOS!$B$14:$D$14, 0))</f>
        <v/>
      </c>
      <c r="F24" s="52">
        <f>E24*VLOOKUP(A24,04_PROYECTOS!$A:$N,6,FALSE)</f>
        <v/>
      </c>
      <c r="G24" s="52">
        <f>E24+F24</f>
        <v/>
      </c>
      <c r="H24" s="19">
        <f>IF(VLOOKUP(A24,04_PROYECTOS!$A:$N,10,FALSE)="", IF(VLOOKUP(A24,04_PROYECTOS!$A:$N,4,FALSE)="Privado", INDEX(02B_ESCENARIOS!$B$4:$D$11, MATCH("DSO_PRIVADO_DEFAULT", 02B_ESCENARIOS!$A$4:$A$11, 0), MATCH("Conservador", 02B_ESCENARIOS!$B$3:$D$3, 0)), IF(VLOOKUP(A24,04_PROYECTOS!$A:$N,4,FALSE)="Publico_&lt;10M",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VLOOKUP(A24,04_PROYECTOS!$A:$N,10,FALSE))</f>
        <v/>
      </c>
      <c r="I24" s="19">
        <f>ROUNDUP(H24/30,0)</f>
        <v/>
      </c>
      <c r="J24" s="53">
        <f>EDATE(C24,I24)</f>
        <v/>
      </c>
      <c r="K24" s="52">
        <f>G24</f>
        <v/>
      </c>
      <c r="L24" s="16" t="inlineStr">
        <is>
          <t>Final 50%</t>
        </is>
      </c>
      <c r="M24" s="16" t="inlineStr"/>
    </row>
    <row r="25">
      <c r="A25" s="16" t="inlineStr">
        <is>
          <t>PRJ-014</t>
        </is>
      </c>
      <c r="B25" s="18" t="n">
        <v>1</v>
      </c>
      <c r="C25" s="51" t="n">
        <v>46081</v>
      </c>
      <c r="D25" s="43" t="n">
        <v>0.5</v>
      </c>
      <c r="E25" s="52">
        <f>D25*VLOOKUP(A25,04_PROYECTOS!$A:$N,5,FALSE)*(INDEX(02B_ESCENARIOS!$B$4:$D$11, MATCH("MULT_PRECIO", 02B_ESCENARIOS!$A$4:$A$11, 0), MATCH("Conservador", 02B_ESCENARIOS!$B$3:$D$3, 0)))*INDEX(02B_ESCENARIOS!$B$15:$D$19, MATCH(VLOOKUP(A25,04_PROYECTOS!$A:$N,9,FALSE), 02B_ESCENARIOS!$A$15:$A$19, 0), MATCH("Conservador", 02B_ESCENARIOS!$B$14:$D$14, 0))</f>
        <v/>
      </c>
      <c r="F25" s="52">
        <f>E25*VLOOKUP(A25,04_PROYECTOS!$A:$N,6,FALSE)</f>
        <v/>
      </c>
      <c r="G25" s="52">
        <f>E25+F25</f>
        <v/>
      </c>
      <c r="H25" s="19">
        <f>IF(VLOOKUP(A25,04_PROYECTOS!$A:$N,10,FALSE)="", IF(VLOOKUP(A25,04_PROYECTOS!$A:$N,4,FALSE)="Privado", INDEX(02B_ESCENARIOS!$B$4:$D$11, MATCH("DSO_PRIVADO_DEFAULT", 02B_ESCENARIOS!$A$4:$A$11, 0), MATCH("Conservador", 02B_ESCENARIOS!$B$3:$D$3, 0)), IF(VLOOKUP(A25,04_PROYECTOS!$A:$N,4,FALSE)="Publico_&lt;10M",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VLOOKUP(A25,04_PROYECTOS!$A:$N,10,FALSE))</f>
        <v/>
      </c>
      <c r="I25" s="19">
        <f>ROUNDUP(H25/30,0)</f>
        <v/>
      </c>
      <c r="J25" s="53">
        <f>EDATE(C25,I25)</f>
        <v/>
      </c>
      <c r="K25" s="52">
        <f>G25</f>
        <v/>
      </c>
      <c r="L25" s="16" t="inlineStr">
        <is>
          <t>Inicio 50%</t>
        </is>
      </c>
      <c r="M25" s="16" t="inlineStr"/>
    </row>
    <row r="26">
      <c r="A26" s="16" t="inlineStr">
        <is>
          <t>PRJ-014</t>
        </is>
      </c>
      <c r="B26" s="18" t="n">
        <v>2</v>
      </c>
      <c r="C26" s="51" t="n">
        <v>46142</v>
      </c>
      <c r="D26" s="43" t="n">
        <v>0.5</v>
      </c>
      <c r="E26" s="52">
        <f>D26*VLOOKUP(A26,04_PROYECTOS!$A:$N,5,FALSE)*(INDEX(02B_ESCENARIOS!$B$4:$D$11, MATCH("MULT_PRECIO", 02B_ESCENARIOS!$A$4:$A$11, 0), MATCH("Conservador", 02B_ESCENARIOS!$B$3:$D$3, 0)))*INDEX(02B_ESCENARIOS!$B$15:$D$19, MATCH(VLOOKUP(A26,04_PROYECTOS!$A:$N,9,FALSE), 02B_ESCENARIOS!$A$15:$A$19, 0), MATCH("Conservador", 02B_ESCENARIOS!$B$14:$D$14, 0))</f>
        <v/>
      </c>
      <c r="F26" s="52">
        <f>E26*VLOOKUP(A26,04_PROYECTOS!$A:$N,6,FALSE)</f>
        <v/>
      </c>
      <c r="G26" s="52">
        <f>E26+F26</f>
        <v/>
      </c>
      <c r="H26" s="19">
        <f>IF(VLOOKUP(A26,04_PROYECTOS!$A:$N,10,FALSE)="", IF(VLOOKUP(A26,04_PROYECTOS!$A:$N,4,FALSE)="Privado", INDEX(02B_ESCENARIOS!$B$4:$D$11, MATCH("DSO_PRIVADO_DEFAULT", 02B_ESCENARIOS!$A$4:$A$11, 0), MATCH("Conservador", 02B_ESCENARIOS!$B$3:$D$3, 0)), IF(VLOOKUP(A26,04_PROYECTOS!$A:$N,4,FALSE)="Publico_&lt;10M",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VLOOKUP(A26,04_PROYECTOS!$A:$N,10,FALSE))</f>
        <v/>
      </c>
      <c r="I26" s="19">
        <f>ROUNDUP(H26/30,0)</f>
        <v/>
      </c>
      <c r="J26" s="53">
        <f>EDATE(C26,I26)</f>
        <v/>
      </c>
      <c r="K26" s="52">
        <f>G26</f>
        <v/>
      </c>
      <c r="L26" s="16" t="inlineStr">
        <is>
          <t>Final 50%</t>
        </is>
      </c>
      <c r="M26" s="16" t="inlineStr"/>
    </row>
    <row r="27">
      <c r="A27" s="16" t="inlineStr">
        <is>
          <t>PRJ-015</t>
        </is>
      </c>
      <c r="B27" s="18" t="n">
        <v>1</v>
      </c>
      <c r="C27" s="51" t="n">
        <v>46112</v>
      </c>
      <c r="D27" s="43" t="n">
        <v>0.5</v>
      </c>
      <c r="E27" s="52">
        <f>D27*VLOOKUP(A27,04_PROYECTOS!$A:$N,5,FALSE)*(INDEX(02B_ESCENARIOS!$B$4:$D$11, MATCH("MULT_PRECIO", 02B_ESCENARIOS!$A$4:$A$11, 0), MATCH("Conservador", 02B_ESCENARIOS!$B$3:$D$3, 0)))*INDEX(02B_ESCENARIOS!$B$15:$D$19, MATCH(VLOOKUP(A27,04_PROYECTOS!$A:$N,9,FALSE), 02B_ESCENARIOS!$A$15:$A$19, 0), MATCH("Conservador", 02B_ESCENARIOS!$B$14:$D$14, 0))</f>
        <v/>
      </c>
      <c r="F27" s="52">
        <f>E27*VLOOKUP(A27,04_PROYECTOS!$A:$N,6,FALSE)</f>
        <v/>
      </c>
      <c r="G27" s="52">
        <f>E27+F27</f>
        <v/>
      </c>
      <c r="H27" s="19">
        <f>IF(VLOOKUP(A27,04_PROYECTOS!$A:$N,10,FALSE)="", IF(VLOOKUP(A27,04_PROYECTOS!$A:$N,4,FALSE)="Privado", INDEX(02B_ESCENARIOS!$B$4:$D$11, MATCH("DSO_PRIVADO_DEFAULT", 02B_ESCENARIOS!$A$4:$A$11, 0), MATCH("Conservador", 02B_ESCENARIOS!$B$3:$D$3, 0)), IF(VLOOKUP(A27,04_PROYECTOS!$A:$N,4,FALSE)="Publico_&lt;10M",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VLOOKUP(A27,04_PROYECTOS!$A:$N,10,FALSE))</f>
        <v/>
      </c>
      <c r="I27" s="19">
        <f>ROUNDUP(H27/30,0)</f>
        <v/>
      </c>
      <c r="J27" s="53">
        <f>EDATE(C27,I27)</f>
        <v/>
      </c>
      <c r="K27" s="52">
        <f>G27</f>
        <v/>
      </c>
      <c r="L27" s="16" t="inlineStr">
        <is>
          <t>Inicio 50%</t>
        </is>
      </c>
      <c r="M27" s="16" t="inlineStr"/>
    </row>
    <row r="28">
      <c r="A28" s="16" t="inlineStr">
        <is>
          <t>PRJ-015</t>
        </is>
      </c>
      <c r="B28" s="18" t="n">
        <v>2</v>
      </c>
      <c r="C28" s="51" t="n">
        <v>46142</v>
      </c>
      <c r="D28" s="43" t="n">
        <v>0.5</v>
      </c>
      <c r="E28" s="52">
        <f>D28*VLOOKUP(A28,04_PROYECTOS!$A:$N,5,FALSE)*(INDEX(02B_ESCENARIOS!$B$4:$D$11, MATCH("MULT_PRECIO", 02B_ESCENARIOS!$A$4:$A$11, 0), MATCH("Conservador", 02B_ESCENARIOS!$B$3:$D$3, 0)))*INDEX(02B_ESCENARIOS!$B$15:$D$19, MATCH(VLOOKUP(A28,04_PROYECTOS!$A:$N,9,FALSE), 02B_ESCENARIOS!$A$15:$A$19, 0), MATCH("Conservador", 02B_ESCENARIOS!$B$14:$D$14, 0))</f>
        <v/>
      </c>
      <c r="F28" s="52">
        <f>E28*VLOOKUP(A28,04_PROYECTOS!$A:$N,6,FALSE)</f>
        <v/>
      </c>
      <c r="G28" s="52">
        <f>E28+F28</f>
        <v/>
      </c>
      <c r="H28" s="19">
        <f>IF(VLOOKUP(A28,04_PROYECTOS!$A:$N,10,FALSE)="", IF(VLOOKUP(A28,04_PROYECTOS!$A:$N,4,FALSE)="Privado", INDEX(02B_ESCENARIOS!$B$4:$D$11, MATCH("DSO_PRIVADO_DEFAULT", 02B_ESCENARIOS!$A$4:$A$11, 0), MATCH("Conservador", 02B_ESCENARIOS!$B$3:$D$3, 0)), IF(VLOOKUP(A28,04_PROYECTOS!$A:$N,4,FALSE)="Publico_&lt;10M",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VLOOKUP(A28,04_PROYECTOS!$A:$N,10,FALSE))</f>
        <v/>
      </c>
      <c r="I28" s="19">
        <f>ROUNDUP(H28/30,0)</f>
        <v/>
      </c>
      <c r="J28" s="53">
        <f>EDATE(C28,I28)</f>
        <v/>
      </c>
      <c r="K28" s="52">
        <f>G28</f>
        <v/>
      </c>
      <c r="L28" s="16" t="inlineStr">
        <is>
          <t>Final 50%</t>
        </is>
      </c>
      <c r="M28" s="16" t="inlineStr"/>
    </row>
    <row r="29">
      <c r="A29" s="16" t="inlineStr">
        <is>
          <t>PRJ-016</t>
        </is>
      </c>
      <c r="B29" s="18" t="n">
        <v>1</v>
      </c>
      <c r="C29" s="51" t="n">
        <v>46112</v>
      </c>
      <c r="D29" s="43" t="n">
        <v>0.5</v>
      </c>
      <c r="E29" s="52">
        <f>D29*VLOOKUP(A29,04_PROYECTOS!$A:$N,5,FALSE)*(INDEX(02B_ESCENARIOS!$B$4:$D$11, MATCH("MULT_PRECIO", 02B_ESCENARIOS!$A$4:$A$11, 0), MATCH("Conservador", 02B_ESCENARIOS!$B$3:$D$3, 0)))*INDEX(02B_ESCENARIOS!$B$15:$D$19, MATCH(VLOOKUP(A29,04_PROYECTOS!$A:$N,9,FALSE), 02B_ESCENARIOS!$A$15:$A$19, 0), MATCH("Conservador", 02B_ESCENARIOS!$B$14:$D$14, 0))</f>
        <v/>
      </c>
      <c r="F29" s="52">
        <f>E29*VLOOKUP(A29,04_PROYECTOS!$A:$N,6,FALSE)</f>
        <v/>
      </c>
      <c r="G29" s="52">
        <f>E29+F29</f>
        <v/>
      </c>
      <c r="H29" s="19">
        <f>IF(VLOOKUP(A29,04_PROYECTOS!$A:$N,10,FALSE)="", IF(VLOOKUP(A29,04_PROYECTOS!$A:$N,4,FALSE)="Privado", INDEX(02B_ESCENARIOS!$B$4:$D$11, MATCH("DSO_PRIVADO_DEFAULT", 02B_ESCENARIOS!$A$4:$A$11, 0), MATCH("Conservador", 02B_ESCENARIOS!$B$3:$D$3, 0)), IF(VLOOKUP(A29,04_PROYECTOS!$A:$N,4,FALSE)="Publico_&lt;10M",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VLOOKUP(A29,04_PROYECTOS!$A:$N,10,FALSE))</f>
        <v/>
      </c>
      <c r="I29" s="19">
        <f>ROUNDUP(H29/30,0)</f>
        <v/>
      </c>
      <c r="J29" s="53">
        <f>EDATE(C29,I29)</f>
        <v/>
      </c>
      <c r="K29" s="52">
        <f>G29</f>
        <v/>
      </c>
      <c r="L29" s="16" t="inlineStr">
        <is>
          <t>Inicio 50%</t>
        </is>
      </c>
      <c r="M29" s="16" t="inlineStr"/>
    </row>
    <row r="30">
      <c r="A30" s="16" t="inlineStr">
        <is>
          <t>PRJ-016</t>
        </is>
      </c>
      <c r="B30" s="18" t="n">
        <v>2</v>
      </c>
      <c r="C30" s="51" t="n">
        <v>46173</v>
      </c>
      <c r="D30" s="43" t="n">
        <v>0.5</v>
      </c>
      <c r="E30" s="52">
        <f>D30*VLOOKUP(A30,04_PROYECTOS!$A:$N,5,FALSE)*(INDEX(02B_ESCENARIOS!$B$4:$D$11, MATCH("MULT_PRECIO", 02B_ESCENARIOS!$A$4:$A$11, 0), MATCH("Conservador", 02B_ESCENARIOS!$B$3:$D$3, 0)))*INDEX(02B_ESCENARIOS!$B$15:$D$19, MATCH(VLOOKUP(A30,04_PROYECTOS!$A:$N,9,FALSE), 02B_ESCENARIOS!$A$15:$A$19, 0), MATCH("Conservador", 02B_ESCENARIOS!$B$14:$D$14, 0))</f>
        <v/>
      </c>
      <c r="F30" s="52">
        <f>E30*VLOOKUP(A30,04_PROYECTOS!$A:$N,6,FALSE)</f>
        <v/>
      </c>
      <c r="G30" s="52">
        <f>E30+F30</f>
        <v/>
      </c>
      <c r="H30" s="19">
        <f>IF(VLOOKUP(A30,04_PROYECTOS!$A:$N,10,FALSE)="", IF(VLOOKUP(A30,04_PROYECTOS!$A:$N,4,FALSE)="Privado", INDEX(02B_ESCENARIOS!$B$4:$D$11, MATCH("DSO_PRIVADO_DEFAULT", 02B_ESCENARIOS!$A$4:$A$11, 0), MATCH("Conservador", 02B_ESCENARIOS!$B$3:$D$3, 0)), IF(VLOOKUP(A30,04_PROYECTOS!$A:$N,4,FALSE)="Publico_&lt;10M",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VLOOKUP(A30,04_PROYECTOS!$A:$N,10,FALSE))</f>
        <v/>
      </c>
      <c r="I30" s="19">
        <f>ROUNDUP(H30/30,0)</f>
        <v/>
      </c>
      <c r="J30" s="53">
        <f>EDATE(C30,I30)</f>
        <v/>
      </c>
      <c r="K30" s="52">
        <f>G30</f>
        <v/>
      </c>
      <c r="L30" s="16" t="inlineStr">
        <is>
          <t>Final 50%</t>
        </is>
      </c>
      <c r="M30" s="16" t="inlineStr"/>
    </row>
    <row r="31">
      <c r="A31" s="16" t="inlineStr">
        <is>
          <t>PRJ-017</t>
        </is>
      </c>
      <c r="B31" s="18" t="n">
        <v>1</v>
      </c>
      <c r="C31" s="51" t="n">
        <v>46081</v>
      </c>
      <c r="D31" s="43" t="n">
        <v>0.5</v>
      </c>
      <c r="E31" s="52">
        <f>D31*VLOOKUP(A31,04_PROYECTOS!$A:$N,5,FALSE)*(INDEX(02B_ESCENARIOS!$B$4:$D$11, MATCH("MULT_PRECIO", 02B_ESCENARIOS!$A$4:$A$11, 0), MATCH("Conservador", 02B_ESCENARIOS!$B$3:$D$3, 0)))*INDEX(02B_ESCENARIOS!$B$15:$D$19, MATCH(VLOOKUP(A31,04_PROYECTOS!$A:$N,9,FALSE), 02B_ESCENARIOS!$A$15:$A$19, 0), MATCH("Conservador", 02B_ESCENARIOS!$B$14:$D$14, 0))</f>
        <v/>
      </c>
      <c r="F31" s="52">
        <f>E31*VLOOKUP(A31,04_PROYECTOS!$A:$N,6,FALSE)</f>
        <v/>
      </c>
      <c r="G31" s="52">
        <f>E31+F31</f>
        <v/>
      </c>
      <c r="H31" s="19">
        <f>IF(VLOOKUP(A31,04_PROYECTOS!$A:$N,10,FALSE)="", IF(VLOOKUP(A31,04_PROYECTOS!$A:$N,4,FALSE)="Privado", INDEX(02B_ESCENARIOS!$B$4:$D$11, MATCH("DSO_PRIVADO_DEFAULT", 02B_ESCENARIOS!$A$4:$A$11, 0), MATCH("Conservador", 02B_ESCENARIOS!$B$3:$D$3, 0)), IF(VLOOKUP(A31,04_PROYECTOS!$A:$N,4,FALSE)="Publico_&lt;10M",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VLOOKUP(A31,04_PROYECTOS!$A:$N,10,FALSE))</f>
        <v/>
      </c>
      <c r="I31" s="19">
        <f>ROUNDUP(H31/30,0)</f>
        <v/>
      </c>
      <c r="J31" s="53">
        <f>EDATE(C31,I31)</f>
        <v/>
      </c>
      <c r="K31" s="52">
        <f>G31</f>
        <v/>
      </c>
      <c r="L31" s="16" t="inlineStr">
        <is>
          <t>Inicio 50%</t>
        </is>
      </c>
      <c r="M31" s="16" t="inlineStr"/>
    </row>
    <row r="32">
      <c r="A32" s="16" t="inlineStr">
        <is>
          <t>PRJ-017</t>
        </is>
      </c>
      <c r="B32" s="18" t="n">
        <v>2</v>
      </c>
      <c r="C32" s="51" t="n">
        <v>46142</v>
      </c>
      <c r="D32" s="43" t="n">
        <v>0.5</v>
      </c>
      <c r="E32" s="52">
        <f>D32*VLOOKUP(A32,04_PROYECTOS!$A:$N,5,FALSE)*(INDEX(02B_ESCENARIOS!$B$4:$D$11, MATCH("MULT_PRECIO", 02B_ESCENARIOS!$A$4:$A$11, 0), MATCH("Conservador", 02B_ESCENARIOS!$B$3:$D$3, 0)))*INDEX(02B_ESCENARIOS!$B$15:$D$19, MATCH(VLOOKUP(A32,04_PROYECTOS!$A:$N,9,FALSE), 02B_ESCENARIOS!$A$15:$A$19, 0), MATCH("Conservador", 02B_ESCENARIOS!$B$14:$D$14, 0))</f>
        <v/>
      </c>
      <c r="F32" s="52">
        <f>E32*VLOOKUP(A32,04_PROYECTOS!$A:$N,6,FALSE)</f>
        <v/>
      </c>
      <c r="G32" s="52">
        <f>E32+F32</f>
        <v/>
      </c>
      <c r="H32" s="19">
        <f>IF(VLOOKUP(A32,04_PROYECTOS!$A:$N,10,FALSE)="", IF(VLOOKUP(A32,04_PROYECTOS!$A:$N,4,FALSE)="Privado", INDEX(02B_ESCENARIOS!$B$4:$D$11, MATCH("DSO_PRIVADO_DEFAULT", 02B_ESCENARIOS!$A$4:$A$11, 0), MATCH("Conservador", 02B_ESCENARIOS!$B$3:$D$3, 0)), IF(VLOOKUP(A32,04_PROYECTOS!$A:$N,4,FALSE)="Publico_&lt;10M",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VLOOKUP(A32,04_PROYECTOS!$A:$N,10,FALSE))</f>
        <v/>
      </c>
      <c r="I32" s="19">
        <f>ROUNDUP(H32/30,0)</f>
        <v/>
      </c>
      <c r="J32" s="53">
        <f>EDATE(C32,I32)</f>
        <v/>
      </c>
      <c r="K32" s="52">
        <f>G32</f>
        <v/>
      </c>
      <c r="L32" s="16" t="inlineStr">
        <is>
          <t>Final 50%</t>
        </is>
      </c>
      <c r="M32" s="16" t="inlineStr"/>
    </row>
    <row r="33">
      <c r="A33" s="16" t="inlineStr">
        <is>
          <t>PRJ-018</t>
        </is>
      </c>
      <c r="B33" s="18" t="n">
        <v>1</v>
      </c>
      <c r="C33" s="51" t="n">
        <v>46053</v>
      </c>
      <c r="D33" s="43" t="n">
        <v>0.5</v>
      </c>
      <c r="E33" s="52">
        <f>D33*VLOOKUP(A33,04_PROYECTOS!$A:$N,5,FALSE)*(INDEX(02B_ESCENARIOS!$B$4:$D$11, MATCH("MULT_PRECIO", 02B_ESCENARIOS!$A$4:$A$11, 0), MATCH("Conservador", 02B_ESCENARIOS!$B$3:$D$3, 0)))*INDEX(02B_ESCENARIOS!$B$15:$D$19, MATCH(VLOOKUP(A33,04_PROYECTOS!$A:$N,9,FALSE), 02B_ESCENARIOS!$A$15:$A$19, 0), MATCH("Conservador", 02B_ESCENARIOS!$B$14:$D$14, 0))</f>
        <v/>
      </c>
      <c r="F33" s="52">
        <f>E33*VLOOKUP(A33,04_PROYECTOS!$A:$N,6,FALSE)</f>
        <v/>
      </c>
      <c r="G33" s="52">
        <f>E33+F33</f>
        <v/>
      </c>
      <c r="H33" s="19">
        <f>IF(VLOOKUP(A33,04_PROYECTOS!$A:$N,10,FALSE)="", IF(VLOOKUP(A33,04_PROYECTOS!$A:$N,4,FALSE)="Privado", INDEX(02B_ESCENARIOS!$B$4:$D$11, MATCH("DSO_PRIVADO_DEFAULT", 02B_ESCENARIOS!$A$4:$A$11, 0), MATCH("Conservador", 02B_ESCENARIOS!$B$3:$D$3, 0)), IF(VLOOKUP(A33,04_PROYECTOS!$A:$N,4,FALSE)="Publico_&lt;10M",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VLOOKUP(A33,04_PROYECTOS!$A:$N,10,FALSE))</f>
        <v/>
      </c>
      <c r="I33" s="19">
        <f>ROUNDUP(H33/30,0)</f>
        <v/>
      </c>
      <c r="J33" s="53">
        <f>EDATE(C33,I33)</f>
        <v/>
      </c>
      <c r="K33" s="52">
        <f>G33</f>
        <v/>
      </c>
      <c r="L33" s="16" t="inlineStr">
        <is>
          <t>Inicio 50%</t>
        </is>
      </c>
      <c r="M33" s="16" t="inlineStr"/>
    </row>
    <row r="34">
      <c r="A34" s="16" t="inlineStr">
        <is>
          <t>PRJ-018</t>
        </is>
      </c>
      <c r="B34" s="18" t="n">
        <v>2</v>
      </c>
      <c r="C34" s="51" t="n">
        <v>46053</v>
      </c>
      <c r="D34" s="43" t="n">
        <v>0.5</v>
      </c>
      <c r="E34" s="52">
        <f>D34*VLOOKUP(A34,04_PROYECTOS!$A:$N,5,FALSE)*(INDEX(02B_ESCENARIOS!$B$4:$D$11, MATCH("MULT_PRECIO", 02B_ESCENARIOS!$A$4:$A$11, 0), MATCH("Conservador", 02B_ESCENARIOS!$B$3:$D$3, 0)))*INDEX(02B_ESCENARIOS!$B$15:$D$19, MATCH(VLOOKUP(A34,04_PROYECTOS!$A:$N,9,FALSE), 02B_ESCENARIOS!$A$15:$A$19, 0), MATCH("Conservador", 02B_ESCENARIOS!$B$14:$D$14, 0))</f>
        <v/>
      </c>
      <c r="F34" s="52">
        <f>E34*VLOOKUP(A34,04_PROYECTOS!$A:$N,6,FALSE)</f>
        <v/>
      </c>
      <c r="G34" s="52">
        <f>E34+F34</f>
        <v/>
      </c>
      <c r="H34" s="19">
        <f>IF(VLOOKUP(A34,04_PROYECTOS!$A:$N,10,FALSE)="", IF(VLOOKUP(A34,04_PROYECTOS!$A:$N,4,FALSE)="Privado", INDEX(02B_ESCENARIOS!$B$4:$D$11, MATCH("DSO_PRIVADO_DEFAULT", 02B_ESCENARIOS!$A$4:$A$11, 0), MATCH("Conservador", 02B_ESCENARIOS!$B$3:$D$3, 0)), IF(VLOOKUP(A34,04_PROYECTOS!$A:$N,4,FALSE)="Publico_&lt;10M",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VLOOKUP(A34,04_PROYECTOS!$A:$N,10,FALSE))</f>
        <v/>
      </c>
      <c r="I34" s="19">
        <f>ROUNDUP(H34/30,0)</f>
        <v/>
      </c>
      <c r="J34" s="53">
        <f>EDATE(C34,I34)</f>
        <v/>
      </c>
      <c r="K34" s="52">
        <f>G34</f>
        <v/>
      </c>
      <c r="L34" s="16" t="inlineStr">
        <is>
          <t>Final 50%</t>
        </is>
      </c>
      <c r="M34" s="16" t="inlineStr"/>
    </row>
    <row r="35">
      <c r="A35" s="16" t="inlineStr">
        <is>
          <t>PRJ-019</t>
        </is>
      </c>
      <c r="B35" s="18" t="n">
        <v>1</v>
      </c>
      <c r="C35" s="51" t="n">
        <v>46081</v>
      </c>
      <c r="D35" s="43" t="n">
        <v>0.5</v>
      </c>
      <c r="E35" s="52">
        <f>D35*VLOOKUP(A35,04_PROYECTOS!$A:$N,5,FALSE)*(INDEX(02B_ESCENARIOS!$B$4:$D$11, MATCH("MULT_PRECIO", 02B_ESCENARIOS!$A$4:$A$11, 0), MATCH("Conservador", 02B_ESCENARIOS!$B$3:$D$3, 0)))*INDEX(02B_ESCENARIOS!$B$15:$D$19, MATCH(VLOOKUP(A35,04_PROYECTOS!$A:$N,9,FALSE), 02B_ESCENARIOS!$A$15:$A$19, 0), MATCH("Conservador", 02B_ESCENARIOS!$B$14:$D$14, 0))</f>
        <v/>
      </c>
      <c r="F35" s="52">
        <f>E35*VLOOKUP(A35,04_PROYECTOS!$A:$N,6,FALSE)</f>
        <v/>
      </c>
      <c r="G35" s="52">
        <f>E35+F35</f>
        <v/>
      </c>
      <c r="H35" s="19">
        <f>IF(VLOOKUP(A35,04_PROYECTOS!$A:$N,10,FALSE)="", IF(VLOOKUP(A35,04_PROYECTOS!$A:$N,4,FALSE)="Privado", INDEX(02B_ESCENARIOS!$B$4:$D$11, MATCH("DSO_PRIVADO_DEFAULT", 02B_ESCENARIOS!$A$4:$A$11, 0), MATCH("Conservador", 02B_ESCENARIOS!$B$3:$D$3, 0)), IF(VLOOKUP(A35,04_PROYECTOS!$A:$N,4,FALSE)="Publico_&lt;10M",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VLOOKUP(A35,04_PROYECTOS!$A:$N,10,FALSE))</f>
        <v/>
      </c>
      <c r="I35" s="19">
        <f>ROUNDUP(H35/30,0)</f>
        <v/>
      </c>
      <c r="J35" s="53">
        <f>EDATE(C35,I35)</f>
        <v/>
      </c>
      <c r="K35" s="52">
        <f>G35</f>
        <v/>
      </c>
      <c r="L35" s="16" t="inlineStr">
        <is>
          <t>Inicio 50%</t>
        </is>
      </c>
      <c r="M35" s="16" t="inlineStr"/>
    </row>
    <row r="36">
      <c r="A36" s="16" t="inlineStr">
        <is>
          <t>PRJ-019</t>
        </is>
      </c>
      <c r="B36" s="18" t="n">
        <v>2</v>
      </c>
      <c r="C36" s="51" t="n">
        <v>46081</v>
      </c>
      <c r="D36" s="43" t="n">
        <v>0.5</v>
      </c>
      <c r="E36" s="52">
        <f>D36*VLOOKUP(A36,04_PROYECTOS!$A:$N,5,FALSE)*(INDEX(02B_ESCENARIOS!$B$4:$D$11, MATCH("MULT_PRECIO", 02B_ESCENARIOS!$A$4:$A$11, 0), MATCH("Conservador", 02B_ESCENARIOS!$B$3:$D$3, 0)))*INDEX(02B_ESCENARIOS!$B$15:$D$19, MATCH(VLOOKUP(A36,04_PROYECTOS!$A:$N,9,FALSE), 02B_ESCENARIOS!$A$15:$A$19, 0), MATCH("Conservador", 02B_ESCENARIOS!$B$14:$D$14, 0))</f>
        <v/>
      </c>
      <c r="F36" s="52">
        <f>E36*VLOOKUP(A36,04_PROYECTOS!$A:$N,6,FALSE)</f>
        <v/>
      </c>
      <c r="G36" s="52">
        <f>E36+F36</f>
        <v/>
      </c>
      <c r="H36" s="19">
        <f>IF(VLOOKUP(A36,04_PROYECTOS!$A:$N,10,FALSE)="", IF(VLOOKUP(A36,04_PROYECTOS!$A:$N,4,FALSE)="Privado", INDEX(02B_ESCENARIOS!$B$4:$D$11, MATCH("DSO_PRIVADO_DEFAULT", 02B_ESCENARIOS!$A$4:$A$11, 0), MATCH("Conservador", 02B_ESCENARIOS!$B$3:$D$3, 0)), IF(VLOOKUP(A36,04_PROYECTOS!$A:$N,4,FALSE)="Publico_&lt;10M",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VLOOKUP(A36,04_PROYECTOS!$A:$N,10,FALSE))</f>
        <v/>
      </c>
      <c r="I36" s="19">
        <f>ROUNDUP(H36/30,0)</f>
        <v/>
      </c>
      <c r="J36" s="53">
        <f>EDATE(C36,I36)</f>
        <v/>
      </c>
      <c r="K36" s="52">
        <f>G36</f>
        <v/>
      </c>
      <c r="L36" s="16" t="inlineStr">
        <is>
          <t>Final 50%</t>
        </is>
      </c>
      <c r="M36" s="16" t="inlineStr"/>
    </row>
    <row r="37">
      <c r="A37" s="16" t="inlineStr">
        <is>
          <t>PRJ-020</t>
        </is>
      </c>
      <c r="B37" s="18" t="n">
        <v>1</v>
      </c>
      <c r="C37" s="51" t="n">
        <v>46053</v>
      </c>
      <c r="D37" s="43" t="n">
        <v>0.5</v>
      </c>
      <c r="E37" s="52">
        <f>D37*VLOOKUP(A37,04_PROYECTOS!$A:$N,5,FALSE)*(INDEX(02B_ESCENARIOS!$B$4:$D$11, MATCH("MULT_PRECIO", 02B_ESCENARIOS!$A$4:$A$11, 0), MATCH("Conservador", 02B_ESCENARIOS!$B$3:$D$3, 0)))*INDEX(02B_ESCENARIOS!$B$15:$D$19, MATCH(VLOOKUP(A37,04_PROYECTOS!$A:$N,9,FALSE), 02B_ESCENARIOS!$A$15:$A$19, 0), MATCH("Conservador", 02B_ESCENARIOS!$B$14:$D$14, 0))</f>
        <v/>
      </c>
      <c r="F37" s="52">
        <f>E37*VLOOKUP(A37,04_PROYECTOS!$A:$N,6,FALSE)</f>
        <v/>
      </c>
      <c r="G37" s="52">
        <f>E37+F37</f>
        <v/>
      </c>
      <c r="H37" s="19">
        <f>IF(VLOOKUP(A37,04_PROYECTOS!$A:$N,10,FALSE)="", IF(VLOOKUP(A37,04_PROYECTOS!$A:$N,4,FALSE)="Privado", INDEX(02B_ESCENARIOS!$B$4:$D$11, MATCH("DSO_PRIVADO_DEFAULT", 02B_ESCENARIOS!$A$4:$A$11, 0), MATCH("Conservador", 02B_ESCENARIOS!$B$3:$D$3, 0)), IF(VLOOKUP(A37,04_PROYECTOS!$A:$N,4,FALSE)="Publico_&lt;10M",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VLOOKUP(A37,04_PROYECTOS!$A:$N,10,FALSE))</f>
        <v/>
      </c>
      <c r="I37" s="19">
        <f>ROUNDUP(H37/30,0)</f>
        <v/>
      </c>
      <c r="J37" s="53">
        <f>EDATE(C37,I37)</f>
        <v/>
      </c>
      <c r="K37" s="52">
        <f>G37</f>
        <v/>
      </c>
      <c r="L37" s="16" t="inlineStr">
        <is>
          <t>Inicio 50%</t>
        </is>
      </c>
      <c r="M37" s="16" t="inlineStr"/>
    </row>
    <row r="38">
      <c r="A38" s="16" t="inlineStr">
        <is>
          <t>PRJ-020</t>
        </is>
      </c>
      <c r="B38" s="18" t="n">
        <v>2</v>
      </c>
      <c r="C38" s="51" t="n">
        <v>46053</v>
      </c>
      <c r="D38" s="43" t="n">
        <v>0.5</v>
      </c>
      <c r="E38" s="52">
        <f>D38*VLOOKUP(A38,04_PROYECTOS!$A:$N,5,FALSE)*(INDEX(02B_ESCENARIOS!$B$4:$D$11, MATCH("MULT_PRECIO", 02B_ESCENARIOS!$A$4:$A$11, 0), MATCH("Conservador", 02B_ESCENARIOS!$B$3:$D$3, 0)))*INDEX(02B_ESCENARIOS!$B$15:$D$19, MATCH(VLOOKUP(A38,04_PROYECTOS!$A:$N,9,FALSE), 02B_ESCENARIOS!$A$15:$A$19, 0), MATCH("Conservador", 02B_ESCENARIOS!$B$14:$D$14, 0))</f>
        <v/>
      </c>
      <c r="F38" s="52">
        <f>E38*VLOOKUP(A38,04_PROYECTOS!$A:$N,6,FALSE)</f>
        <v/>
      </c>
      <c r="G38" s="52">
        <f>E38+F38</f>
        <v/>
      </c>
      <c r="H38" s="19">
        <f>IF(VLOOKUP(A38,04_PROYECTOS!$A:$N,10,FALSE)="", IF(VLOOKUP(A38,04_PROYECTOS!$A:$N,4,FALSE)="Privado", INDEX(02B_ESCENARIOS!$B$4:$D$11, MATCH("DSO_PRIVADO_DEFAULT", 02B_ESCENARIOS!$A$4:$A$11, 0), MATCH("Conservador", 02B_ESCENARIOS!$B$3:$D$3, 0)), IF(VLOOKUP(A38,04_PROYECTOS!$A:$N,4,FALSE)="Publico_&lt;10M",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VLOOKUP(A38,04_PROYECTOS!$A:$N,10,FALSE))</f>
        <v/>
      </c>
      <c r="I38" s="19">
        <f>ROUNDUP(H38/30,0)</f>
        <v/>
      </c>
      <c r="J38" s="53">
        <f>EDATE(C38,I38)</f>
        <v/>
      </c>
      <c r="K38" s="52">
        <f>G38</f>
        <v/>
      </c>
      <c r="L38" s="16" t="inlineStr">
        <is>
          <t>Final 50%</t>
        </is>
      </c>
      <c r="M38" s="16" t="inlineStr"/>
    </row>
    <row r="39">
      <c r="A39" s="16" t="inlineStr">
        <is>
          <t>PRJ-021</t>
        </is>
      </c>
      <c r="B39" s="18" t="n">
        <v>1</v>
      </c>
      <c r="C39" s="51" t="n">
        <v>46053</v>
      </c>
      <c r="D39" s="43" t="n">
        <v>1</v>
      </c>
      <c r="E39" s="52">
        <f>D39*VLOOKUP(A39,04_PROYECTOS!$A:$N,5,FALSE)*(INDEX(02B_ESCENARIOS!$B$4:$D$11, MATCH("MULT_PRECIO", 02B_ESCENARIOS!$A$4:$A$11, 0), MATCH("Conservador", 02B_ESCENARIOS!$B$3:$D$3, 0)))*INDEX(02B_ESCENARIOS!$B$15:$D$19, MATCH(VLOOKUP(A39,04_PROYECTOS!$A:$N,9,FALSE), 02B_ESCENARIOS!$A$15:$A$19, 0), MATCH("Conservador", 02B_ESCENARIOS!$B$14:$D$14, 0))</f>
        <v/>
      </c>
      <c r="F39" s="52">
        <f>E39*VLOOKUP(A39,04_PROYECTOS!$A:$N,6,FALSE)</f>
        <v/>
      </c>
      <c r="G39" s="52">
        <f>E39+F39</f>
        <v/>
      </c>
      <c r="H39" s="19">
        <f>IF(VLOOKUP(A39,04_PROYECTOS!$A:$N,10,FALSE)="", IF(VLOOKUP(A39,04_PROYECTOS!$A:$N,4,FALSE)="Privado", INDEX(02B_ESCENARIOS!$B$4:$D$11, MATCH("DSO_PRIVADO_DEFAULT", 02B_ESCENARIOS!$A$4:$A$11, 0), MATCH("Conservador", 02B_ESCENARIOS!$B$3:$D$3, 0)), IF(VLOOKUP(A39,04_PROYECTOS!$A:$N,4,FALSE)="Publico_&lt;10M",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VLOOKUP(A39,04_PROYECTOS!$A:$N,10,FALSE))</f>
        <v/>
      </c>
      <c r="I39" s="19">
        <f>ROUNDUP(H39/30,0)</f>
        <v/>
      </c>
      <c r="J39" s="53">
        <f>EDATE(C39,I39)</f>
        <v/>
      </c>
      <c r="K39" s="52">
        <f>G39</f>
        <v/>
      </c>
      <c r="L39" s="16" t="inlineStr">
        <is>
          <t>Pago final público &lt;10M</t>
        </is>
      </c>
      <c r="M39" s="16" t="inlineStr"/>
    </row>
    <row r="40">
      <c r="A40" s="16" t="inlineStr">
        <is>
          <t>PRJ-022</t>
        </is>
      </c>
      <c r="B40" s="18" t="n">
        <v>1</v>
      </c>
      <c r="C40" s="51" t="n">
        <v>46053</v>
      </c>
      <c r="D40" s="43" t="n">
        <v>1</v>
      </c>
      <c r="E40" s="52">
        <f>D40*VLOOKUP(A40,04_PROYECTOS!$A:$N,5,FALSE)*(INDEX(02B_ESCENARIOS!$B$4:$D$11, MATCH("MULT_PRECIO", 02B_ESCENARIOS!$A$4:$A$11, 0), MATCH("Conservador", 02B_ESCENARIOS!$B$3:$D$3, 0)))*INDEX(02B_ESCENARIOS!$B$15:$D$19, MATCH(VLOOKUP(A40,04_PROYECTOS!$A:$N,9,FALSE), 02B_ESCENARIOS!$A$15:$A$19, 0), MATCH("Conservador", 02B_ESCENARIOS!$B$14:$D$14, 0))</f>
        <v/>
      </c>
      <c r="F40" s="52">
        <f>E40*VLOOKUP(A40,04_PROYECTOS!$A:$N,6,FALSE)</f>
        <v/>
      </c>
      <c r="G40" s="52">
        <f>E40+F40</f>
        <v/>
      </c>
      <c r="H40" s="19">
        <f>IF(VLOOKUP(A40,04_PROYECTOS!$A:$N,10,FALSE)="", IF(VLOOKUP(A40,04_PROYECTOS!$A:$N,4,FALSE)="Privado", INDEX(02B_ESCENARIOS!$B$4:$D$11, MATCH("DSO_PRIVADO_DEFAULT", 02B_ESCENARIOS!$A$4:$A$11, 0), MATCH("Conservador", 02B_ESCENARIOS!$B$3:$D$3, 0)), IF(VLOOKUP(A40,04_PROYECTOS!$A:$N,4,FALSE)="Publico_&lt;10M",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VLOOKUP(A40,04_PROYECTOS!$A:$N,10,FALSE))</f>
        <v/>
      </c>
      <c r="I40" s="19">
        <f>ROUNDUP(H40/30,0)</f>
        <v/>
      </c>
      <c r="J40" s="53">
        <f>EDATE(C40,I40)</f>
        <v/>
      </c>
      <c r="K40" s="52">
        <f>G40</f>
        <v/>
      </c>
      <c r="L40" s="16" t="inlineStr">
        <is>
          <t>Pago final público &lt;10M</t>
        </is>
      </c>
      <c r="M40" s="16" t="inlineStr"/>
    </row>
    <row r="41">
      <c r="A41" s="16" t="inlineStr">
        <is>
          <t>PRJ-023</t>
        </is>
      </c>
      <c r="B41" s="18" t="n">
        <v>1</v>
      </c>
      <c r="C41" s="51" t="n">
        <v>46053</v>
      </c>
      <c r="D41" s="43" t="n">
        <v>1</v>
      </c>
      <c r="E41" s="52">
        <f>D41*VLOOKUP(A41,04_PROYECTOS!$A:$N,5,FALSE)*(INDEX(02B_ESCENARIOS!$B$4:$D$11, MATCH("MULT_PRECIO", 02B_ESCENARIOS!$A$4:$A$11, 0), MATCH("Conservador", 02B_ESCENARIOS!$B$3:$D$3, 0)))*INDEX(02B_ESCENARIOS!$B$15:$D$19, MATCH(VLOOKUP(A41,04_PROYECTOS!$A:$N,9,FALSE), 02B_ESCENARIOS!$A$15:$A$19, 0), MATCH("Conservador", 02B_ESCENARIOS!$B$14:$D$14, 0))</f>
        <v/>
      </c>
      <c r="F41" s="52">
        <f>E41*VLOOKUP(A41,04_PROYECTOS!$A:$N,6,FALSE)</f>
        <v/>
      </c>
      <c r="G41" s="52">
        <f>E41+F41</f>
        <v/>
      </c>
      <c r="H41" s="19">
        <f>IF(VLOOKUP(A41,04_PROYECTOS!$A:$N,10,FALSE)="", IF(VLOOKUP(A41,04_PROYECTOS!$A:$N,4,FALSE)="Privado", INDEX(02B_ESCENARIOS!$B$4:$D$11, MATCH("DSO_PRIVADO_DEFAULT", 02B_ESCENARIOS!$A$4:$A$11, 0), MATCH("Conservador", 02B_ESCENARIOS!$B$3:$D$3, 0)), IF(VLOOKUP(A41,04_PROYECTOS!$A:$N,4,FALSE)="Publico_&lt;10M",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VLOOKUP(A41,04_PROYECTOS!$A:$N,10,FALSE))</f>
        <v/>
      </c>
      <c r="I41" s="19">
        <f>ROUNDUP(H41/30,0)</f>
        <v/>
      </c>
      <c r="J41" s="53">
        <f>EDATE(C41,I41)</f>
        <v/>
      </c>
      <c r="K41" s="52">
        <f>G41</f>
        <v/>
      </c>
      <c r="L41" s="16" t="inlineStr">
        <is>
          <t>Pago final público &lt;10M</t>
        </is>
      </c>
      <c r="M41" s="16" t="inlineStr"/>
    </row>
    <row r="42">
      <c r="A42" s="16" t="inlineStr">
        <is>
          <t>PRJ-024</t>
        </is>
      </c>
      <c r="B42" s="18" t="n">
        <v>1</v>
      </c>
      <c r="C42" s="51" t="n">
        <v>46112</v>
      </c>
      <c r="D42" s="43" t="n">
        <v>0.5</v>
      </c>
      <c r="E42" s="52">
        <f>D42*VLOOKUP(A42,04_PROYECTOS!$A:$N,5,FALSE)*(INDEX(02B_ESCENARIOS!$B$4:$D$11, MATCH("MULT_PRECIO", 02B_ESCENARIOS!$A$4:$A$11, 0), MATCH("Conservador", 02B_ESCENARIOS!$B$3:$D$3, 0)))*INDEX(02B_ESCENARIOS!$B$15:$D$19, MATCH(VLOOKUP(A42,04_PROYECTOS!$A:$N,9,FALSE), 02B_ESCENARIOS!$A$15:$A$19, 0), MATCH("Conservador", 02B_ESCENARIOS!$B$14:$D$14, 0))</f>
        <v/>
      </c>
      <c r="F42" s="52">
        <f>E42*VLOOKUP(A42,04_PROYECTOS!$A:$N,6,FALSE)</f>
        <v/>
      </c>
      <c r="G42" s="52">
        <f>E42+F42</f>
        <v/>
      </c>
      <c r="H42" s="19">
        <f>IF(VLOOKUP(A42,04_PROYECTOS!$A:$N,10,FALSE)="", IF(VLOOKUP(A42,04_PROYECTOS!$A:$N,4,FALSE)="Privado", INDEX(02B_ESCENARIOS!$B$4:$D$11, MATCH("DSO_PRIVADO_DEFAULT", 02B_ESCENARIOS!$A$4:$A$11, 0), MATCH("Conservador", 02B_ESCENARIOS!$B$3:$D$3, 0)), IF(VLOOKUP(A42,04_PROYECTOS!$A:$N,4,FALSE)="Publico_&lt;10M",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VLOOKUP(A42,04_PROYECTOS!$A:$N,10,FALSE))</f>
        <v/>
      </c>
      <c r="I42" s="19">
        <f>ROUNDUP(H42/30,0)</f>
        <v/>
      </c>
      <c r="J42" s="53">
        <f>EDATE(C42,I42)</f>
        <v/>
      </c>
      <c r="K42" s="52">
        <f>G42</f>
        <v/>
      </c>
      <c r="L42" s="16" t="inlineStr">
        <is>
          <t>Inicio 50%</t>
        </is>
      </c>
      <c r="M42" s="16" t="inlineStr"/>
    </row>
    <row r="43">
      <c r="A43" s="16" t="inlineStr">
        <is>
          <t>PRJ-024</t>
        </is>
      </c>
      <c r="B43" s="18" t="n">
        <v>2</v>
      </c>
      <c r="C43" s="51" t="n">
        <v>46112</v>
      </c>
      <c r="D43" s="43" t="n">
        <v>0.5</v>
      </c>
      <c r="E43" s="52">
        <f>D43*VLOOKUP(A43,04_PROYECTOS!$A:$N,5,FALSE)*(INDEX(02B_ESCENARIOS!$B$4:$D$11, MATCH("MULT_PRECIO", 02B_ESCENARIOS!$A$4:$A$11, 0), MATCH("Conservador", 02B_ESCENARIOS!$B$3:$D$3, 0)))*INDEX(02B_ESCENARIOS!$B$15:$D$19, MATCH(VLOOKUP(A43,04_PROYECTOS!$A:$N,9,FALSE), 02B_ESCENARIOS!$A$15:$A$19, 0), MATCH("Conservador", 02B_ESCENARIOS!$B$14:$D$14, 0))</f>
        <v/>
      </c>
      <c r="F43" s="52">
        <f>E43*VLOOKUP(A43,04_PROYECTOS!$A:$N,6,FALSE)</f>
        <v/>
      </c>
      <c r="G43" s="52">
        <f>E43+F43</f>
        <v/>
      </c>
      <c r="H43" s="19">
        <f>IF(VLOOKUP(A43,04_PROYECTOS!$A:$N,10,FALSE)="", IF(VLOOKUP(A43,04_PROYECTOS!$A:$N,4,FALSE)="Privado", INDEX(02B_ESCENARIOS!$B$4:$D$11, MATCH("DSO_PRIVADO_DEFAULT", 02B_ESCENARIOS!$A$4:$A$11, 0), MATCH("Conservador", 02B_ESCENARIOS!$B$3:$D$3, 0)), IF(VLOOKUP(A43,04_PROYECTOS!$A:$N,4,FALSE)="Publico_&lt;10M",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VLOOKUP(A43,04_PROYECTOS!$A:$N,10,FALSE))</f>
        <v/>
      </c>
      <c r="I43" s="19">
        <f>ROUNDUP(H43/30,0)</f>
        <v/>
      </c>
      <c r="J43" s="53">
        <f>EDATE(C43,I43)</f>
        <v/>
      </c>
      <c r="K43" s="52">
        <f>G43</f>
        <v/>
      </c>
      <c r="L43" s="16" t="inlineStr">
        <is>
          <t>Final 50%</t>
        </is>
      </c>
      <c r="M43" s="16" t="inlineStr"/>
    </row>
    <row r="44">
      <c r="A44" s="16" t="inlineStr">
        <is>
          <t>PRJ-025</t>
        </is>
      </c>
      <c r="B44" s="18" t="n">
        <v>1</v>
      </c>
      <c r="C44" s="51" t="n">
        <v>46173</v>
      </c>
      <c r="D44" s="43" t="n">
        <v>0.5</v>
      </c>
      <c r="E44" s="52">
        <f>D44*VLOOKUP(A44,04_PROYECTOS!$A:$N,5,FALSE)*(INDEX(02B_ESCENARIOS!$B$4:$D$11, MATCH("MULT_PRECIO", 02B_ESCENARIOS!$A$4:$A$11, 0), MATCH("Conservador", 02B_ESCENARIOS!$B$3:$D$3, 0)))*INDEX(02B_ESCENARIOS!$B$15:$D$19, MATCH(VLOOKUP(A44,04_PROYECTOS!$A:$N,9,FALSE), 02B_ESCENARIOS!$A$15:$A$19, 0), MATCH("Conservador", 02B_ESCENARIOS!$B$14:$D$14, 0))</f>
        <v/>
      </c>
      <c r="F44" s="52">
        <f>E44*VLOOKUP(A44,04_PROYECTOS!$A:$N,6,FALSE)</f>
        <v/>
      </c>
      <c r="G44" s="52">
        <f>E44+F44</f>
        <v/>
      </c>
      <c r="H44" s="19">
        <f>IF(VLOOKUP(A44,04_PROYECTOS!$A:$N,10,FALSE)="", IF(VLOOKUP(A44,04_PROYECTOS!$A:$N,4,FALSE)="Privado", INDEX(02B_ESCENARIOS!$B$4:$D$11, MATCH("DSO_PRIVADO_DEFAULT", 02B_ESCENARIOS!$A$4:$A$11, 0), MATCH("Conservador", 02B_ESCENARIOS!$B$3:$D$3, 0)), IF(VLOOKUP(A44,04_PROYECTOS!$A:$N,4,FALSE)="Publico_&lt;10M",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VLOOKUP(A44,04_PROYECTOS!$A:$N,10,FALSE))</f>
        <v/>
      </c>
      <c r="I44" s="19">
        <f>ROUNDUP(H44/30,0)</f>
        <v/>
      </c>
      <c r="J44" s="53">
        <f>EDATE(C44,I44)</f>
        <v/>
      </c>
      <c r="K44" s="52">
        <f>G44</f>
        <v/>
      </c>
      <c r="L44" s="16" t="inlineStr">
        <is>
          <t>Inicio 50%</t>
        </is>
      </c>
      <c r="M44" s="16" t="inlineStr"/>
    </row>
    <row r="45">
      <c r="A45" s="16" t="inlineStr">
        <is>
          <t>PRJ-025</t>
        </is>
      </c>
      <c r="B45" s="18" t="n">
        <v>2</v>
      </c>
      <c r="C45" s="51" t="n">
        <v>46173</v>
      </c>
      <c r="D45" s="43" t="n">
        <v>0.5</v>
      </c>
      <c r="E45" s="52">
        <f>D45*VLOOKUP(A45,04_PROYECTOS!$A:$N,5,FALSE)*(INDEX(02B_ESCENARIOS!$B$4:$D$11, MATCH("MULT_PRECIO", 02B_ESCENARIOS!$A$4:$A$11, 0), MATCH("Conservador", 02B_ESCENARIOS!$B$3:$D$3, 0)))*INDEX(02B_ESCENARIOS!$B$15:$D$19, MATCH(VLOOKUP(A45,04_PROYECTOS!$A:$N,9,FALSE), 02B_ESCENARIOS!$A$15:$A$19, 0), MATCH("Conservador", 02B_ESCENARIOS!$B$14:$D$14, 0))</f>
        <v/>
      </c>
      <c r="F45" s="52">
        <f>E45*VLOOKUP(A45,04_PROYECTOS!$A:$N,6,FALSE)</f>
        <v/>
      </c>
      <c r="G45" s="52">
        <f>E45+F45</f>
        <v/>
      </c>
      <c r="H45" s="19">
        <f>IF(VLOOKUP(A45,04_PROYECTOS!$A:$N,10,FALSE)="", IF(VLOOKUP(A45,04_PROYECTOS!$A:$N,4,FALSE)="Privado", INDEX(02B_ESCENARIOS!$B$4:$D$11, MATCH("DSO_PRIVADO_DEFAULT", 02B_ESCENARIOS!$A$4:$A$11, 0), MATCH("Conservador", 02B_ESCENARIOS!$B$3:$D$3, 0)), IF(VLOOKUP(A45,04_PROYECTOS!$A:$N,4,FALSE)="Publico_&lt;10M",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VLOOKUP(A45,04_PROYECTOS!$A:$N,10,FALSE))</f>
        <v/>
      </c>
      <c r="I45" s="19">
        <f>ROUNDUP(H45/30,0)</f>
        <v/>
      </c>
      <c r="J45" s="53">
        <f>EDATE(C45,I45)</f>
        <v/>
      </c>
      <c r="K45" s="52">
        <f>G45</f>
        <v/>
      </c>
      <c r="L45" s="16" t="inlineStr">
        <is>
          <t>Final 50%</t>
        </is>
      </c>
      <c r="M45" s="16" t="inlineStr"/>
    </row>
    <row r="46">
      <c r="E46">
        <f>D46*VLOOKUP(A46,04_PROYECTOS!$A:$N,5,FALSE)*(INDEX(02B_ESCENARIOS!$B$4:$D$11, MATCH("MULT_PRECIO", 02B_ESCENARIOS!$A$4:$A$11, 0), MATCH("Conservador", 02B_ESCENARIOS!$B$3:$D$3, 0)))*INDEX(02B_ESCENARIOS!$B$15:$D$19, MATCH(VLOOKUP(A46,04_PROYECTOS!$A:$N,9,FALSE), 02B_ESCENARIOS!$A$15:$A$19, 0), MATCH("Conservador", 02B_ESCENARIOS!$B$14:$D$14, 0))</f>
        <v/>
      </c>
      <c r="F46">
        <f>E46*VLOOKUP(A46,04_PROYECTOS!$A:$N,6,FALSE)</f>
        <v/>
      </c>
      <c r="G46">
        <f>E46+F46</f>
        <v/>
      </c>
      <c r="H46">
        <f>IF(VLOOKUP(A46,04_PROYECTOS!$A:$N,10,FALSE)="", IF(VLOOKUP(A46,04_PROYECTOS!$A:$N,4,FALSE)="Privado", INDEX(02B_ESCENARIOS!$B$4:$D$11, MATCH("DSO_PRIVADO_DEFAULT", 02B_ESCENARIOS!$A$4:$A$11, 0), MATCH("Conservador", 02B_ESCENARIOS!$B$3:$D$3, 0)), IF(VLOOKUP(A46,04_PROYECTOS!$A:$N,4,FALSE)="Publico_&lt;10M",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VLOOKUP(A46,04_PROYECTOS!$A:$N,10,FALSE))</f>
        <v/>
      </c>
      <c r="I46">
        <f>ROUNDUP(H46/30,0)</f>
        <v/>
      </c>
      <c r="J46">
        <f>EDATE(C46,I46)</f>
        <v/>
      </c>
      <c r="K46">
        <f>G46</f>
        <v/>
      </c>
    </row>
    <row r="47">
      <c r="E47">
        <f>D47*VLOOKUP(A47,04_PROYECTOS!$A:$N,5,FALSE)*(INDEX(02B_ESCENARIOS!$B$4:$D$11, MATCH("MULT_PRECIO", 02B_ESCENARIOS!$A$4:$A$11, 0), MATCH("Conservador", 02B_ESCENARIOS!$B$3:$D$3, 0)))*INDEX(02B_ESCENARIOS!$B$15:$D$19, MATCH(VLOOKUP(A47,04_PROYECTOS!$A:$N,9,FALSE), 02B_ESCENARIOS!$A$15:$A$19, 0), MATCH("Conservador", 02B_ESCENARIOS!$B$14:$D$14, 0))</f>
        <v/>
      </c>
      <c r="F47">
        <f>E47*VLOOKUP(A47,04_PROYECTOS!$A:$N,6,FALSE)</f>
        <v/>
      </c>
      <c r="G47">
        <f>E47+F47</f>
        <v/>
      </c>
      <c r="H47">
        <f>IF(VLOOKUP(A47,04_PROYECTOS!$A:$N,10,FALSE)="", IF(VLOOKUP(A47,04_PROYECTOS!$A:$N,4,FALSE)="Privado", INDEX(02B_ESCENARIOS!$B$4:$D$11, MATCH("DSO_PRIVADO_DEFAULT", 02B_ESCENARIOS!$A$4:$A$11, 0), MATCH("Conservador", 02B_ESCENARIOS!$B$3:$D$3, 0)), IF(VLOOKUP(A47,04_PROYECTOS!$A:$N,4,FALSE)="Publico_&lt;10M",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VLOOKUP(A47,04_PROYECTOS!$A:$N,10,FALSE))</f>
        <v/>
      </c>
      <c r="I47">
        <f>ROUNDUP(H47/30,0)</f>
        <v/>
      </c>
      <c r="J47">
        <f>EDATE(C47,I47)</f>
        <v/>
      </c>
      <c r="K47">
        <f>G47</f>
        <v/>
      </c>
    </row>
    <row r="48">
      <c r="E48">
        <f>D48*VLOOKUP(A48,04_PROYECTOS!$A:$N,5,FALSE)*(INDEX(02B_ESCENARIOS!$B$4:$D$11, MATCH("MULT_PRECIO", 02B_ESCENARIOS!$A$4:$A$11, 0), MATCH("Conservador", 02B_ESCENARIOS!$B$3:$D$3, 0)))*INDEX(02B_ESCENARIOS!$B$15:$D$19, MATCH(VLOOKUP(A48,04_PROYECTOS!$A:$N,9,FALSE), 02B_ESCENARIOS!$A$15:$A$19, 0), MATCH("Conservador", 02B_ESCENARIOS!$B$14:$D$14, 0))</f>
        <v/>
      </c>
      <c r="F48">
        <f>E48*VLOOKUP(A48,04_PROYECTOS!$A:$N,6,FALSE)</f>
        <v/>
      </c>
      <c r="G48">
        <f>E48+F48</f>
        <v/>
      </c>
      <c r="H48">
        <f>IF(VLOOKUP(A48,04_PROYECTOS!$A:$N,10,FALSE)="", IF(VLOOKUP(A48,04_PROYECTOS!$A:$N,4,FALSE)="Privado", INDEX(02B_ESCENARIOS!$B$4:$D$11, MATCH("DSO_PRIVADO_DEFAULT", 02B_ESCENARIOS!$A$4:$A$11, 0), MATCH("Conservador", 02B_ESCENARIOS!$B$3:$D$3, 0)), IF(VLOOKUP(A48,04_PROYECTOS!$A:$N,4,FALSE)="Publico_&lt;10M",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VLOOKUP(A48,04_PROYECTOS!$A:$N,10,FALSE))</f>
        <v/>
      </c>
      <c r="I48">
        <f>ROUNDUP(H48/30,0)</f>
        <v/>
      </c>
      <c r="J48">
        <f>EDATE(C48,I48)</f>
        <v/>
      </c>
      <c r="K48">
        <f>G48</f>
        <v/>
      </c>
    </row>
    <row r="49">
      <c r="E49">
        <f>D49*VLOOKUP(A49,04_PROYECTOS!$A:$N,5,FALSE)*(INDEX(02B_ESCENARIOS!$B$4:$D$11, MATCH("MULT_PRECIO", 02B_ESCENARIOS!$A$4:$A$11, 0), MATCH("Conservador", 02B_ESCENARIOS!$B$3:$D$3, 0)))*INDEX(02B_ESCENARIOS!$B$15:$D$19, MATCH(VLOOKUP(A49,04_PROYECTOS!$A:$N,9,FALSE), 02B_ESCENARIOS!$A$15:$A$19, 0), MATCH("Conservador", 02B_ESCENARIOS!$B$14:$D$14, 0))</f>
        <v/>
      </c>
      <c r="F49">
        <f>E49*VLOOKUP(A49,04_PROYECTOS!$A:$N,6,FALSE)</f>
        <v/>
      </c>
      <c r="G49">
        <f>E49+F49</f>
        <v/>
      </c>
      <c r="H49">
        <f>IF(VLOOKUP(A49,04_PROYECTOS!$A:$N,10,FALSE)="", IF(VLOOKUP(A49,04_PROYECTOS!$A:$N,4,FALSE)="Privado", INDEX(02B_ESCENARIOS!$B$4:$D$11, MATCH("DSO_PRIVADO_DEFAULT", 02B_ESCENARIOS!$A$4:$A$11, 0), MATCH("Conservador", 02B_ESCENARIOS!$B$3:$D$3, 0)), IF(VLOOKUP(A49,04_PROYECTOS!$A:$N,4,FALSE)="Publico_&lt;10M",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VLOOKUP(A49,04_PROYECTOS!$A:$N,10,FALSE))</f>
        <v/>
      </c>
      <c r="I49">
        <f>ROUNDUP(H49/30,0)</f>
        <v/>
      </c>
      <c r="J49">
        <f>EDATE(C49,I49)</f>
        <v/>
      </c>
      <c r="K49">
        <f>G49</f>
        <v/>
      </c>
    </row>
    <row r="50">
      <c r="E50">
        <f>D50*VLOOKUP(A50,04_PROYECTOS!$A:$N,5,FALSE)*(INDEX(02B_ESCENARIOS!$B$4:$D$11, MATCH("MULT_PRECIO", 02B_ESCENARIOS!$A$4:$A$11, 0), MATCH("Conservador", 02B_ESCENARIOS!$B$3:$D$3, 0)))*INDEX(02B_ESCENARIOS!$B$15:$D$19, MATCH(VLOOKUP(A50,04_PROYECTOS!$A:$N,9,FALSE), 02B_ESCENARIOS!$A$15:$A$19, 0), MATCH("Conservador", 02B_ESCENARIOS!$B$14:$D$14, 0))</f>
        <v/>
      </c>
      <c r="F50">
        <f>E50*VLOOKUP(A50,04_PROYECTOS!$A:$N,6,FALSE)</f>
        <v/>
      </c>
      <c r="G50">
        <f>E50+F50</f>
        <v/>
      </c>
      <c r="H50">
        <f>IF(VLOOKUP(A50,04_PROYECTOS!$A:$N,10,FALSE)="", IF(VLOOKUP(A50,04_PROYECTOS!$A:$N,4,FALSE)="Privado", INDEX(02B_ESCENARIOS!$B$4:$D$11, MATCH("DSO_PRIVADO_DEFAULT", 02B_ESCENARIOS!$A$4:$A$11, 0), MATCH("Conservador", 02B_ESCENARIOS!$B$3:$D$3, 0)), IF(VLOOKUP(A50,04_PROYECTOS!$A:$N,4,FALSE)="Publico_&lt;10M",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VLOOKUP(A50,04_PROYECTOS!$A:$N,10,FALSE))</f>
        <v/>
      </c>
      <c r="I50">
        <f>ROUNDUP(H50/30,0)</f>
        <v/>
      </c>
      <c r="J50">
        <f>EDATE(C50,I50)</f>
        <v/>
      </c>
      <c r="K50">
        <f>G50</f>
        <v/>
      </c>
    </row>
    <row r="51">
      <c r="E51">
        <f>D51*VLOOKUP(A51,04_PROYECTOS!$A:$N,5,FALSE)*(INDEX(02B_ESCENARIOS!$B$4:$D$11, MATCH("MULT_PRECIO", 02B_ESCENARIOS!$A$4:$A$11, 0), MATCH("Conservador", 02B_ESCENARIOS!$B$3:$D$3, 0)))*INDEX(02B_ESCENARIOS!$B$15:$D$19, MATCH(VLOOKUP(A51,04_PROYECTOS!$A:$N,9,FALSE), 02B_ESCENARIOS!$A$15:$A$19, 0), MATCH("Conservador", 02B_ESCENARIOS!$B$14:$D$14, 0))</f>
        <v/>
      </c>
      <c r="F51">
        <f>E51*VLOOKUP(A51,04_PROYECTOS!$A:$N,6,FALSE)</f>
        <v/>
      </c>
      <c r="G51">
        <f>E51+F51</f>
        <v/>
      </c>
      <c r="H51">
        <f>IF(VLOOKUP(A51,04_PROYECTOS!$A:$N,10,FALSE)="", IF(VLOOKUP(A51,04_PROYECTOS!$A:$N,4,FALSE)="Privado", INDEX(02B_ESCENARIOS!$B$4:$D$11, MATCH("DSO_PRIVADO_DEFAULT", 02B_ESCENARIOS!$A$4:$A$11, 0), MATCH("Conservador", 02B_ESCENARIOS!$B$3:$D$3, 0)), IF(VLOOKUP(A51,04_PROYECTOS!$A:$N,4,FALSE)="Publico_&lt;10M",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VLOOKUP(A51,04_PROYECTOS!$A:$N,10,FALSE))</f>
        <v/>
      </c>
      <c r="I51">
        <f>ROUNDUP(H51/30,0)</f>
        <v/>
      </c>
      <c r="J51">
        <f>EDATE(C51,I51)</f>
        <v/>
      </c>
      <c r="K51">
        <f>G51</f>
        <v/>
      </c>
    </row>
    <row r="52">
      <c r="E52">
        <f>D52*VLOOKUP(A52,04_PROYECTOS!$A:$N,5,FALSE)*(INDEX(02B_ESCENARIOS!$B$4:$D$11, MATCH("MULT_PRECIO", 02B_ESCENARIOS!$A$4:$A$11, 0), MATCH("Conservador", 02B_ESCENARIOS!$B$3:$D$3, 0)))*INDEX(02B_ESCENARIOS!$B$15:$D$19, MATCH(VLOOKUP(A52,04_PROYECTOS!$A:$N,9,FALSE), 02B_ESCENARIOS!$A$15:$A$19, 0), MATCH("Conservador", 02B_ESCENARIOS!$B$14:$D$14, 0))</f>
        <v/>
      </c>
      <c r="F52">
        <f>E52*VLOOKUP(A52,04_PROYECTOS!$A:$N,6,FALSE)</f>
        <v/>
      </c>
      <c r="G52">
        <f>E52+F52</f>
        <v/>
      </c>
      <c r="H52">
        <f>IF(VLOOKUP(A52,04_PROYECTOS!$A:$N,10,FALSE)="", IF(VLOOKUP(A52,04_PROYECTOS!$A:$N,4,FALSE)="Privado", INDEX(02B_ESCENARIOS!$B$4:$D$11, MATCH("DSO_PRIVADO_DEFAULT", 02B_ESCENARIOS!$A$4:$A$11, 0), MATCH("Conservador", 02B_ESCENARIOS!$B$3:$D$3, 0)), IF(VLOOKUP(A52,04_PROYECTOS!$A:$N,4,FALSE)="Publico_&lt;10M",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VLOOKUP(A52,04_PROYECTOS!$A:$N,10,FALSE))</f>
        <v/>
      </c>
      <c r="I52">
        <f>ROUNDUP(H52/30,0)</f>
        <v/>
      </c>
      <c r="J52">
        <f>EDATE(C52,I52)</f>
        <v/>
      </c>
      <c r="K52">
        <f>G52</f>
        <v/>
      </c>
    </row>
    <row r="53">
      <c r="E53">
        <f>D53*VLOOKUP(A53,04_PROYECTOS!$A:$N,5,FALSE)*(INDEX(02B_ESCENARIOS!$B$4:$D$11, MATCH("MULT_PRECIO", 02B_ESCENARIOS!$A$4:$A$11, 0), MATCH("Conservador", 02B_ESCENARIOS!$B$3:$D$3, 0)))*INDEX(02B_ESCENARIOS!$B$15:$D$19, MATCH(VLOOKUP(A53,04_PROYECTOS!$A:$N,9,FALSE), 02B_ESCENARIOS!$A$15:$A$19, 0), MATCH("Conservador", 02B_ESCENARIOS!$B$14:$D$14, 0))</f>
        <v/>
      </c>
      <c r="F53">
        <f>E53*VLOOKUP(A53,04_PROYECTOS!$A:$N,6,FALSE)</f>
        <v/>
      </c>
      <c r="G53">
        <f>E53+F53</f>
        <v/>
      </c>
      <c r="H53">
        <f>IF(VLOOKUP(A53,04_PROYECTOS!$A:$N,10,FALSE)="", IF(VLOOKUP(A53,04_PROYECTOS!$A:$N,4,FALSE)="Privado", INDEX(02B_ESCENARIOS!$B$4:$D$11, MATCH("DSO_PRIVADO_DEFAULT", 02B_ESCENARIOS!$A$4:$A$11, 0), MATCH("Conservador", 02B_ESCENARIOS!$B$3:$D$3, 0)), IF(VLOOKUP(A53,04_PROYECTOS!$A:$N,4,FALSE)="Publico_&lt;10M",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VLOOKUP(A53,04_PROYECTOS!$A:$N,10,FALSE))</f>
        <v/>
      </c>
      <c r="I53">
        <f>ROUNDUP(H53/30,0)</f>
        <v/>
      </c>
      <c r="J53">
        <f>EDATE(C53,I53)</f>
        <v/>
      </c>
      <c r="K53">
        <f>G53</f>
        <v/>
      </c>
    </row>
    <row r="54">
      <c r="E54">
        <f>D54*VLOOKUP(A54,04_PROYECTOS!$A:$N,5,FALSE)*(INDEX(02B_ESCENARIOS!$B$4:$D$11, MATCH("MULT_PRECIO", 02B_ESCENARIOS!$A$4:$A$11, 0), MATCH("Conservador", 02B_ESCENARIOS!$B$3:$D$3, 0)))*INDEX(02B_ESCENARIOS!$B$15:$D$19, MATCH(VLOOKUP(A54,04_PROYECTOS!$A:$N,9,FALSE), 02B_ESCENARIOS!$A$15:$A$19, 0), MATCH("Conservador", 02B_ESCENARIOS!$B$14:$D$14, 0))</f>
        <v/>
      </c>
      <c r="F54">
        <f>E54*VLOOKUP(A54,04_PROYECTOS!$A:$N,6,FALSE)</f>
        <v/>
      </c>
      <c r="G54">
        <f>E54+F54</f>
        <v/>
      </c>
      <c r="H54">
        <f>IF(VLOOKUP(A54,04_PROYECTOS!$A:$N,10,FALSE)="", IF(VLOOKUP(A54,04_PROYECTOS!$A:$N,4,FALSE)="Privado", INDEX(02B_ESCENARIOS!$B$4:$D$11, MATCH("DSO_PRIVADO_DEFAULT", 02B_ESCENARIOS!$A$4:$A$11, 0), MATCH("Conservador", 02B_ESCENARIOS!$B$3:$D$3, 0)), IF(VLOOKUP(A54,04_PROYECTOS!$A:$N,4,FALSE)="Publico_&lt;10M",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VLOOKUP(A54,04_PROYECTOS!$A:$N,10,FALSE))</f>
        <v/>
      </c>
      <c r="I54">
        <f>ROUNDUP(H54/30,0)</f>
        <v/>
      </c>
      <c r="J54">
        <f>EDATE(C54,I54)</f>
        <v/>
      </c>
      <c r="K54">
        <f>G54</f>
        <v/>
      </c>
    </row>
    <row r="55">
      <c r="E55">
        <f>D55*VLOOKUP(A55,04_PROYECTOS!$A:$N,5,FALSE)*(INDEX(02B_ESCENARIOS!$B$4:$D$11, MATCH("MULT_PRECIO", 02B_ESCENARIOS!$A$4:$A$11, 0), MATCH("Conservador", 02B_ESCENARIOS!$B$3:$D$3, 0)))*INDEX(02B_ESCENARIOS!$B$15:$D$19, MATCH(VLOOKUP(A55,04_PROYECTOS!$A:$N,9,FALSE), 02B_ESCENARIOS!$A$15:$A$19, 0), MATCH("Conservador", 02B_ESCENARIOS!$B$14:$D$14, 0))</f>
        <v/>
      </c>
      <c r="F55">
        <f>E55*VLOOKUP(A55,04_PROYECTOS!$A:$N,6,FALSE)</f>
        <v/>
      </c>
      <c r="G55">
        <f>E55+F55</f>
        <v/>
      </c>
      <c r="H55">
        <f>IF(VLOOKUP(A55,04_PROYECTOS!$A:$N,10,FALSE)="", IF(VLOOKUP(A55,04_PROYECTOS!$A:$N,4,FALSE)="Privado", INDEX(02B_ESCENARIOS!$B$4:$D$11, MATCH("DSO_PRIVADO_DEFAULT", 02B_ESCENARIOS!$A$4:$A$11, 0), MATCH("Conservador", 02B_ESCENARIOS!$B$3:$D$3, 0)), IF(VLOOKUP(A55,04_PROYECTOS!$A:$N,4,FALSE)="Publico_&lt;10M",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VLOOKUP(A55,04_PROYECTOS!$A:$N,10,FALSE))</f>
        <v/>
      </c>
      <c r="I55">
        <f>ROUNDUP(H55/30,0)</f>
        <v/>
      </c>
      <c r="J55">
        <f>EDATE(C55,I55)</f>
        <v/>
      </c>
      <c r="K55">
        <f>G55</f>
        <v/>
      </c>
    </row>
    <row r="56">
      <c r="E56">
        <f>D56*VLOOKUP(A56,04_PROYECTOS!$A:$N,5,FALSE)*(INDEX(02B_ESCENARIOS!$B$4:$D$11, MATCH("MULT_PRECIO", 02B_ESCENARIOS!$A$4:$A$11, 0), MATCH("Conservador", 02B_ESCENARIOS!$B$3:$D$3, 0)))*INDEX(02B_ESCENARIOS!$B$15:$D$19, MATCH(VLOOKUP(A56,04_PROYECTOS!$A:$N,9,FALSE), 02B_ESCENARIOS!$A$15:$A$19, 0), MATCH("Conservador", 02B_ESCENARIOS!$B$14:$D$14, 0))</f>
        <v/>
      </c>
      <c r="F56">
        <f>E56*VLOOKUP(A56,04_PROYECTOS!$A:$N,6,FALSE)</f>
        <v/>
      </c>
      <c r="G56">
        <f>E56+F56</f>
        <v/>
      </c>
      <c r="H56">
        <f>IF(VLOOKUP(A56,04_PROYECTOS!$A:$N,10,FALSE)="", IF(VLOOKUP(A56,04_PROYECTOS!$A:$N,4,FALSE)="Privado", INDEX(02B_ESCENARIOS!$B$4:$D$11, MATCH("DSO_PRIVADO_DEFAULT", 02B_ESCENARIOS!$A$4:$A$11, 0), MATCH("Conservador", 02B_ESCENARIOS!$B$3:$D$3, 0)), IF(VLOOKUP(A56,04_PROYECTOS!$A:$N,4,FALSE)="Publico_&lt;10M",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VLOOKUP(A56,04_PROYECTOS!$A:$N,10,FALSE))</f>
        <v/>
      </c>
      <c r="I56">
        <f>ROUNDUP(H56/30,0)</f>
        <v/>
      </c>
      <c r="J56">
        <f>EDATE(C56,I56)</f>
        <v/>
      </c>
      <c r="K56">
        <f>G56</f>
        <v/>
      </c>
    </row>
    <row r="57">
      <c r="E57">
        <f>D57*VLOOKUP(A57,04_PROYECTOS!$A:$N,5,FALSE)*(INDEX(02B_ESCENARIOS!$B$4:$D$11, MATCH("MULT_PRECIO", 02B_ESCENARIOS!$A$4:$A$11, 0), MATCH("Conservador", 02B_ESCENARIOS!$B$3:$D$3, 0)))*INDEX(02B_ESCENARIOS!$B$15:$D$19, MATCH(VLOOKUP(A57,04_PROYECTOS!$A:$N,9,FALSE), 02B_ESCENARIOS!$A$15:$A$19, 0), MATCH("Conservador", 02B_ESCENARIOS!$B$14:$D$14, 0))</f>
        <v/>
      </c>
      <c r="F57">
        <f>E57*VLOOKUP(A57,04_PROYECTOS!$A:$N,6,FALSE)</f>
        <v/>
      </c>
      <c r="G57">
        <f>E57+F57</f>
        <v/>
      </c>
      <c r="H57">
        <f>IF(VLOOKUP(A57,04_PROYECTOS!$A:$N,10,FALSE)="", IF(VLOOKUP(A57,04_PROYECTOS!$A:$N,4,FALSE)="Privado", INDEX(02B_ESCENARIOS!$B$4:$D$11, MATCH("DSO_PRIVADO_DEFAULT", 02B_ESCENARIOS!$A$4:$A$11, 0), MATCH("Conservador", 02B_ESCENARIOS!$B$3:$D$3, 0)), IF(VLOOKUP(A57,04_PROYECTOS!$A:$N,4,FALSE)="Publico_&lt;10M",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VLOOKUP(A57,04_PROYECTOS!$A:$N,10,FALSE))</f>
        <v/>
      </c>
      <c r="I57">
        <f>ROUNDUP(H57/30,0)</f>
        <v/>
      </c>
      <c r="J57">
        <f>EDATE(C57,I57)</f>
        <v/>
      </c>
      <c r="K57">
        <f>G57</f>
        <v/>
      </c>
    </row>
    <row r="58">
      <c r="E58">
        <f>D58*VLOOKUP(A58,04_PROYECTOS!$A:$N,5,FALSE)*(INDEX(02B_ESCENARIOS!$B$4:$D$11, MATCH("MULT_PRECIO", 02B_ESCENARIOS!$A$4:$A$11, 0), MATCH("Conservador", 02B_ESCENARIOS!$B$3:$D$3, 0)))*INDEX(02B_ESCENARIOS!$B$15:$D$19, MATCH(VLOOKUP(A58,04_PROYECTOS!$A:$N,9,FALSE), 02B_ESCENARIOS!$A$15:$A$19, 0), MATCH("Conservador", 02B_ESCENARIOS!$B$14:$D$14, 0))</f>
        <v/>
      </c>
      <c r="F58">
        <f>E58*VLOOKUP(A58,04_PROYECTOS!$A:$N,6,FALSE)</f>
        <v/>
      </c>
      <c r="G58">
        <f>E58+F58</f>
        <v/>
      </c>
      <c r="H58">
        <f>IF(VLOOKUP(A58,04_PROYECTOS!$A:$N,10,FALSE)="", IF(VLOOKUP(A58,04_PROYECTOS!$A:$N,4,FALSE)="Privado", INDEX(02B_ESCENARIOS!$B$4:$D$11, MATCH("DSO_PRIVADO_DEFAULT", 02B_ESCENARIOS!$A$4:$A$11, 0), MATCH("Conservador", 02B_ESCENARIOS!$B$3:$D$3, 0)), IF(VLOOKUP(A58,04_PROYECTOS!$A:$N,4,FALSE)="Publico_&lt;10M",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VLOOKUP(A58,04_PROYECTOS!$A:$N,10,FALSE))</f>
        <v/>
      </c>
      <c r="I58">
        <f>ROUNDUP(H58/30,0)</f>
        <v/>
      </c>
      <c r="J58">
        <f>EDATE(C58,I58)</f>
        <v/>
      </c>
      <c r="K58">
        <f>G58</f>
        <v/>
      </c>
    </row>
    <row r="59">
      <c r="E59">
        <f>D59*VLOOKUP(A59,04_PROYECTOS!$A:$N,5,FALSE)*(INDEX(02B_ESCENARIOS!$B$4:$D$11, MATCH("MULT_PRECIO", 02B_ESCENARIOS!$A$4:$A$11, 0), MATCH("Conservador", 02B_ESCENARIOS!$B$3:$D$3, 0)))*INDEX(02B_ESCENARIOS!$B$15:$D$19, MATCH(VLOOKUP(A59,04_PROYECTOS!$A:$N,9,FALSE), 02B_ESCENARIOS!$A$15:$A$19, 0), MATCH("Conservador", 02B_ESCENARIOS!$B$14:$D$14, 0))</f>
        <v/>
      </c>
      <c r="F59">
        <f>E59*VLOOKUP(A59,04_PROYECTOS!$A:$N,6,FALSE)</f>
        <v/>
      </c>
      <c r="G59">
        <f>E59+F59</f>
        <v/>
      </c>
      <c r="H59">
        <f>IF(VLOOKUP(A59,04_PROYECTOS!$A:$N,10,FALSE)="", IF(VLOOKUP(A59,04_PROYECTOS!$A:$N,4,FALSE)="Privado", INDEX(02B_ESCENARIOS!$B$4:$D$11, MATCH("DSO_PRIVADO_DEFAULT", 02B_ESCENARIOS!$A$4:$A$11, 0), MATCH("Conservador", 02B_ESCENARIOS!$B$3:$D$3, 0)), IF(VLOOKUP(A59,04_PROYECTOS!$A:$N,4,FALSE)="Publico_&lt;10M",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VLOOKUP(A59,04_PROYECTOS!$A:$N,10,FALSE))</f>
        <v/>
      </c>
      <c r="I59">
        <f>ROUNDUP(H59/30,0)</f>
        <v/>
      </c>
      <c r="J59">
        <f>EDATE(C59,I59)</f>
        <v/>
      </c>
      <c r="K59">
        <f>G59</f>
        <v/>
      </c>
    </row>
    <row r="60">
      <c r="E60">
        <f>D60*VLOOKUP(A60,04_PROYECTOS!$A:$N,5,FALSE)*(INDEX(02B_ESCENARIOS!$B$4:$D$11, MATCH("MULT_PRECIO", 02B_ESCENARIOS!$A$4:$A$11, 0), MATCH("Conservador", 02B_ESCENARIOS!$B$3:$D$3, 0)))*INDEX(02B_ESCENARIOS!$B$15:$D$19, MATCH(VLOOKUP(A60,04_PROYECTOS!$A:$N,9,FALSE), 02B_ESCENARIOS!$A$15:$A$19, 0), MATCH("Conservador", 02B_ESCENARIOS!$B$14:$D$14, 0))</f>
        <v/>
      </c>
      <c r="F60">
        <f>E60*VLOOKUP(A60,04_PROYECTOS!$A:$N,6,FALSE)</f>
        <v/>
      </c>
      <c r="G60">
        <f>E60+F60</f>
        <v/>
      </c>
      <c r="H60">
        <f>IF(VLOOKUP(A60,04_PROYECTOS!$A:$N,10,FALSE)="", IF(VLOOKUP(A60,04_PROYECTOS!$A:$N,4,FALSE)="Privado", INDEX(02B_ESCENARIOS!$B$4:$D$11, MATCH("DSO_PRIVADO_DEFAULT", 02B_ESCENARIOS!$A$4:$A$11, 0), MATCH("Conservador", 02B_ESCENARIOS!$B$3:$D$3, 0)), IF(VLOOKUP(A60,04_PROYECTOS!$A:$N,4,FALSE)="Publico_&lt;10M",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VLOOKUP(A60,04_PROYECTOS!$A:$N,10,FALSE))</f>
        <v/>
      </c>
      <c r="I60">
        <f>ROUNDUP(H60/30,0)</f>
        <v/>
      </c>
      <c r="J60">
        <f>EDATE(C60,I60)</f>
        <v/>
      </c>
      <c r="K60">
        <f>G60</f>
        <v/>
      </c>
    </row>
    <row r="61">
      <c r="E61">
        <f>D61*VLOOKUP(A61,04_PROYECTOS!$A:$N,5,FALSE)*(INDEX(02B_ESCENARIOS!$B$4:$D$11, MATCH("MULT_PRECIO", 02B_ESCENARIOS!$A$4:$A$11, 0), MATCH("Conservador", 02B_ESCENARIOS!$B$3:$D$3, 0)))*INDEX(02B_ESCENARIOS!$B$15:$D$19, MATCH(VLOOKUP(A61,04_PROYECTOS!$A:$N,9,FALSE), 02B_ESCENARIOS!$A$15:$A$19, 0), MATCH("Conservador", 02B_ESCENARIOS!$B$14:$D$14, 0))</f>
        <v/>
      </c>
      <c r="F61">
        <f>E61*VLOOKUP(A61,04_PROYECTOS!$A:$N,6,FALSE)</f>
        <v/>
      </c>
      <c r="G61">
        <f>E61+F61</f>
        <v/>
      </c>
      <c r="H61">
        <f>IF(VLOOKUP(A61,04_PROYECTOS!$A:$N,10,FALSE)="", IF(VLOOKUP(A61,04_PROYECTOS!$A:$N,4,FALSE)="Privado", INDEX(02B_ESCENARIOS!$B$4:$D$11, MATCH("DSO_PRIVADO_DEFAULT", 02B_ESCENARIOS!$A$4:$A$11, 0), MATCH("Conservador", 02B_ESCENARIOS!$B$3:$D$3, 0)), IF(VLOOKUP(A61,04_PROYECTOS!$A:$N,4,FALSE)="Publico_&lt;10M",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VLOOKUP(A61,04_PROYECTOS!$A:$N,10,FALSE))</f>
        <v/>
      </c>
      <c r="I61">
        <f>ROUNDUP(H61/30,0)</f>
        <v/>
      </c>
      <c r="J61">
        <f>EDATE(C61,I61)</f>
        <v/>
      </c>
      <c r="K61">
        <f>G61</f>
        <v/>
      </c>
    </row>
    <row r="62">
      <c r="E62">
        <f>D62*VLOOKUP(A62,04_PROYECTOS!$A:$N,5,FALSE)*(INDEX(02B_ESCENARIOS!$B$4:$D$11, MATCH("MULT_PRECIO", 02B_ESCENARIOS!$A$4:$A$11, 0), MATCH("Conservador", 02B_ESCENARIOS!$B$3:$D$3, 0)))*INDEX(02B_ESCENARIOS!$B$15:$D$19, MATCH(VLOOKUP(A62,04_PROYECTOS!$A:$N,9,FALSE), 02B_ESCENARIOS!$A$15:$A$19, 0), MATCH("Conservador", 02B_ESCENARIOS!$B$14:$D$14, 0))</f>
        <v/>
      </c>
      <c r="F62">
        <f>E62*VLOOKUP(A62,04_PROYECTOS!$A:$N,6,FALSE)</f>
        <v/>
      </c>
      <c r="G62">
        <f>E62+F62</f>
        <v/>
      </c>
      <c r="H62">
        <f>IF(VLOOKUP(A62,04_PROYECTOS!$A:$N,10,FALSE)="", IF(VLOOKUP(A62,04_PROYECTOS!$A:$N,4,FALSE)="Privado", INDEX(02B_ESCENARIOS!$B$4:$D$11, MATCH("DSO_PRIVADO_DEFAULT", 02B_ESCENARIOS!$A$4:$A$11, 0), MATCH("Conservador", 02B_ESCENARIOS!$B$3:$D$3, 0)), IF(VLOOKUP(A62,04_PROYECTOS!$A:$N,4,FALSE)="Publico_&lt;10M",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VLOOKUP(A62,04_PROYECTOS!$A:$N,10,FALSE))</f>
        <v/>
      </c>
      <c r="I62">
        <f>ROUNDUP(H62/30,0)</f>
        <v/>
      </c>
      <c r="J62">
        <f>EDATE(C62,I62)</f>
        <v/>
      </c>
      <c r="K62">
        <f>G62</f>
        <v/>
      </c>
    </row>
    <row r="63">
      <c r="E63">
        <f>D63*VLOOKUP(A63,04_PROYECTOS!$A:$N,5,FALSE)*(INDEX(02B_ESCENARIOS!$B$4:$D$11, MATCH("MULT_PRECIO", 02B_ESCENARIOS!$A$4:$A$11, 0), MATCH("Conservador", 02B_ESCENARIOS!$B$3:$D$3, 0)))*INDEX(02B_ESCENARIOS!$B$15:$D$19, MATCH(VLOOKUP(A63,04_PROYECTOS!$A:$N,9,FALSE), 02B_ESCENARIOS!$A$15:$A$19, 0), MATCH("Conservador", 02B_ESCENARIOS!$B$14:$D$14, 0))</f>
        <v/>
      </c>
      <c r="F63">
        <f>E63*VLOOKUP(A63,04_PROYECTOS!$A:$N,6,FALSE)</f>
        <v/>
      </c>
      <c r="G63">
        <f>E63+F63</f>
        <v/>
      </c>
      <c r="H63">
        <f>IF(VLOOKUP(A63,04_PROYECTOS!$A:$N,10,FALSE)="", IF(VLOOKUP(A63,04_PROYECTOS!$A:$N,4,FALSE)="Privado", INDEX(02B_ESCENARIOS!$B$4:$D$11, MATCH("DSO_PRIVADO_DEFAULT", 02B_ESCENARIOS!$A$4:$A$11, 0), MATCH("Conservador", 02B_ESCENARIOS!$B$3:$D$3, 0)), IF(VLOOKUP(A63,04_PROYECTOS!$A:$N,4,FALSE)="Publico_&lt;10M",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VLOOKUP(A63,04_PROYECTOS!$A:$N,10,FALSE))</f>
        <v/>
      </c>
      <c r="I63">
        <f>ROUNDUP(H63/30,0)</f>
        <v/>
      </c>
      <c r="J63">
        <f>EDATE(C63,I63)</f>
        <v/>
      </c>
      <c r="K63">
        <f>G63</f>
        <v/>
      </c>
    </row>
    <row r="64">
      <c r="E64">
        <f>D64*VLOOKUP(A64,04_PROYECTOS!$A:$N,5,FALSE)*(INDEX(02B_ESCENARIOS!$B$4:$D$11, MATCH("MULT_PRECIO", 02B_ESCENARIOS!$A$4:$A$11, 0), MATCH("Conservador", 02B_ESCENARIOS!$B$3:$D$3, 0)))*INDEX(02B_ESCENARIOS!$B$15:$D$19, MATCH(VLOOKUP(A64,04_PROYECTOS!$A:$N,9,FALSE), 02B_ESCENARIOS!$A$15:$A$19, 0), MATCH("Conservador", 02B_ESCENARIOS!$B$14:$D$14, 0))</f>
        <v/>
      </c>
      <c r="F64">
        <f>E64*VLOOKUP(A64,04_PROYECTOS!$A:$N,6,FALSE)</f>
        <v/>
      </c>
      <c r="G64">
        <f>E64+F64</f>
        <v/>
      </c>
      <c r="H64">
        <f>IF(VLOOKUP(A64,04_PROYECTOS!$A:$N,10,FALSE)="", IF(VLOOKUP(A64,04_PROYECTOS!$A:$N,4,FALSE)="Privado", INDEX(02B_ESCENARIOS!$B$4:$D$11, MATCH("DSO_PRIVADO_DEFAULT", 02B_ESCENARIOS!$A$4:$A$11, 0), MATCH("Conservador", 02B_ESCENARIOS!$B$3:$D$3, 0)), IF(VLOOKUP(A64,04_PROYECTOS!$A:$N,4,FALSE)="Publico_&lt;10M",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VLOOKUP(A64,04_PROYECTOS!$A:$N,10,FALSE))</f>
        <v/>
      </c>
      <c r="I64">
        <f>ROUNDUP(H64/30,0)</f>
        <v/>
      </c>
      <c r="J64">
        <f>EDATE(C64,I64)</f>
        <v/>
      </c>
      <c r="K64">
        <f>G64</f>
        <v/>
      </c>
    </row>
    <row r="65">
      <c r="E65">
        <f>D65*VLOOKUP(A65,04_PROYECTOS!$A:$N,5,FALSE)*(INDEX(02B_ESCENARIOS!$B$4:$D$11, MATCH("MULT_PRECIO", 02B_ESCENARIOS!$A$4:$A$11, 0), MATCH("Conservador", 02B_ESCENARIOS!$B$3:$D$3, 0)))*INDEX(02B_ESCENARIOS!$B$15:$D$19, MATCH(VLOOKUP(A65,04_PROYECTOS!$A:$N,9,FALSE), 02B_ESCENARIOS!$A$15:$A$19, 0), MATCH("Conservador", 02B_ESCENARIOS!$B$14:$D$14, 0))</f>
        <v/>
      </c>
      <c r="F65">
        <f>E65*VLOOKUP(A65,04_PROYECTOS!$A:$N,6,FALSE)</f>
        <v/>
      </c>
      <c r="G65">
        <f>E65+F65</f>
        <v/>
      </c>
      <c r="H65">
        <f>IF(VLOOKUP(A65,04_PROYECTOS!$A:$N,10,FALSE)="", IF(VLOOKUP(A65,04_PROYECTOS!$A:$N,4,FALSE)="Privado", INDEX(02B_ESCENARIOS!$B$4:$D$11, MATCH("DSO_PRIVADO_DEFAULT", 02B_ESCENARIOS!$A$4:$A$11, 0), MATCH("Conservador", 02B_ESCENARIOS!$B$3:$D$3, 0)), IF(VLOOKUP(A65,04_PROYECTOS!$A:$N,4,FALSE)="Publico_&lt;10M",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VLOOKUP(A65,04_PROYECTOS!$A:$N,10,FALSE))</f>
        <v/>
      </c>
      <c r="I65">
        <f>ROUNDUP(H65/30,0)</f>
        <v/>
      </c>
      <c r="J65">
        <f>EDATE(C65,I65)</f>
        <v/>
      </c>
      <c r="K65">
        <f>G65</f>
        <v/>
      </c>
    </row>
    <row r="66">
      <c r="E66">
        <f>D66*VLOOKUP(A66,04_PROYECTOS!$A:$N,5,FALSE)*(INDEX(02B_ESCENARIOS!$B$4:$D$11, MATCH("MULT_PRECIO", 02B_ESCENARIOS!$A$4:$A$11, 0), MATCH("Conservador", 02B_ESCENARIOS!$B$3:$D$3, 0)))*INDEX(02B_ESCENARIOS!$B$15:$D$19, MATCH(VLOOKUP(A66,04_PROYECTOS!$A:$N,9,FALSE), 02B_ESCENARIOS!$A$15:$A$19, 0), MATCH("Conservador", 02B_ESCENARIOS!$B$14:$D$14, 0))</f>
        <v/>
      </c>
      <c r="F66">
        <f>E66*VLOOKUP(A66,04_PROYECTOS!$A:$N,6,FALSE)</f>
        <v/>
      </c>
      <c r="G66">
        <f>E66+F66</f>
        <v/>
      </c>
      <c r="H66">
        <f>IF(VLOOKUP(A66,04_PROYECTOS!$A:$N,10,FALSE)="", IF(VLOOKUP(A66,04_PROYECTOS!$A:$N,4,FALSE)="Privado", INDEX(02B_ESCENARIOS!$B$4:$D$11, MATCH("DSO_PRIVADO_DEFAULT", 02B_ESCENARIOS!$A$4:$A$11, 0), MATCH("Conservador", 02B_ESCENARIOS!$B$3:$D$3, 0)), IF(VLOOKUP(A66,04_PROYECTOS!$A:$N,4,FALSE)="Publico_&lt;10M",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VLOOKUP(A66,04_PROYECTOS!$A:$N,10,FALSE))</f>
        <v/>
      </c>
      <c r="I66">
        <f>ROUNDUP(H66/30,0)</f>
        <v/>
      </c>
      <c r="J66">
        <f>EDATE(C66,I66)</f>
        <v/>
      </c>
      <c r="K66">
        <f>G66</f>
        <v/>
      </c>
    </row>
    <row r="67">
      <c r="E67">
        <f>D67*VLOOKUP(A67,04_PROYECTOS!$A:$N,5,FALSE)*(INDEX(02B_ESCENARIOS!$B$4:$D$11, MATCH("MULT_PRECIO", 02B_ESCENARIOS!$A$4:$A$11, 0), MATCH("Conservador", 02B_ESCENARIOS!$B$3:$D$3, 0)))*INDEX(02B_ESCENARIOS!$B$15:$D$19, MATCH(VLOOKUP(A67,04_PROYECTOS!$A:$N,9,FALSE), 02B_ESCENARIOS!$A$15:$A$19, 0), MATCH("Conservador", 02B_ESCENARIOS!$B$14:$D$14, 0))</f>
        <v/>
      </c>
      <c r="F67">
        <f>E67*VLOOKUP(A67,04_PROYECTOS!$A:$N,6,FALSE)</f>
        <v/>
      </c>
      <c r="G67">
        <f>E67+F67</f>
        <v/>
      </c>
      <c r="H67">
        <f>IF(VLOOKUP(A67,04_PROYECTOS!$A:$N,10,FALSE)="", IF(VLOOKUP(A67,04_PROYECTOS!$A:$N,4,FALSE)="Privado", INDEX(02B_ESCENARIOS!$B$4:$D$11, MATCH("DSO_PRIVADO_DEFAULT", 02B_ESCENARIOS!$A$4:$A$11, 0), MATCH("Conservador", 02B_ESCENARIOS!$B$3:$D$3, 0)), IF(VLOOKUP(A67,04_PROYECTOS!$A:$N,4,FALSE)="Publico_&lt;10M",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VLOOKUP(A67,04_PROYECTOS!$A:$N,10,FALSE))</f>
        <v/>
      </c>
      <c r="I67">
        <f>ROUNDUP(H67/30,0)</f>
        <v/>
      </c>
      <c r="J67">
        <f>EDATE(C67,I67)</f>
        <v/>
      </c>
      <c r="K67">
        <f>G67</f>
        <v/>
      </c>
    </row>
    <row r="68">
      <c r="E68">
        <f>D68*VLOOKUP(A68,04_PROYECTOS!$A:$N,5,FALSE)*(INDEX(02B_ESCENARIOS!$B$4:$D$11, MATCH("MULT_PRECIO", 02B_ESCENARIOS!$A$4:$A$11, 0), MATCH("Conservador", 02B_ESCENARIOS!$B$3:$D$3, 0)))*INDEX(02B_ESCENARIOS!$B$15:$D$19, MATCH(VLOOKUP(A68,04_PROYECTOS!$A:$N,9,FALSE), 02B_ESCENARIOS!$A$15:$A$19, 0), MATCH("Conservador", 02B_ESCENARIOS!$B$14:$D$14, 0))</f>
        <v/>
      </c>
      <c r="F68">
        <f>E68*VLOOKUP(A68,04_PROYECTOS!$A:$N,6,FALSE)</f>
        <v/>
      </c>
      <c r="G68">
        <f>E68+F68</f>
        <v/>
      </c>
      <c r="H68">
        <f>IF(VLOOKUP(A68,04_PROYECTOS!$A:$N,10,FALSE)="", IF(VLOOKUP(A68,04_PROYECTOS!$A:$N,4,FALSE)="Privado", INDEX(02B_ESCENARIOS!$B$4:$D$11, MATCH("DSO_PRIVADO_DEFAULT", 02B_ESCENARIOS!$A$4:$A$11, 0), MATCH("Conservador", 02B_ESCENARIOS!$B$3:$D$3, 0)), IF(VLOOKUP(A68,04_PROYECTOS!$A:$N,4,FALSE)="Publico_&lt;10M",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VLOOKUP(A68,04_PROYECTOS!$A:$N,10,FALSE))</f>
        <v/>
      </c>
      <c r="I68">
        <f>ROUNDUP(H68/30,0)</f>
        <v/>
      </c>
      <c r="J68">
        <f>EDATE(C68,I68)</f>
        <v/>
      </c>
      <c r="K68">
        <f>G68</f>
        <v/>
      </c>
    </row>
    <row r="69">
      <c r="E69">
        <f>D69*VLOOKUP(A69,04_PROYECTOS!$A:$N,5,FALSE)*(INDEX(02B_ESCENARIOS!$B$4:$D$11, MATCH("MULT_PRECIO", 02B_ESCENARIOS!$A$4:$A$11, 0), MATCH("Conservador", 02B_ESCENARIOS!$B$3:$D$3, 0)))*INDEX(02B_ESCENARIOS!$B$15:$D$19, MATCH(VLOOKUP(A69,04_PROYECTOS!$A:$N,9,FALSE), 02B_ESCENARIOS!$A$15:$A$19, 0), MATCH("Conservador", 02B_ESCENARIOS!$B$14:$D$14, 0))</f>
        <v/>
      </c>
      <c r="F69">
        <f>E69*VLOOKUP(A69,04_PROYECTOS!$A:$N,6,FALSE)</f>
        <v/>
      </c>
      <c r="G69">
        <f>E69+F69</f>
        <v/>
      </c>
      <c r="H69">
        <f>IF(VLOOKUP(A69,04_PROYECTOS!$A:$N,10,FALSE)="", IF(VLOOKUP(A69,04_PROYECTOS!$A:$N,4,FALSE)="Privado", INDEX(02B_ESCENARIOS!$B$4:$D$11, MATCH("DSO_PRIVADO_DEFAULT", 02B_ESCENARIOS!$A$4:$A$11, 0), MATCH("Conservador", 02B_ESCENARIOS!$B$3:$D$3, 0)), IF(VLOOKUP(A69,04_PROYECTOS!$A:$N,4,FALSE)="Publico_&lt;10M",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VLOOKUP(A69,04_PROYECTOS!$A:$N,10,FALSE))</f>
        <v/>
      </c>
      <c r="I69">
        <f>ROUNDUP(H69/30,0)</f>
        <v/>
      </c>
      <c r="J69">
        <f>EDATE(C69,I69)</f>
        <v/>
      </c>
      <c r="K69">
        <f>G69</f>
        <v/>
      </c>
    </row>
    <row r="70">
      <c r="E70">
        <f>D70*VLOOKUP(A70,04_PROYECTOS!$A:$N,5,FALSE)*(INDEX(02B_ESCENARIOS!$B$4:$D$11, MATCH("MULT_PRECIO", 02B_ESCENARIOS!$A$4:$A$11, 0), MATCH("Conservador", 02B_ESCENARIOS!$B$3:$D$3, 0)))*INDEX(02B_ESCENARIOS!$B$15:$D$19, MATCH(VLOOKUP(A70,04_PROYECTOS!$A:$N,9,FALSE), 02B_ESCENARIOS!$A$15:$A$19, 0), MATCH("Conservador", 02B_ESCENARIOS!$B$14:$D$14, 0))</f>
        <v/>
      </c>
      <c r="F70">
        <f>E70*VLOOKUP(A70,04_PROYECTOS!$A:$N,6,FALSE)</f>
        <v/>
      </c>
      <c r="G70">
        <f>E70+F70</f>
        <v/>
      </c>
      <c r="H70">
        <f>IF(VLOOKUP(A70,04_PROYECTOS!$A:$N,10,FALSE)="", IF(VLOOKUP(A70,04_PROYECTOS!$A:$N,4,FALSE)="Privado", INDEX(02B_ESCENARIOS!$B$4:$D$11, MATCH("DSO_PRIVADO_DEFAULT", 02B_ESCENARIOS!$A$4:$A$11, 0), MATCH("Conservador", 02B_ESCENARIOS!$B$3:$D$3, 0)), IF(VLOOKUP(A70,04_PROYECTOS!$A:$N,4,FALSE)="Publico_&lt;10M",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VLOOKUP(A70,04_PROYECTOS!$A:$N,10,FALSE))</f>
        <v/>
      </c>
      <c r="I70">
        <f>ROUNDUP(H70/30,0)</f>
        <v/>
      </c>
      <c r="J70">
        <f>EDATE(C70,I70)</f>
        <v/>
      </c>
      <c r="K70">
        <f>G70</f>
        <v/>
      </c>
    </row>
    <row r="71">
      <c r="E71">
        <f>D71*VLOOKUP(A71,04_PROYECTOS!$A:$N,5,FALSE)*(INDEX(02B_ESCENARIOS!$B$4:$D$11, MATCH("MULT_PRECIO", 02B_ESCENARIOS!$A$4:$A$11, 0), MATCH("Conservador", 02B_ESCENARIOS!$B$3:$D$3, 0)))*INDEX(02B_ESCENARIOS!$B$15:$D$19, MATCH(VLOOKUP(A71,04_PROYECTOS!$A:$N,9,FALSE), 02B_ESCENARIOS!$A$15:$A$19, 0), MATCH("Conservador", 02B_ESCENARIOS!$B$14:$D$14, 0))</f>
        <v/>
      </c>
      <c r="F71">
        <f>E71*VLOOKUP(A71,04_PROYECTOS!$A:$N,6,FALSE)</f>
        <v/>
      </c>
      <c r="G71">
        <f>E71+F71</f>
        <v/>
      </c>
      <c r="H71">
        <f>IF(VLOOKUP(A71,04_PROYECTOS!$A:$N,10,FALSE)="", IF(VLOOKUP(A71,04_PROYECTOS!$A:$N,4,FALSE)="Privado", INDEX(02B_ESCENARIOS!$B$4:$D$11, MATCH("DSO_PRIVADO_DEFAULT", 02B_ESCENARIOS!$A$4:$A$11, 0), MATCH("Conservador", 02B_ESCENARIOS!$B$3:$D$3, 0)), IF(VLOOKUP(A71,04_PROYECTOS!$A:$N,4,FALSE)="Publico_&lt;10M",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VLOOKUP(A71,04_PROYECTOS!$A:$N,10,FALSE))</f>
        <v/>
      </c>
      <c r="I71">
        <f>ROUNDUP(H71/30,0)</f>
        <v/>
      </c>
      <c r="J71">
        <f>EDATE(C71,I71)</f>
        <v/>
      </c>
      <c r="K71">
        <f>G71</f>
        <v/>
      </c>
    </row>
    <row r="72">
      <c r="E72">
        <f>D72*VLOOKUP(A72,04_PROYECTOS!$A:$N,5,FALSE)*(INDEX(02B_ESCENARIOS!$B$4:$D$11, MATCH("MULT_PRECIO", 02B_ESCENARIOS!$A$4:$A$11, 0), MATCH("Conservador", 02B_ESCENARIOS!$B$3:$D$3, 0)))*INDEX(02B_ESCENARIOS!$B$15:$D$19, MATCH(VLOOKUP(A72,04_PROYECTOS!$A:$N,9,FALSE), 02B_ESCENARIOS!$A$15:$A$19, 0), MATCH("Conservador", 02B_ESCENARIOS!$B$14:$D$14, 0))</f>
        <v/>
      </c>
      <c r="F72">
        <f>E72*VLOOKUP(A72,04_PROYECTOS!$A:$N,6,FALSE)</f>
        <v/>
      </c>
      <c r="G72">
        <f>E72+F72</f>
        <v/>
      </c>
      <c r="H72">
        <f>IF(VLOOKUP(A72,04_PROYECTOS!$A:$N,10,FALSE)="", IF(VLOOKUP(A72,04_PROYECTOS!$A:$N,4,FALSE)="Privado", INDEX(02B_ESCENARIOS!$B$4:$D$11, MATCH("DSO_PRIVADO_DEFAULT", 02B_ESCENARIOS!$A$4:$A$11, 0), MATCH("Conservador", 02B_ESCENARIOS!$B$3:$D$3, 0)), IF(VLOOKUP(A72,04_PROYECTOS!$A:$N,4,FALSE)="Publico_&lt;10M",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VLOOKUP(A72,04_PROYECTOS!$A:$N,10,FALSE))</f>
        <v/>
      </c>
      <c r="I72">
        <f>ROUNDUP(H72/30,0)</f>
        <v/>
      </c>
      <c r="J72">
        <f>EDATE(C72,I72)</f>
        <v/>
      </c>
      <c r="K72">
        <f>G72</f>
        <v/>
      </c>
    </row>
    <row r="73">
      <c r="E73">
        <f>D73*VLOOKUP(A73,04_PROYECTOS!$A:$N,5,FALSE)*(INDEX(02B_ESCENARIOS!$B$4:$D$11, MATCH("MULT_PRECIO", 02B_ESCENARIOS!$A$4:$A$11, 0), MATCH("Conservador", 02B_ESCENARIOS!$B$3:$D$3, 0)))*INDEX(02B_ESCENARIOS!$B$15:$D$19, MATCH(VLOOKUP(A73,04_PROYECTOS!$A:$N,9,FALSE), 02B_ESCENARIOS!$A$15:$A$19, 0), MATCH("Conservador", 02B_ESCENARIOS!$B$14:$D$14, 0))</f>
        <v/>
      </c>
      <c r="F73">
        <f>E73*VLOOKUP(A73,04_PROYECTOS!$A:$N,6,FALSE)</f>
        <v/>
      </c>
      <c r="G73">
        <f>E73+F73</f>
        <v/>
      </c>
      <c r="H73">
        <f>IF(VLOOKUP(A73,04_PROYECTOS!$A:$N,10,FALSE)="", IF(VLOOKUP(A73,04_PROYECTOS!$A:$N,4,FALSE)="Privado", INDEX(02B_ESCENARIOS!$B$4:$D$11, MATCH("DSO_PRIVADO_DEFAULT", 02B_ESCENARIOS!$A$4:$A$11, 0), MATCH("Conservador", 02B_ESCENARIOS!$B$3:$D$3, 0)), IF(VLOOKUP(A73,04_PROYECTOS!$A:$N,4,FALSE)="Publico_&lt;10M",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VLOOKUP(A73,04_PROYECTOS!$A:$N,10,FALSE))</f>
        <v/>
      </c>
      <c r="I73">
        <f>ROUNDUP(H73/30,0)</f>
        <v/>
      </c>
      <c r="J73">
        <f>EDATE(C73,I73)</f>
        <v/>
      </c>
      <c r="K73">
        <f>G73</f>
        <v/>
      </c>
    </row>
    <row r="74">
      <c r="E74">
        <f>D74*VLOOKUP(A74,04_PROYECTOS!$A:$N,5,FALSE)*(INDEX(02B_ESCENARIOS!$B$4:$D$11, MATCH("MULT_PRECIO", 02B_ESCENARIOS!$A$4:$A$11, 0), MATCH("Conservador", 02B_ESCENARIOS!$B$3:$D$3, 0)))*INDEX(02B_ESCENARIOS!$B$15:$D$19, MATCH(VLOOKUP(A74,04_PROYECTOS!$A:$N,9,FALSE), 02B_ESCENARIOS!$A$15:$A$19, 0), MATCH("Conservador", 02B_ESCENARIOS!$B$14:$D$14, 0))</f>
        <v/>
      </c>
      <c r="F74">
        <f>E74*VLOOKUP(A74,04_PROYECTOS!$A:$N,6,FALSE)</f>
        <v/>
      </c>
      <c r="G74">
        <f>E74+F74</f>
        <v/>
      </c>
      <c r="H74">
        <f>IF(VLOOKUP(A74,04_PROYECTOS!$A:$N,10,FALSE)="", IF(VLOOKUP(A74,04_PROYECTOS!$A:$N,4,FALSE)="Privado", INDEX(02B_ESCENARIOS!$B$4:$D$11, MATCH("DSO_PRIVADO_DEFAULT", 02B_ESCENARIOS!$A$4:$A$11, 0), MATCH("Conservador", 02B_ESCENARIOS!$B$3:$D$3, 0)), IF(VLOOKUP(A74,04_PROYECTOS!$A:$N,4,FALSE)="Publico_&lt;10M",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VLOOKUP(A74,04_PROYECTOS!$A:$N,10,FALSE))</f>
        <v/>
      </c>
      <c r="I74">
        <f>ROUNDUP(H74/30,0)</f>
        <v/>
      </c>
      <c r="J74">
        <f>EDATE(C74,I74)</f>
        <v/>
      </c>
      <c r="K74">
        <f>G74</f>
        <v/>
      </c>
    </row>
    <row r="75">
      <c r="E75">
        <f>D75*VLOOKUP(A75,04_PROYECTOS!$A:$N,5,FALSE)*(INDEX(02B_ESCENARIOS!$B$4:$D$11, MATCH("MULT_PRECIO", 02B_ESCENARIOS!$A$4:$A$11, 0), MATCH("Conservador", 02B_ESCENARIOS!$B$3:$D$3, 0)))*INDEX(02B_ESCENARIOS!$B$15:$D$19, MATCH(VLOOKUP(A75,04_PROYECTOS!$A:$N,9,FALSE), 02B_ESCENARIOS!$A$15:$A$19, 0), MATCH("Conservador", 02B_ESCENARIOS!$B$14:$D$14, 0))</f>
        <v/>
      </c>
      <c r="F75">
        <f>E75*VLOOKUP(A75,04_PROYECTOS!$A:$N,6,FALSE)</f>
        <v/>
      </c>
      <c r="G75">
        <f>E75+F75</f>
        <v/>
      </c>
      <c r="H75">
        <f>IF(VLOOKUP(A75,04_PROYECTOS!$A:$N,10,FALSE)="", IF(VLOOKUP(A75,04_PROYECTOS!$A:$N,4,FALSE)="Privado", INDEX(02B_ESCENARIOS!$B$4:$D$11, MATCH("DSO_PRIVADO_DEFAULT", 02B_ESCENARIOS!$A$4:$A$11, 0), MATCH("Conservador", 02B_ESCENARIOS!$B$3:$D$3, 0)), IF(VLOOKUP(A75,04_PROYECTOS!$A:$N,4,FALSE)="Publico_&lt;10M",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VLOOKUP(A75,04_PROYECTOS!$A:$N,10,FALSE))</f>
        <v/>
      </c>
      <c r="I75">
        <f>ROUNDUP(H75/30,0)</f>
        <v/>
      </c>
      <c r="J75">
        <f>EDATE(C75,I75)</f>
        <v/>
      </c>
      <c r="K75">
        <f>G75</f>
        <v/>
      </c>
    </row>
    <row r="76">
      <c r="E76">
        <f>D76*VLOOKUP(A76,04_PROYECTOS!$A:$N,5,FALSE)*(INDEX(02B_ESCENARIOS!$B$4:$D$11, MATCH("MULT_PRECIO", 02B_ESCENARIOS!$A$4:$A$11, 0), MATCH("Conservador", 02B_ESCENARIOS!$B$3:$D$3, 0)))*INDEX(02B_ESCENARIOS!$B$15:$D$19, MATCH(VLOOKUP(A76,04_PROYECTOS!$A:$N,9,FALSE), 02B_ESCENARIOS!$A$15:$A$19, 0), MATCH("Conservador", 02B_ESCENARIOS!$B$14:$D$14, 0))</f>
        <v/>
      </c>
      <c r="F76">
        <f>E76*VLOOKUP(A76,04_PROYECTOS!$A:$N,6,FALSE)</f>
        <v/>
      </c>
      <c r="G76">
        <f>E76+F76</f>
        <v/>
      </c>
      <c r="H76">
        <f>IF(VLOOKUP(A76,04_PROYECTOS!$A:$N,10,FALSE)="", IF(VLOOKUP(A76,04_PROYECTOS!$A:$N,4,FALSE)="Privado", INDEX(02B_ESCENARIOS!$B$4:$D$11, MATCH("DSO_PRIVADO_DEFAULT", 02B_ESCENARIOS!$A$4:$A$11, 0), MATCH("Conservador", 02B_ESCENARIOS!$B$3:$D$3, 0)), IF(VLOOKUP(A76,04_PROYECTOS!$A:$N,4,FALSE)="Publico_&lt;10M",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VLOOKUP(A76,04_PROYECTOS!$A:$N,10,FALSE))</f>
        <v/>
      </c>
      <c r="I76">
        <f>ROUNDUP(H76/30,0)</f>
        <v/>
      </c>
      <c r="J76">
        <f>EDATE(C76,I76)</f>
        <v/>
      </c>
      <c r="K76">
        <f>G76</f>
        <v/>
      </c>
    </row>
    <row r="77">
      <c r="E77">
        <f>D77*VLOOKUP(A77,04_PROYECTOS!$A:$N,5,FALSE)*(INDEX(02B_ESCENARIOS!$B$4:$D$11, MATCH("MULT_PRECIO", 02B_ESCENARIOS!$A$4:$A$11, 0), MATCH("Conservador", 02B_ESCENARIOS!$B$3:$D$3, 0)))*INDEX(02B_ESCENARIOS!$B$15:$D$19, MATCH(VLOOKUP(A77,04_PROYECTOS!$A:$N,9,FALSE), 02B_ESCENARIOS!$A$15:$A$19, 0), MATCH("Conservador", 02B_ESCENARIOS!$B$14:$D$14, 0))</f>
        <v/>
      </c>
      <c r="F77">
        <f>E77*VLOOKUP(A77,04_PROYECTOS!$A:$N,6,FALSE)</f>
        <v/>
      </c>
      <c r="G77">
        <f>E77+F77</f>
        <v/>
      </c>
      <c r="H77">
        <f>IF(VLOOKUP(A77,04_PROYECTOS!$A:$N,10,FALSE)="", IF(VLOOKUP(A77,04_PROYECTOS!$A:$N,4,FALSE)="Privado", INDEX(02B_ESCENARIOS!$B$4:$D$11, MATCH("DSO_PRIVADO_DEFAULT", 02B_ESCENARIOS!$A$4:$A$11, 0), MATCH("Conservador", 02B_ESCENARIOS!$B$3:$D$3, 0)), IF(VLOOKUP(A77,04_PROYECTOS!$A:$N,4,FALSE)="Publico_&lt;10M",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VLOOKUP(A77,04_PROYECTOS!$A:$N,10,FALSE))</f>
        <v/>
      </c>
      <c r="I77">
        <f>ROUNDUP(H77/30,0)</f>
        <v/>
      </c>
      <c r="J77">
        <f>EDATE(C77,I77)</f>
        <v/>
      </c>
      <c r="K77">
        <f>G77</f>
        <v/>
      </c>
    </row>
    <row r="78">
      <c r="E78">
        <f>D78*VLOOKUP(A78,04_PROYECTOS!$A:$N,5,FALSE)*(INDEX(02B_ESCENARIOS!$B$4:$D$11, MATCH("MULT_PRECIO", 02B_ESCENARIOS!$A$4:$A$11, 0), MATCH("Conservador", 02B_ESCENARIOS!$B$3:$D$3, 0)))*INDEX(02B_ESCENARIOS!$B$15:$D$19, MATCH(VLOOKUP(A78,04_PROYECTOS!$A:$N,9,FALSE), 02B_ESCENARIOS!$A$15:$A$19, 0), MATCH("Conservador", 02B_ESCENARIOS!$B$14:$D$14, 0))</f>
        <v/>
      </c>
      <c r="F78">
        <f>E78*VLOOKUP(A78,04_PROYECTOS!$A:$N,6,FALSE)</f>
        <v/>
      </c>
      <c r="G78">
        <f>E78+F78</f>
        <v/>
      </c>
      <c r="H78">
        <f>IF(VLOOKUP(A78,04_PROYECTOS!$A:$N,10,FALSE)="", IF(VLOOKUP(A78,04_PROYECTOS!$A:$N,4,FALSE)="Privado", INDEX(02B_ESCENARIOS!$B$4:$D$11, MATCH("DSO_PRIVADO_DEFAULT", 02B_ESCENARIOS!$A$4:$A$11, 0), MATCH("Conservador", 02B_ESCENARIOS!$B$3:$D$3, 0)), IF(VLOOKUP(A78,04_PROYECTOS!$A:$N,4,FALSE)="Publico_&lt;10M",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VLOOKUP(A78,04_PROYECTOS!$A:$N,10,FALSE))</f>
        <v/>
      </c>
      <c r="I78">
        <f>ROUNDUP(H78/30,0)</f>
        <v/>
      </c>
      <c r="J78">
        <f>EDATE(C78,I78)</f>
        <v/>
      </c>
      <c r="K78">
        <f>G78</f>
        <v/>
      </c>
    </row>
    <row r="79">
      <c r="E79">
        <f>D79*VLOOKUP(A79,04_PROYECTOS!$A:$N,5,FALSE)*(INDEX(02B_ESCENARIOS!$B$4:$D$11, MATCH("MULT_PRECIO", 02B_ESCENARIOS!$A$4:$A$11, 0), MATCH("Conservador", 02B_ESCENARIOS!$B$3:$D$3, 0)))*INDEX(02B_ESCENARIOS!$B$15:$D$19, MATCH(VLOOKUP(A79,04_PROYECTOS!$A:$N,9,FALSE), 02B_ESCENARIOS!$A$15:$A$19, 0), MATCH("Conservador", 02B_ESCENARIOS!$B$14:$D$14, 0))</f>
        <v/>
      </c>
      <c r="F79">
        <f>E79*VLOOKUP(A79,04_PROYECTOS!$A:$N,6,FALSE)</f>
        <v/>
      </c>
      <c r="G79">
        <f>E79+F79</f>
        <v/>
      </c>
      <c r="H79">
        <f>IF(VLOOKUP(A79,04_PROYECTOS!$A:$N,10,FALSE)="", IF(VLOOKUP(A79,04_PROYECTOS!$A:$N,4,FALSE)="Privado", INDEX(02B_ESCENARIOS!$B$4:$D$11, MATCH("DSO_PRIVADO_DEFAULT", 02B_ESCENARIOS!$A$4:$A$11, 0), MATCH("Conservador", 02B_ESCENARIOS!$B$3:$D$3, 0)), IF(VLOOKUP(A79,04_PROYECTOS!$A:$N,4,FALSE)="Publico_&lt;10M",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VLOOKUP(A79,04_PROYECTOS!$A:$N,10,FALSE))</f>
        <v/>
      </c>
      <c r="I79">
        <f>ROUNDUP(H79/30,0)</f>
        <v/>
      </c>
      <c r="J79">
        <f>EDATE(C79,I79)</f>
        <v/>
      </c>
      <c r="K79">
        <f>G79</f>
        <v/>
      </c>
    </row>
    <row r="80">
      <c r="E80">
        <f>D80*VLOOKUP(A80,04_PROYECTOS!$A:$N,5,FALSE)*(INDEX(02B_ESCENARIOS!$B$4:$D$11, MATCH("MULT_PRECIO", 02B_ESCENARIOS!$A$4:$A$11, 0), MATCH("Conservador", 02B_ESCENARIOS!$B$3:$D$3, 0)))*INDEX(02B_ESCENARIOS!$B$15:$D$19, MATCH(VLOOKUP(A80,04_PROYECTOS!$A:$N,9,FALSE), 02B_ESCENARIOS!$A$15:$A$19, 0), MATCH("Conservador", 02B_ESCENARIOS!$B$14:$D$14, 0))</f>
        <v/>
      </c>
      <c r="F80">
        <f>E80*VLOOKUP(A80,04_PROYECTOS!$A:$N,6,FALSE)</f>
        <v/>
      </c>
      <c r="G80">
        <f>E80+F80</f>
        <v/>
      </c>
      <c r="H80">
        <f>IF(VLOOKUP(A80,04_PROYECTOS!$A:$N,10,FALSE)="", IF(VLOOKUP(A80,04_PROYECTOS!$A:$N,4,FALSE)="Privado", INDEX(02B_ESCENARIOS!$B$4:$D$11, MATCH("DSO_PRIVADO_DEFAULT", 02B_ESCENARIOS!$A$4:$A$11, 0), MATCH("Conservador", 02B_ESCENARIOS!$B$3:$D$3, 0)), IF(VLOOKUP(A80,04_PROYECTOS!$A:$N,4,FALSE)="Publico_&lt;10M",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VLOOKUP(A80,04_PROYECTOS!$A:$N,10,FALSE))</f>
        <v/>
      </c>
      <c r="I80">
        <f>ROUNDUP(H80/30,0)</f>
        <v/>
      </c>
      <c r="J80">
        <f>EDATE(C80,I80)</f>
        <v/>
      </c>
      <c r="K80">
        <f>G80</f>
        <v/>
      </c>
    </row>
    <row r="81">
      <c r="E81">
        <f>D81*VLOOKUP(A81,04_PROYECTOS!$A:$N,5,FALSE)*(INDEX(02B_ESCENARIOS!$B$4:$D$11, MATCH("MULT_PRECIO", 02B_ESCENARIOS!$A$4:$A$11, 0), MATCH("Conservador", 02B_ESCENARIOS!$B$3:$D$3, 0)))*INDEX(02B_ESCENARIOS!$B$15:$D$19, MATCH(VLOOKUP(A81,04_PROYECTOS!$A:$N,9,FALSE), 02B_ESCENARIOS!$A$15:$A$19, 0), MATCH("Conservador", 02B_ESCENARIOS!$B$14:$D$14, 0))</f>
        <v/>
      </c>
      <c r="F81">
        <f>E81*VLOOKUP(A81,04_PROYECTOS!$A:$N,6,FALSE)</f>
        <v/>
      </c>
      <c r="G81">
        <f>E81+F81</f>
        <v/>
      </c>
      <c r="H81">
        <f>IF(VLOOKUP(A81,04_PROYECTOS!$A:$N,10,FALSE)="", IF(VLOOKUP(A81,04_PROYECTOS!$A:$N,4,FALSE)="Privado", INDEX(02B_ESCENARIOS!$B$4:$D$11, MATCH("DSO_PRIVADO_DEFAULT", 02B_ESCENARIOS!$A$4:$A$11, 0), MATCH("Conservador", 02B_ESCENARIOS!$B$3:$D$3, 0)), IF(VLOOKUP(A81,04_PROYECTOS!$A:$N,4,FALSE)="Publico_&lt;10M",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VLOOKUP(A81,04_PROYECTOS!$A:$N,10,FALSE))</f>
        <v/>
      </c>
      <c r="I81">
        <f>ROUNDUP(H81/30,0)</f>
        <v/>
      </c>
      <c r="J81">
        <f>EDATE(C81,I81)</f>
        <v/>
      </c>
      <c r="K81">
        <f>G81</f>
        <v/>
      </c>
    </row>
    <row r="82">
      <c r="E82">
        <f>D82*VLOOKUP(A82,04_PROYECTOS!$A:$N,5,FALSE)*(INDEX(02B_ESCENARIOS!$B$4:$D$11, MATCH("MULT_PRECIO", 02B_ESCENARIOS!$A$4:$A$11, 0), MATCH("Conservador", 02B_ESCENARIOS!$B$3:$D$3, 0)))*INDEX(02B_ESCENARIOS!$B$15:$D$19, MATCH(VLOOKUP(A82,04_PROYECTOS!$A:$N,9,FALSE), 02B_ESCENARIOS!$A$15:$A$19, 0), MATCH("Conservador", 02B_ESCENARIOS!$B$14:$D$14, 0))</f>
        <v/>
      </c>
      <c r="F82">
        <f>E82*VLOOKUP(A82,04_PROYECTOS!$A:$N,6,FALSE)</f>
        <v/>
      </c>
      <c r="G82">
        <f>E82+F82</f>
        <v/>
      </c>
      <c r="H82">
        <f>IF(VLOOKUP(A82,04_PROYECTOS!$A:$N,10,FALSE)="", IF(VLOOKUP(A82,04_PROYECTOS!$A:$N,4,FALSE)="Privado", INDEX(02B_ESCENARIOS!$B$4:$D$11, MATCH("DSO_PRIVADO_DEFAULT", 02B_ESCENARIOS!$A$4:$A$11, 0), MATCH("Conservador", 02B_ESCENARIOS!$B$3:$D$3, 0)), IF(VLOOKUP(A82,04_PROYECTOS!$A:$N,4,FALSE)="Publico_&lt;10M",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VLOOKUP(A82,04_PROYECTOS!$A:$N,10,FALSE))</f>
        <v/>
      </c>
      <c r="I82">
        <f>ROUNDUP(H82/30,0)</f>
        <v/>
      </c>
      <c r="J82">
        <f>EDATE(C82,I82)</f>
        <v/>
      </c>
      <c r="K82">
        <f>G82</f>
        <v/>
      </c>
    </row>
    <row r="83">
      <c r="E83">
        <f>D83*VLOOKUP(A83,04_PROYECTOS!$A:$N,5,FALSE)*(INDEX(02B_ESCENARIOS!$B$4:$D$11, MATCH("MULT_PRECIO", 02B_ESCENARIOS!$A$4:$A$11, 0), MATCH("Conservador", 02B_ESCENARIOS!$B$3:$D$3, 0)))*INDEX(02B_ESCENARIOS!$B$15:$D$19, MATCH(VLOOKUP(A83,04_PROYECTOS!$A:$N,9,FALSE), 02B_ESCENARIOS!$A$15:$A$19, 0), MATCH("Conservador", 02B_ESCENARIOS!$B$14:$D$14, 0))</f>
        <v/>
      </c>
      <c r="F83">
        <f>E83*VLOOKUP(A83,04_PROYECTOS!$A:$N,6,FALSE)</f>
        <v/>
      </c>
      <c r="G83">
        <f>E83+F83</f>
        <v/>
      </c>
      <c r="H83">
        <f>IF(VLOOKUP(A83,04_PROYECTOS!$A:$N,10,FALSE)="", IF(VLOOKUP(A83,04_PROYECTOS!$A:$N,4,FALSE)="Privado", INDEX(02B_ESCENARIOS!$B$4:$D$11, MATCH("DSO_PRIVADO_DEFAULT", 02B_ESCENARIOS!$A$4:$A$11, 0), MATCH("Conservador", 02B_ESCENARIOS!$B$3:$D$3, 0)), IF(VLOOKUP(A83,04_PROYECTOS!$A:$N,4,FALSE)="Publico_&lt;10M",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VLOOKUP(A83,04_PROYECTOS!$A:$N,10,FALSE))</f>
        <v/>
      </c>
      <c r="I83">
        <f>ROUNDUP(H83/30,0)</f>
        <v/>
      </c>
      <c r="J83">
        <f>EDATE(C83,I83)</f>
        <v/>
      </c>
      <c r="K83">
        <f>G83</f>
        <v/>
      </c>
    </row>
    <row r="84">
      <c r="E84">
        <f>D84*VLOOKUP(A84,04_PROYECTOS!$A:$N,5,FALSE)*(INDEX(02B_ESCENARIOS!$B$4:$D$11, MATCH("MULT_PRECIO", 02B_ESCENARIOS!$A$4:$A$11, 0), MATCH("Conservador", 02B_ESCENARIOS!$B$3:$D$3, 0)))*INDEX(02B_ESCENARIOS!$B$15:$D$19, MATCH(VLOOKUP(A84,04_PROYECTOS!$A:$N,9,FALSE), 02B_ESCENARIOS!$A$15:$A$19, 0), MATCH("Conservador", 02B_ESCENARIOS!$B$14:$D$14, 0))</f>
        <v/>
      </c>
      <c r="F84">
        <f>E84*VLOOKUP(A84,04_PROYECTOS!$A:$N,6,FALSE)</f>
        <v/>
      </c>
      <c r="G84">
        <f>E84+F84</f>
        <v/>
      </c>
      <c r="H84">
        <f>IF(VLOOKUP(A84,04_PROYECTOS!$A:$N,10,FALSE)="", IF(VLOOKUP(A84,04_PROYECTOS!$A:$N,4,FALSE)="Privado", INDEX(02B_ESCENARIOS!$B$4:$D$11, MATCH("DSO_PRIVADO_DEFAULT", 02B_ESCENARIOS!$A$4:$A$11, 0), MATCH("Conservador", 02B_ESCENARIOS!$B$3:$D$3, 0)), IF(VLOOKUP(A84,04_PROYECTOS!$A:$N,4,FALSE)="Publico_&lt;10M",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VLOOKUP(A84,04_PROYECTOS!$A:$N,10,FALSE))</f>
        <v/>
      </c>
      <c r="I84">
        <f>ROUNDUP(H84/30,0)</f>
        <v/>
      </c>
      <c r="J84">
        <f>EDATE(C84,I84)</f>
        <v/>
      </c>
      <c r="K84">
        <f>G84</f>
        <v/>
      </c>
    </row>
    <row r="85">
      <c r="E85">
        <f>D85*VLOOKUP(A85,04_PROYECTOS!$A:$N,5,FALSE)*(INDEX(02B_ESCENARIOS!$B$4:$D$11, MATCH("MULT_PRECIO", 02B_ESCENARIOS!$A$4:$A$11, 0), MATCH("Conservador", 02B_ESCENARIOS!$B$3:$D$3, 0)))*INDEX(02B_ESCENARIOS!$B$15:$D$19, MATCH(VLOOKUP(A85,04_PROYECTOS!$A:$N,9,FALSE), 02B_ESCENARIOS!$A$15:$A$19, 0), MATCH("Conservador", 02B_ESCENARIOS!$B$14:$D$14, 0))</f>
        <v/>
      </c>
      <c r="F85">
        <f>E85*VLOOKUP(A85,04_PROYECTOS!$A:$N,6,FALSE)</f>
        <v/>
      </c>
      <c r="G85">
        <f>E85+F85</f>
        <v/>
      </c>
      <c r="H85">
        <f>IF(VLOOKUP(A85,04_PROYECTOS!$A:$N,10,FALSE)="", IF(VLOOKUP(A85,04_PROYECTOS!$A:$N,4,FALSE)="Privado", INDEX(02B_ESCENARIOS!$B$4:$D$11, MATCH("DSO_PRIVADO_DEFAULT", 02B_ESCENARIOS!$A$4:$A$11, 0), MATCH("Conservador", 02B_ESCENARIOS!$B$3:$D$3, 0)), IF(VLOOKUP(A85,04_PROYECTOS!$A:$N,4,FALSE)="Publico_&lt;10M",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VLOOKUP(A85,04_PROYECTOS!$A:$N,10,FALSE))</f>
        <v/>
      </c>
      <c r="I85">
        <f>ROUNDUP(H85/30,0)</f>
        <v/>
      </c>
      <c r="J85">
        <f>EDATE(C85,I85)</f>
        <v/>
      </c>
      <c r="K85">
        <f>G85</f>
        <v/>
      </c>
    </row>
    <row r="86">
      <c r="E86">
        <f>D86*VLOOKUP(A86,04_PROYECTOS!$A:$N,5,FALSE)*(INDEX(02B_ESCENARIOS!$B$4:$D$11, MATCH("MULT_PRECIO", 02B_ESCENARIOS!$A$4:$A$11, 0), MATCH("Conservador", 02B_ESCENARIOS!$B$3:$D$3, 0)))*INDEX(02B_ESCENARIOS!$B$15:$D$19, MATCH(VLOOKUP(A86,04_PROYECTOS!$A:$N,9,FALSE), 02B_ESCENARIOS!$A$15:$A$19, 0), MATCH("Conservador", 02B_ESCENARIOS!$B$14:$D$14, 0))</f>
        <v/>
      </c>
      <c r="F86">
        <f>E86*VLOOKUP(A86,04_PROYECTOS!$A:$N,6,FALSE)</f>
        <v/>
      </c>
      <c r="G86">
        <f>E86+F86</f>
        <v/>
      </c>
      <c r="H86">
        <f>IF(VLOOKUP(A86,04_PROYECTOS!$A:$N,10,FALSE)="", IF(VLOOKUP(A86,04_PROYECTOS!$A:$N,4,FALSE)="Privado", INDEX(02B_ESCENARIOS!$B$4:$D$11, MATCH("DSO_PRIVADO_DEFAULT", 02B_ESCENARIOS!$A$4:$A$11, 0), MATCH("Conservador", 02B_ESCENARIOS!$B$3:$D$3, 0)), IF(VLOOKUP(A86,04_PROYECTOS!$A:$N,4,FALSE)="Publico_&lt;10M",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VLOOKUP(A86,04_PROYECTOS!$A:$N,10,FALSE))</f>
        <v/>
      </c>
      <c r="I86">
        <f>ROUNDUP(H86/30,0)</f>
        <v/>
      </c>
      <c r="J86">
        <f>EDATE(C86,I86)</f>
        <v/>
      </c>
      <c r="K86">
        <f>G86</f>
        <v/>
      </c>
    </row>
    <row r="87">
      <c r="E87">
        <f>D87*VLOOKUP(A87,04_PROYECTOS!$A:$N,5,FALSE)*(INDEX(02B_ESCENARIOS!$B$4:$D$11, MATCH("MULT_PRECIO", 02B_ESCENARIOS!$A$4:$A$11, 0), MATCH("Conservador", 02B_ESCENARIOS!$B$3:$D$3, 0)))*INDEX(02B_ESCENARIOS!$B$15:$D$19, MATCH(VLOOKUP(A87,04_PROYECTOS!$A:$N,9,FALSE), 02B_ESCENARIOS!$A$15:$A$19, 0), MATCH("Conservador", 02B_ESCENARIOS!$B$14:$D$14, 0))</f>
        <v/>
      </c>
      <c r="F87">
        <f>E87*VLOOKUP(A87,04_PROYECTOS!$A:$N,6,FALSE)</f>
        <v/>
      </c>
      <c r="G87">
        <f>E87+F87</f>
        <v/>
      </c>
      <c r="H87">
        <f>IF(VLOOKUP(A87,04_PROYECTOS!$A:$N,10,FALSE)="", IF(VLOOKUP(A87,04_PROYECTOS!$A:$N,4,FALSE)="Privado", INDEX(02B_ESCENARIOS!$B$4:$D$11, MATCH("DSO_PRIVADO_DEFAULT", 02B_ESCENARIOS!$A$4:$A$11, 0), MATCH("Conservador", 02B_ESCENARIOS!$B$3:$D$3, 0)), IF(VLOOKUP(A87,04_PROYECTOS!$A:$N,4,FALSE)="Publico_&lt;10M",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VLOOKUP(A87,04_PROYECTOS!$A:$N,10,FALSE))</f>
        <v/>
      </c>
      <c r="I87">
        <f>ROUNDUP(H87/30,0)</f>
        <v/>
      </c>
      <c r="J87">
        <f>EDATE(C87,I87)</f>
        <v/>
      </c>
      <c r="K87">
        <f>G87</f>
        <v/>
      </c>
    </row>
    <row r="88">
      <c r="E88">
        <f>D88*VLOOKUP(A88,04_PROYECTOS!$A:$N,5,FALSE)*(INDEX(02B_ESCENARIOS!$B$4:$D$11, MATCH("MULT_PRECIO", 02B_ESCENARIOS!$A$4:$A$11, 0), MATCH("Conservador", 02B_ESCENARIOS!$B$3:$D$3, 0)))*INDEX(02B_ESCENARIOS!$B$15:$D$19, MATCH(VLOOKUP(A88,04_PROYECTOS!$A:$N,9,FALSE), 02B_ESCENARIOS!$A$15:$A$19, 0), MATCH("Conservador", 02B_ESCENARIOS!$B$14:$D$14, 0))</f>
        <v/>
      </c>
      <c r="F88">
        <f>E88*VLOOKUP(A88,04_PROYECTOS!$A:$N,6,FALSE)</f>
        <v/>
      </c>
      <c r="G88">
        <f>E88+F88</f>
        <v/>
      </c>
      <c r="H88">
        <f>IF(VLOOKUP(A88,04_PROYECTOS!$A:$N,10,FALSE)="", IF(VLOOKUP(A88,04_PROYECTOS!$A:$N,4,FALSE)="Privado", INDEX(02B_ESCENARIOS!$B$4:$D$11, MATCH("DSO_PRIVADO_DEFAULT", 02B_ESCENARIOS!$A$4:$A$11, 0), MATCH("Conservador", 02B_ESCENARIOS!$B$3:$D$3, 0)), IF(VLOOKUP(A88,04_PROYECTOS!$A:$N,4,FALSE)="Publico_&lt;10M",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VLOOKUP(A88,04_PROYECTOS!$A:$N,10,FALSE))</f>
        <v/>
      </c>
      <c r="I88">
        <f>ROUNDUP(H88/30,0)</f>
        <v/>
      </c>
      <c r="J88">
        <f>EDATE(C88,I88)</f>
        <v/>
      </c>
      <c r="K88">
        <f>G88</f>
        <v/>
      </c>
    </row>
    <row r="89">
      <c r="E89">
        <f>D89*VLOOKUP(A89,04_PROYECTOS!$A:$N,5,FALSE)*(INDEX(02B_ESCENARIOS!$B$4:$D$11, MATCH("MULT_PRECIO", 02B_ESCENARIOS!$A$4:$A$11, 0), MATCH("Conservador", 02B_ESCENARIOS!$B$3:$D$3, 0)))*INDEX(02B_ESCENARIOS!$B$15:$D$19, MATCH(VLOOKUP(A89,04_PROYECTOS!$A:$N,9,FALSE), 02B_ESCENARIOS!$A$15:$A$19, 0), MATCH("Conservador", 02B_ESCENARIOS!$B$14:$D$14, 0))</f>
        <v/>
      </c>
      <c r="F89">
        <f>E89*VLOOKUP(A89,04_PROYECTOS!$A:$N,6,FALSE)</f>
        <v/>
      </c>
      <c r="G89">
        <f>E89+F89</f>
        <v/>
      </c>
      <c r="H89">
        <f>IF(VLOOKUP(A89,04_PROYECTOS!$A:$N,10,FALSE)="", IF(VLOOKUP(A89,04_PROYECTOS!$A:$N,4,FALSE)="Privado", INDEX(02B_ESCENARIOS!$B$4:$D$11, MATCH("DSO_PRIVADO_DEFAULT", 02B_ESCENARIOS!$A$4:$A$11, 0), MATCH("Conservador", 02B_ESCENARIOS!$B$3:$D$3, 0)), IF(VLOOKUP(A89,04_PROYECTOS!$A:$N,4,FALSE)="Publico_&lt;10M",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VLOOKUP(A89,04_PROYECTOS!$A:$N,10,FALSE))</f>
        <v/>
      </c>
      <c r="I89">
        <f>ROUNDUP(H89/30,0)</f>
        <v/>
      </c>
      <c r="J89">
        <f>EDATE(C89,I89)</f>
        <v/>
      </c>
      <c r="K89">
        <f>G89</f>
        <v/>
      </c>
    </row>
    <row r="90">
      <c r="E90">
        <f>D90*VLOOKUP(A90,04_PROYECTOS!$A:$N,5,FALSE)*(INDEX(02B_ESCENARIOS!$B$4:$D$11, MATCH("MULT_PRECIO", 02B_ESCENARIOS!$A$4:$A$11, 0), MATCH("Conservador", 02B_ESCENARIOS!$B$3:$D$3, 0)))*INDEX(02B_ESCENARIOS!$B$15:$D$19, MATCH(VLOOKUP(A90,04_PROYECTOS!$A:$N,9,FALSE), 02B_ESCENARIOS!$A$15:$A$19, 0), MATCH("Conservador", 02B_ESCENARIOS!$B$14:$D$14, 0))</f>
        <v/>
      </c>
      <c r="F90">
        <f>E90*VLOOKUP(A90,04_PROYECTOS!$A:$N,6,FALSE)</f>
        <v/>
      </c>
      <c r="G90">
        <f>E90+F90</f>
        <v/>
      </c>
      <c r="H90">
        <f>IF(VLOOKUP(A90,04_PROYECTOS!$A:$N,10,FALSE)="", IF(VLOOKUP(A90,04_PROYECTOS!$A:$N,4,FALSE)="Privado", INDEX(02B_ESCENARIOS!$B$4:$D$11, MATCH("DSO_PRIVADO_DEFAULT", 02B_ESCENARIOS!$A$4:$A$11, 0), MATCH("Conservador", 02B_ESCENARIOS!$B$3:$D$3, 0)), IF(VLOOKUP(A90,04_PROYECTOS!$A:$N,4,FALSE)="Publico_&lt;10M",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VLOOKUP(A90,04_PROYECTOS!$A:$N,10,FALSE))</f>
        <v/>
      </c>
      <c r="I90">
        <f>ROUNDUP(H90/30,0)</f>
        <v/>
      </c>
      <c r="J90">
        <f>EDATE(C90,I90)</f>
        <v/>
      </c>
      <c r="K90">
        <f>G90</f>
        <v/>
      </c>
    </row>
    <row r="91">
      <c r="E91">
        <f>D91*VLOOKUP(A91,04_PROYECTOS!$A:$N,5,FALSE)*(INDEX(02B_ESCENARIOS!$B$4:$D$11, MATCH("MULT_PRECIO", 02B_ESCENARIOS!$A$4:$A$11, 0), MATCH("Conservador", 02B_ESCENARIOS!$B$3:$D$3, 0)))*INDEX(02B_ESCENARIOS!$B$15:$D$19, MATCH(VLOOKUP(A91,04_PROYECTOS!$A:$N,9,FALSE), 02B_ESCENARIOS!$A$15:$A$19, 0), MATCH("Conservador", 02B_ESCENARIOS!$B$14:$D$14, 0))</f>
        <v/>
      </c>
      <c r="F91">
        <f>E91*VLOOKUP(A91,04_PROYECTOS!$A:$N,6,FALSE)</f>
        <v/>
      </c>
      <c r="G91">
        <f>E91+F91</f>
        <v/>
      </c>
      <c r="H91">
        <f>IF(VLOOKUP(A91,04_PROYECTOS!$A:$N,10,FALSE)="", IF(VLOOKUP(A91,04_PROYECTOS!$A:$N,4,FALSE)="Privado", INDEX(02B_ESCENARIOS!$B$4:$D$11, MATCH("DSO_PRIVADO_DEFAULT", 02B_ESCENARIOS!$A$4:$A$11, 0), MATCH("Conservador", 02B_ESCENARIOS!$B$3:$D$3, 0)), IF(VLOOKUP(A91,04_PROYECTOS!$A:$N,4,FALSE)="Publico_&lt;10M",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VLOOKUP(A91,04_PROYECTOS!$A:$N,10,FALSE))</f>
        <v/>
      </c>
      <c r="I91">
        <f>ROUNDUP(H91/30,0)</f>
        <v/>
      </c>
      <c r="J91">
        <f>EDATE(C91,I91)</f>
        <v/>
      </c>
      <c r="K91">
        <f>G91</f>
        <v/>
      </c>
    </row>
    <row r="92">
      <c r="E92">
        <f>D92*VLOOKUP(A92,04_PROYECTOS!$A:$N,5,FALSE)*(INDEX(02B_ESCENARIOS!$B$4:$D$11, MATCH("MULT_PRECIO", 02B_ESCENARIOS!$A$4:$A$11, 0), MATCH("Conservador", 02B_ESCENARIOS!$B$3:$D$3, 0)))*INDEX(02B_ESCENARIOS!$B$15:$D$19, MATCH(VLOOKUP(A92,04_PROYECTOS!$A:$N,9,FALSE), 02B_ESCENARIOS!$A$15:$A$19, 0), MATCH("Conservador", 02B_ESCENARIOS!$B$14:$D$14, 0))</f>
        <v/>
      </c>
      <c r="F92">
        <f>E92*VLOOKUP(A92,04_PROYECTOS!$A:$N,6,FALSE)</f>
        <v/>
      </c>
      <c r="G92">
        <f>E92+F92</f>
        <v/>
      </c>
      <c r="H92">
        <f>IF(VLOOKUP(A92,04_PROYECTOS!$A:$N,10,FALSE)="", IF(VLOOKUP(A92,04_PROYECTOS!$A:$N,4,FALSE)="Privado", INDEX(02B_ESCENARIOS!$B$4:$D$11, MATCH("DSO_PRIVADO_DEFAULT", 02B_ESCENARIOS!$A$4:$A$11, 0), MATCH("Conservador", 02B_ESCENARIOS!$B$3:$D$3, 0)), IF(VLOOKUP(A92,04_PROYECTOS!$A:$N,4,FALSE)="Publico_&lt;10M",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VLOOKUP(A92,04_PROYECTOS!$A:$N,10,FALSE))</f>
        <v/>
      </c>
      <c r="I92">
        <f>ROUNDUP(H92/30,0)</f>
        <v/>
      </c>
      <c r="J92">
        <f>EDATE(C92,I92)</f>
        <v/>
      </c>
      <c r="K92">
        <f>G92</f>
        <v/>
      </c>
    </row>
    <row r="93">
      <c r="E93">
        <f>D93*VLOOKUP(A93,04_PROYECTOS!$A:$N,5,FALSE)*(INDEX(02B_ESCENARIOS!$B$4:$D$11, MATCH("MULT_PRECIO", 02B_ESCENARIOS!$A$4:$A$11, 0), MATCH("Conservador", 02B_ESCENARIOS!$B$3:$D$3, 0)))*INDEX(02B_ESCENARIOS!$B$15:$D$19, MATCH(VLOOKUP(A93,04_PROYECTOS!$A:$N,9,FALSE), 02B_ESCENARIOS!$A$15:$A$19, 0), MATCH("Conservador", 02B_ESCENARIOS!$B$14:$D$14, 0))</f>
        <v/>
      </c>
      <c r="F93">
        <f>E93*VLOOKUP(A93,04_PROYECTOS!$A:$N,6,FALSE)</f>
        <v/>
      </c>
      <c r="G93">
        <f>E93+F93</f>
        <v/>
      </c>
      <c r="H93">
        <f>IF(VLOOKUP(A93,04_PROYECTOS!$A:$N,10,FALSE)="", IF(VLOOKUP(A93,04_PROYECTOS!$A:$N,4,FALSE)="Privado", INDEX(02B_ESCENARIOS!$B$4:$D$11, MATCH("DSO_PRIVADO_DEFAULT", 02B_ESCENARIOS!$A$4:$A$11, 0), MATCH("Conservador", 02B_ESCENARIOS!$B$3:$D$3, 0)), IF(VLOOKUP(A93,04_PROYECTOS!$A:$N,4,FALSE)="Publico_&lt;10M",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VLOOKUP(A93,04_PROYECTOS!$A:$N,10,FALSE))</f>
        <v/>
      </c>
      <c r="I93">
        <f>ROUNDUP(H93/30,0)</f>
        <v/>
      </c>
      <c r="J93">
        <f>EDATE(C93,I93)</f>
        <v/>
      </c>
      <c r="K93">
        <f>G93</f>
        <v/>
      </c>
    </row>
    <row r="94">
      <c r="E94">
        <f>D94*VLOOKUP(A94,04_PROYECTOS!$A:$N,5,FALSE)*(INDEX(02B_ESCENARIOS!$B$4:$D$11, MATCH("MULT_PRECIO", 02B_ESCENARIOS!$A$4:$A$11, 0), MATCH("Conservador", 02B_ESCENARIOS!$B$3:$D$3, 0)))*INDEX(02B_ESCENARIOS!$B$15:$D$19, MATCH(VLOOKUP(A94,04_PROYECTOS!$A:$N,9,FALSE), 02B_ESCENARIOS!$A$15:$A$19, 0), MATCH("Conservador", 02B_ESCENARIOS!$B$14:$D$14, 0))</f>
        <v/>
      </c>
      <c r="F94">
        <f>E94*VLOOKUP(A94,04_PROYECTOS!$A:$N,6,FALSE)</f>
        <v/>
      </c>
      <c r="G94">
        <f>E94+F94</f>
        <v/>
      </c>
      <c r="H94">
        <f>IF(VLOOKUP(A94,04_PROYECTOS!$A:$N,10,FALSE)="", IF(VLOOKUP(A94,04_PROYECTOS!$A:$N,4,FALSE)="Privado", INDEX(02B_ESCENARIOS!$B$4:$D$11, MATCH("DSO_PRIVADO_DEFAULT", 02B_ESCENARIOS!$A$4:$A$11, 0), MATCH("Conservador", 02B_ESCENARIOS!$B$3:$D$3, 0)), IF(VLOOKUP(A94,04_PROYECTOS!$A:$N,4,FALSE)="Publico_&lt;10M",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VLOOKUP(A94,04_PROYECTOS!$A:$N,10,FALSE))</f>
        <v/>
      </c>
      <c r="I94">
        <f>ROUNDUP(H94/30,0)</f>
        <v/>
      </c>
      <c r="J94">
        <f>EDATE(C94,I94)</f>
        <v/>
      </c>
      <c r="K94">
        <f>G94</f>
        <v/>
      </c>
    </row>
    <row r="95">
      <c r="E95">
        <f>D95*VLOOKUP(A95,04_PROYECTOS!$A:$N,5,FALSE)*(INDEX(02B_ESCENARIOS!$B$4:$D$11, MATCH("MULT_PRECIO", 02B_ESCENARIOS!$A$4:$A$11, 0), MATCH("Conservador", 02B_ESCENARIOS!$B$3:$D$3, 0)))*INDEX(02B_ESCENARIOS!$B$15:$D$19, MATCH(VLOOKUP(A95,04_PROYECTOS!$A:$N,9,FALSE), 02B_ESCENARIOS!$A$15:$A$19, 0), MATCH("Conservador", 02B_ESCENARIOS!$B$14:$D$14, 0))</f>
        <v/>
      </c>
      <c r="F95">
        <f>E95*VLOOKUP(A95,04_PROYECTOS!$A:$N,6,FALSE)</f>
        <v/>
      </c>
      <c r="G95">
        <f>E95+F95</f>
        <v/>
      </c>
      <c r="H95">
        <f>IF(VLOOKUP(A95,04_PROYECTOS!$A:$N,10,FALSE)="", IF(VLOOKUP(A95,04_PROYECTOS!$A:$N,4,FALSE)="Privado", INDEX(02B_ESCENARIOS!$B$4:$D$11, MATCH("DSO_PRIVADO_DEFAULT", 02B_ESCENARIOS!$A$4:$A$11, 0), MATCH("Conservador", 02B_ESCENARIOS!$B$3:$D$3, 0)), IF(VLOOKUP(A95,04_PROYECTOS!$A:$N,4,FALSE)="Publico_&lt;10M",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VLOOKUP(A95,04_PROYECTOS!$A:$N,10,FALSE))</f>
        <v/>
      </c>
      <c r="I95">
        <f>ROUNDUP(H95/30,0)</f>
        <v/>
      </c>
      <c r="J95">
        <f>EDATE(C95,I95)</f>
        <v/>
      </c>
      <c r="K95">
        <f>G95</f>
        <v/>
      </c>
    </row>
    <row r="96">
      <c r="E96">
        <f>D96*VLOOKUP(A96,04_PROYECTOS!$A:$N,5,FALSE)*(INDEX(02B_ESCENARIOS!$B$4:$D$11, MATCH("MULT_PRECIO", 02B_ESCENARIOS!$A$4:$A$11, 0), MATCH("Conservador", 02B_ESCENARIOS!$B$3:$D$3, 0)))*INDEX(02B_ESCENARIOS!$B$15:$D$19, MATCH(VLOOKUP(A96,04_PROYECTOS!$A:$N,9,FALSE), 02B_ESCENARIOS!$A$15:$A$19, 0), MATCH("Conservador", 02B_ESCENARIOS!$B$14:$D$14, 0))</f>
        <v/>
      </c>
      <c r="F96">
        <f>E96*VLOOKUP(A96,04_PROYECTOS!$A:$N,6,FALSE)</f>
        <v/>
      </c>
      <c r="G96">
        <f>E96+F96</f>
        <v/>
      </c>
      <c r="H96">
        <f>IF(VLOOKUP(A96,04_PROYECTOS!$A:$N,10,FALSE)="", IF(VLOOKUP(A96,04_PROYECTOS!$A:$N,4,FALSE)="Privado", INDEX(02B_ESCENARIOS!$B$4:$D$11, MATCH("DSO_PRIVADO_DEFAULT", 02B_ESCENARIOS!$A$4:$A$11, 0), MATCH("Conservador", 02B_ESCENARIOS!$B$3:$D$3, 0)), IF(VLOOKUP(A96,04_PROYECTOS!$A:$N,4,FALSE)="Publico_&lt;10M",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VLOOKUP(A96,04_PROYECTOS!$A:$N,10,FALSE))</f>
        <v/>
      </c>
      <c r="I96">
        <f>ROUNDUP(H96/30,0)</f>
        <v/>
      </c>
      <c r="J96">
        <f>EDATE(C96,I96)</f>
        <v/>
      </c>
      <c r="K96">
        <f>G96</f>
        <v/>
      </c>
    </row>
    <row r="97">
      <c r="E97">
        <f>D97*VLOOKUP(A97,04_PROYECTOS!$A:$N,5,FALSE)*(INDEX(02B_ESCENARIOS!$B$4:$D$11, MATCH("MULT_PRECIO", 02B_ESCENARIOS!$A$4:$A$11, 0), MATCH("Conservador", 02B_ESCENARIOS!$B$3:$D$3, 0)))*INDEX(02B_ESCENARIOS!$B$15:$D$19, MATCH(VLOOKUP(A97,04_PROYECTOS!$A:$N,9,FALSE), 02B_ESCENARIOS!$A$15:$A$19, 0), MATCH("Conservador", 02B_ESCENARIOS!$B$14:$D$14, 0))</f>
        <v/>
      </c>
      <c r="F97">
        <f>E97*VLOOKUP(A97,04_PROYECTOS!$A:$N,6,FALSE)</f>
        <v/>
      </c>
      <c r="G97">
        <f>E97+F97</f>
        <v/>
      </c>
      <c r="H97">
        <f>IF(VLOOKUP(A97,04_PROYECTOS!$A:$N,10,FALSE)="", IF(VLOOKUP(A97,04_PROYECTOS!$A:$N,4,FALSE)="Privado", INDEX(02B_ESCENARIOS!$B$4:$D$11, MATCH("DSO_PRIVADO_DEFAULT", 02B_ESCENARIOS!$A$4:$A$11, 0), MATCH("Conservador", 02B_ESCENARIOS!$B$3:$D$3, 0)), IF(VLOOKUP(A97,04_PROYECTOS!$A:$N,4,FALSE)="Publico_&lt;10M",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VLOOKUP(A97,04_PROYECTOS!$A:$N,10,FALSE))</f>
        <v/>
      </c>
      <c r="I97">
        <f>ROUNDUP(H97/30,0)</f>
        <v/>
      </c>
      <c r="J97">
        <f>EDATE(C97,I97)</f>
        <v/>
      </c>
      <c r="K97">
        <f>G97</f>
        <v/>
      </c>
    </row>
    <row r="98">
      <c r="E98">
        <f>D98*VLOOKUP(A98,04_PROYECTOS!$A:$N,5,FALSE)*(INDEX(02B_ESCENARIOS!$B$4:$D$11, MATCH("MULT_PRECIO", 02B_ESCENARIOS!$A$4:$A$11, 0), MATCH("Conservador", 02B_ESCENARIOS!$B$3:$D$3, 0)))*INDEX(02B_ESCENARIOS!$B$15:$D$19, MATCH(VLOOKUP(A98,04_PROYECTOS!$A:$N,9,FALSE), 02B_ESCENARIOS!$A$15:$A$19, 0), MATCH("Conservador", 02B_ESCENARIOS!$B$14:$D$14, 0))</f>
        <v/>
      </c>
      <c r="F98">
        <f>E98*VLOOKUP(A98,04_PROYECTOS!$A:$N,6,FALSE)</f>
        <v/>
      </c>
      <c r="G98">
        <f>E98+F98</f>
        <v/>
      </c>
      <c r="H98">
        <f>IF(VLOOKUP(A98,04_PROYECTOS!$A:$N,10,FALSE)="", IF(VLOOKUP(A98,04_PROYECTOS!$A:$N,4,FALSE)="Privado", INDEX(02B_ESCENARIOS!$B$4:$D$11, MATCH("DSO_PRIVADO_DEFAULT", 02B_ESCENARIOS!$A$4:$A$11, 0), MATCH("Conservador", 02B_ESCENARIOS!$B$3:$D$3, 0)), IF(VLOOKUP(A98,04_PROYECTOS!$A:$N,4,FALSE)="Publico_&lt;10M",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VLOOKUP(A98,04_PROYECTOS!$A:$N,10,FALSE))</f>
        <v/>
      </c>
      <c r="I98">
        <f>ROUNDUP(H98/30,0)</f>
        <v/>
      </c>
      <c r="J98">
        <f>EDATE(C98,I98)</f>
        <v/>
      </c>
      <c r="K98">
        <f>G98</f>
        <v/>
      </c>
    </row>
    <row r="99">
      <c r="E99">
        <f>D99*VLOOKUP(A99,04_PROYECTOS!$A:$N,5,FALSE)*(INDEX(02B_ESCENARIOS!$B$4:$D$11, MATCH("MULT_PRECIO", 02B_ESCENARIOS!$A$4:$A$11, 0), MATCH("Conservador", 02B_ESCENARIOS!$B$3:$D$3, 0)))*INDEX(02B_ESCENARIOS!$B$15:$D$19, MATCH(VLOOKUP(A99,04_PROYECTOS!$A:$N,9,FALSE), 02B_ESCENARIOS!$A$15:$A$19, 0), MATCH("Conservador", 02B_ESCENARIOS!$B$14:$D$14, 0))</f>
        <v/>
      </c>
      <c r="F99">
        <f>E99*VLOOKUP(A99,04_PROYECTOS!$A:$N,6,FALSE)</f>
        <v/>
      </c>
      <c r="G99">
        <f>E99+F99</f>
        <v/>
      </c>
      <c r="H99">
        <f>IF(VLOOKUP(A99,04_PROYECTOS!$A:$N,10,FALSE)="", IF(VLOOKUP(A99,04_PROYECTOS!$A:$N,4,FALSE)="Privado", INDEX(02B_ESCENARIOS!$B$4:$D$11, MATCH("DSO_PRIVADO_DEFAULT", 02B_ESCENARIOS!$A$4:$A$11, 0), MATCH("Conservador", 02B_ESCENARIOS!$B$3:$D$3, 0)), IF(VLOOKUP(A99,04_PROYECTOS!$A:$N,4,FALSE)="Publico_&lt;10M",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VLOOKUP(A99,04_PROYECTOS!$A:$N,10,FALSE))</f>
        <v/>
      </c>
      <c r="I99">
        <f>ROUNDUP(H99/30,0)</f>
        <v/>
      </c>
      <c r="J99">
        <f>EDATE(C99,I99)</f>
        <v/>
      </c>
      <c r="K99">
        <f>G99</f>
        <v/>
      </c>
    </row>
    <row r="100">
      <c r="E100">
        <f>D100*VLOOKUP(A100,04_PROYECTOS!$A:$N,5,FALSE)*(INDEX(02B_ESCENARIOS!$B$4:$D$11, MATCH("MULT_PRECIO", 02B_ESCENARIOS!$A$4:$A$11, 0), MATCH("Conservador", 02B_ESCENARIOS!$B$3:$D$3, 0)))*INDEX(02B_ESCENARIOS!$B$15:$D$19, MATCH(VLOOKUP(A100,04_PROYECTOS!$A:$N,9,FALSE), 02B_ESCENARIOS!$A$15:$A$19, 0), MATCH("Conservador", 02B_ESCENARIOS!$B$14:$D$14, 0))</f>
        <v/>
      </c>
      <c r="F100">
        <f>E100*VLOOKUP(A100,04_PROYECTOS!$A:$N,6,FALSE)</f>
        <v/>
      </c>
      <c r="G100">
        <f>E100+F100</f>
        <v/>
      </c>
      <c r="H100">
        <f>IF(VLOOKUP(A100,04_PROYECTOS!$A:$N,10,FALSE)="", IF(VLOOKUP(A100,04_PROYECTOS!$A:$N,4,FALSE)="Privado", INDEX(02B_ESCENARIOS!$B$4:$D$11, MATCH("DSO_PRIVADO_DEFAULT", 02B_ESCENARIOS!$A$4:$A$11, 0), MATCH("Conservador", 02B_ESCENARIOS!$B$3:$D$3, 0)), IF(VLOOKUP(A100,04_PROYECTOS!$A:$N,4,FALSE)="Publico_&lt;10M",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VLOOKUP(A100,04_PROYECTOS!$A:$N,10,FALSE))</f>
        <v/>
      </c>
      <c r="I100">
        <f>ROUNDUP(H100/30,0)</f>
        <v/>
      </c>
      <c r="J100">
        <f>EDATE(C100,I100)</f>
        <v/>
      </c>
      <c r="K100">
        <f>G100</f>
        <v/>
      </c>
    </row>
    <row r="101">
      <c r="E101">
        <f>D101*VLOOKUP(A101,04_PROYECTOS!$A:$N,5,FALSE)*(INDEX(02B_ESCENARIOS!$B$4:$D$11, MATCH("MULT_PRECIO", 02B_ESCENARIOS!$A$4:$A$11, 0), MATCH("Conservador", 02B_ESCENARIOS!$B$3:$D$3, 0)))*INDEX(02B_ESCENARIOS!$B$15:$D$19, MATCH(VLOOKUP(A101,04_PROYECTOS!$A:$N,9,FALSE), 02B_ESCENARIOS!$A$15:$A$19, 0), MATCH("Conservador", 02B_ESCENARIOS!$B$14:$D$14, 0))</f>
        <v/>
      </c>
      <c r="F101">
        <f>E101*VLOOKUP(A101,04_PROYECTOS!$A:$N,6,FALSE)</f>
        <v/>
      </c>
      <c r="G101">
        <f>E101+F101</f>
        <v/>
      </c>
      <c r="H101">
        <f>IF(VLOOKUP(A101,04_PROYECTOS!$A:$N,10,FALSE)="", IF(VLOOKUP(A101,04_PROYECTOS!$A:$N,4,FALSE)="Privado", INDEX(02B_ESCENARIOS!$B$4:$D$11, MATCH("DSO_PRIVADO_DEFAULT", 02B_ESCENARIOS!$A$4:$A$11, 0), MATCH("Conservador", 02B_ESCENARIOS!$B$3:$D$3, 0)), IF(VLOOKUP(A101,04_PROYECTOS!$A:$N,4,FALSE)="Publico_&lt;10M",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VLOOKUP(A101,04_PROYECTOS!$A:$N,10,FALSE))</f>
        <v/>
      </c>
      <c r="I101">
        <f>ROUNDUP(H101/30,0)</f>
        <v/>
      </c>
      <c r="J101">
        <f>EDATE(C101,I101)</f>
        <v/>
      </c>
      <c r="K101">
        <f>G101</f>
        <v/>
      </c>
    </row>
    <row r="102">
      <c r="E102">
        <f>D102*VLOOKUP(A102,04_PROYECTOS!$A:$N,5,FALSE)*(INDEX(02B_ESCENARIOS!$B$4:$D$11, MATCH("MULT_PRECIO", 02B_ESCENARIOS!$A$4:$A$11, 0), MATCH("Conservador", 02B_ESCENARIOS!$B$3:$D$3, 0)))*INDEX(02B_ESCENARIOS!$B$15:$D$19, MATCH(VLOOKUP(A102,04_PROYECTOS!$A:$N,9,FALSE), 02B_ESCENARIOS!$A$15:$A$19, 0), MATCH("Conservador", 02B_ESCENARIOS!$B$14:$D$14, 0))</f>
        <v/>
      </c>
      <c r="F102">
        <f>E102*VLOOKUP(A102,04_PROYECTOS!$A:$N,6,FALSE)</f>
        <v/>
      </c>
      <c r="G102">
        <f>E102+F102</f>
        <v/>
      </c>
      <c r="H102">
        <f>IF(VLOOKUP(A102,04_PROYECTOS!$A:$N,10,FALSE)="", IF(VLOOKUP(A102,04_PROYECTOS!$A:$N,4,FALSE)="Privado", INDEX(02B_ESCENARIOS!$B$4:$D$11, MATCH("DSO_PRIVADO_DEFAULT", 02B_ESCENARIOS!$A$4:$A$11, 0), MATCH("Conservador", 02B_ESCENARIOS!$B$3:$D$3, 0)), IF(VLOOKUP(A102,04_PROYECTOS!$A:$N,4,FALSE)="Publico_&lt;10M",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VLOOKUP(A102,04_PROYECTOS!$A:$N,10,FALSE))</f>
        <v/>
      </c>
      <c r="I102">
        <f>ROUNDUP(H102/30,0)</f>
        <v/>
      </c>
      <c r="J102">
        <f>EDATE(C102,I102)</f>
        <v/>
      </c>
      <c r="K102">
        <f>G102</f>
        <v/>
      </c>
    </row>
    <row r="103">
      <c r="E103">
        <f>D103*VLOOKUP(A103,04_PROYECTOS!$A:$N,5,FALSE)*(INDEX(02B_ESCENARIOS!$B$4:$D$11, MATCH("MULT_PRECIO", 02B_ESCENARIOS!$A$4:$A$11, 0), MATCH("Conservador", 02B_ESCENARIOS!$B$3:$D$3, 0)))*INDEX(02B_ESCENARIOS!$B$15:$D$19, MATCH(VLOOKUP(A103,04_PROYECTOS!$A:$N,9,FALSE), 02B_ESCENARIOS!$A$15:$A$19, 0), MATCH("Conservador", 02B_ESCENARIOS!$B$14:$D$14, 0))</f>
        <v/>
      </c>
      <c r="F103">
        <f>E103*VLOOKUP(A103,04_PROYECTOS!$A:$N,6,FALSE)</f>
        <v/>
      </c>
      <c r="G103">
        <f>E103+F103</f>
        <v/>
      </c>
      <c r="H103">
        <f>IF(VLOOKUP(A103,04_PROYECTOS!$A:$N,10,FALSE)="", IF(VLOOKUP(A103,04_PROYECTOS!$A:$N,4,FALSE)="Privado", INDEX(02B_ESCENARIOS!$B$4:$D$11, MATCH("DSO_PRIVADO_DEFAULT", 02B_ESCENARIOS!$A$4:$A$11, 0), MATCH("Conservador", 02B_ESCENARIOS!$B$3:$D$3, 0)), IF(VLOOKUP(A103,04_PROYECTOS!$A:$N,4,FALSE)="Publico_&lt;10M",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VLOOKUP(A103,04_PROYECTOS!$A:$N,10,FALSE))</f>
        <v/>
      </c>
      <c r="I103">
        <f>ROUNDUP(H103/30,0)</f>
        <v/>
      </c>
      <c r="J103">
        <f>EDATE(C103,I103)</f>
        <v/>
      </c>
      <c r="K103">
        <f>G103</f>
        <v/>
      </c>
    </row>
    <row r="104">
      <c r="E104">
        <f>D104*VLOOKUP(A104,04_PROYECTOS!$A:$N,5,FALSE)*(INDEX(02B_ESCENARIOS!$B$4:$D$11, MATCH("MULT_PRECIO", 02B_ESCENARIOS!$A$4:$A$11, 0), MATCH("Conservador", 02B_ESCENARIOS!$B$3:$D$3, 0)))*INDEX(02B_ESCENARIOS!$B$15:$D$19, MATCH(VLOOKUP(A104,04_PROYECTOS!$A:$N,9,FALSE), 02B_ESCENARIOS!$A$15:$A$19, 0), MATCH("Conservador", 02B_ESCENARIOS!$B$14:$D$14, 0))</f>
        <v/>
      </c>
      <c r="F104">
        <f>E104*VLOOKUP(A104,04_PROYECTOS!$A:$N,6,FALSE)</f>
        <v/>
      </c>
      <c r="G104">
        <f>E104+F104</f>
        <v/>
      </c>
      <c r="H104">
        <f>IF(VLOOKUP(A104,04_PROYECTOS!$A:$N,10,FALSE)="", IF(VLOOKUP(A104,04_PROYECTOS!$A:$N,4,FALSE)="Privado", INDEX(02B_ESCENARIOS!$B$4:$D$11, MATCH("DSO_PRIVADO_DEFAULT", 02B_ESCENARIOS!$A$4:$A$11, 0), MATCH("Conservador", 02B_ESCENARIOS!$B$3:$D$3, 0)), IF(VLOOKUP(A104,04_PROYECTOS!$A:$N,4,FALSE)="Publico_&lt;10M",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VLOOKUP(A104,04_PROYECTOS!$A:$N,10,FALSE))</f>
        <v/>
      </c>
      <c r="I104">
        <f>ROUNDUP(H104/30,0)</f>
        <v/>
      </c>
      <c r="J104">
        <f>EDATE(C104,I104)</f>
        <v/>
      </c>
      <c r="K104">
        <f>G104</f>
        <v/>
      </c>
    </row>
    <row r="105">
      <c r="E105">
        <f>D105*VLOOKUP(A105,04_PROYECTOS!$A:$N,5,FALSE)*(INDEX(02B_ESCENARIOS!$B$4:$D$11, MATCH("MULT_PRECIO", 02B_ESCENARIOS!$A$4:$A$11, 0), MATCH("Conservador", 02B_ESCENARIOS!$B$3:$D$3, 0)))*INDEX(02B_ESCENARIOS!$B$15:$D$19, MATCH(VLOOKUP(A105,04_PROYECTOS!$A:$N,9,FALSE), 02B_ESCENARIOS!$A$15:$A$19, 0), MATCH("Conservador", 02B_ESCENARIOS!$B$14:$D$14, 0))</f>
        <v/>
      </c>
      <c r="F105">
        <f>E105*VLOOKUP(A105,04_PROYECTOS!$A:$N,6,FALSE)</f>
        <v/>
      </c>
      <c r="G105">
        <f>E105+F105</f>
        <v/>
      </c>
      <c r="H105">
        <f>IF(VLOOKUP(A105,04_PROYECTOS!$A:$N,10,FALSE)="", IF(VLOOKUP(A105,04_PROYECTOS!$A:$N,4,FALSE)="Privado", INDEX(02B_ESCENARIOS!$B$4:$D$11, MATCH("DSO_PRIVADO_DEFAULT", 02B_ESCENARIOS!$A$4:$A$11, 0), MATCH("Conservador", 02B_ESCENARIOS!$B$3:$D$3, 0)), IF(VLOOKUP(A105,04_PROYECTOS!$A:$N,4,FALSE)="Publico_&lt;10M",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VLOOKUP(A105,04_PROYECTOS!$A:$N,10,FALSE))</f>
        <v/>
      </c>
      <c r="I105">
        <f>ROUNDUP(H105/30,0)</f>
        <v/>
      </c>
      <c r="J105">
        <f>EDATE(C105,I105)</f>
        <v/>
      </c>
      <c r="K105">
        <f>G105</f>
        <v/>
      </c>
    </row>
    <row r="106">
      <c r="E106">
        <f>D106*VLOOKUP(A106,04_PROYECTOS!$A:$N,5,FALSE)*(INDEX(02B_ESCENARIOS!$B$4:$D$11, MATCH("MULT_PRECIO", 02B_ESCENARIOS!$A$4:$A$11, 0), MATCH("Conservador", 02B_ESCENARIOS!$B$3:$D$3, 0)))*INDEX(02B_ESCENARIOS!$B$15:$D$19, MATCH(VLOOKUP(A106,04_PROYECTOS!$A:$N,9,FALSE), 02B_ESCENARIOS!$A$15:$A$19, 0), MATCH("Conservador", 02B_ESCENARIOS!$B$14:$D$14, 0))</f>
        <v/>
      </c>
      <c r="F106">
        <f>E106*VLOOKUP(A106,04_PROYECTOS!$A:$N,6,FALSE)</f>
        <v/>
      </c>
      <c r="G106">
        <f>E106+F106</f>
        <v/>
      </c>
      <c r="H106">
        <f>IF(VLOOKUP(A106,04_PROYECTOS!$A:$N,10,FALSE)="", IF(VLOOKUP(A106,04_PROYECTOS!$A:$N,4,FALSE)="Privado", INDEX(02B_ESCENARIOS!$B$4:$D$11, MATCH("DSO_PRIVADO_DEFAULT", 02B_ESCENARIOS!$A$4:$A$11, 0), MATCH("Conservador", 02B_ESCENARIOS!$B$3:$D$3, 0)), IF(VLOOKUP(A106,04_PROYECTOS!$A:$N,4,FALSE)="Publico_&lt;10M",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VLOOKUP(A106,04_PROYECTOS!$A:$N,10,FALSE))</f>
        <v/>
      </c>
      <c r="I106">
        <f>ROUNDUP(H106/30,0)</f>
        <v/>
      </c>
      <c r="J106">
        <f>EDATE(C106,I106)</f>
        <v/>
      </c>
      <c r="K106">
        <f>G106</f>
        <v/>
      </c>
    </row>
    <row r="107">
      <c r="E107">
        <f>D107*VLOOKUP(A107,04_PROYECTOS!$A:$N,5,FALSE)*(INDEX(02B_ESCENARIOS!$B$4:$D$11, MATCH("MULT_PRECIO", 02B_ESCENARIOS!$A$4:$A$11, 0), MATCH("Conservador", 02B_ESCENARIOS!$B$3:$D$3, 0)))*INDEX(02B_ESCENARIOS!$B$15:$D$19, MATCH(VLOOKUP(A107,04_PROYECTOS!$A:$N,9,FALSE), 02B_ESCENARIOS!$A$15:$A$19, 0), MATCH("Conservador", 02B_ESCENARIOS!$B$14:$D$14, 0))</f>
        <v/>
      </c>
      <c r="F107">
        <f>E107*VLOOKUP(A107,04_PROYECTOS!$A:$N,6,FALSE)</f>
        <v/>
      </c>
      <c r="G107">
        <f>E107+F107</f>
        <v/>
      </c>
      <c r="H107">
        <f>IF(VLOOKUP(A107,04_PROYECTOS!$A:$N,10,FALSE)="", IF(VLOOKUP(A107,04_PROYECTOS!$A:$N,4,FALSE)="Privado", INDEX(02B_ESCENARIOS!$B$4:$D$11, MATCH("DSO_PRIVADO_DEFAULT", 02B_ESCENARIOS!$A$4:$A$11, 0), MATCH("Conservador", 02B_ESCENARIOS!$B$3:$D$3, 0)), IF(VLOOKUP(A107,04_PROYECTOS!$A:$N,4,FALSE)="Publico_&lt;10M",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VLOOKUP(A107,04_PROYECTOS!$A:$N,10,FALSE))</f>
        <v/>
      </c>
      <c r="I107">
        <f>ROUNDUP(H107/30,0)</f>
        <v/>
      </c>
      <c r="J107">
        <f>EDATE(C107,I107)</f>
        <v/>
      </c>
      <c r="K107">
        <f>G107</f>
        <v/>
      </c>
    </row>
    <row r="108">
      <c r="E108">
        <f>D108*VLOOKUP(A108,04_PROYECTOS!$A:$N,5,FALSE)*(INDEX(02B_ESCENARIOS!$B$4:$D$11, MATCH("MULT_PRECIO", 02B_ESCENARIOS!$A$4:$A$11, 0), MATCH("Conservador", 02B_ESCENARIOS!$B$3:$D$3, 0)))*INDEX(02B_ESCENARIOS!$B$15:$D$19, MATCH(VLOOKUP(A108,04_PROYECTOS!$A:$N,9,FALSE), 02B_ESCENARIOS!$A$15:$A$19, 0), MATCH("Conservador", 02B_ESCENARIOS!$B$14:$D$14, 0))</f>
        <v/>
      </c>
      <c r="F108">
        <f>E108*VLOOKUP(A108,04_PROYECTOS!$A:$N,6,FALSE)</f>
        <v/>
      </c>
      <c r="G108">
        <f>E108+F108</f>
        <v/>
      </c>
      <c r="H108">
        <f>IF(VLOOKUP(A108,04_PROYECTOS!$A:$N,10,FALSE)="", IF(VLOOKUP(A108,04_PROYECTOS!$A:$N,4,FALSE)="Privado", INDEX(02B_ESCENARIOS!$B$4:$D$11, MATCH("DSO_PRIVADO_DEFAULT", 02B_ESCENARIOS!$A$4:$A$11, 0), MATCH("Conservador", 02B_ESCENARIOS!$B$3:$D$3, 0)), IF(VLOOKUP(A108,04_PROYECTOS!$A:$N,4,FALSE)="Publico_&lt;10M",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VLOOKUP(A108,04_PROYECTOS!$A:$N,10,FALSE))</f>
        <v/>
      </c>
      <c r="I108">
        <f>ROUNDUP(H108/30,0)</f>
        <v/>
      </c>
      <c r="J108">
        <f>EDATE(C108,I108)</f>
        <v/>
      </c>
      <c r="K108">
        <f>G108</f>
        <v/>
      </c>
    </row>
    <row r="109">
      <c r="E109">
        <f>D109*VLOOKUP(A109,04_PROYECTOS!$A:$N,5,FALSE)*(INDEX(02B_ESCENARIOS!$B$4:$D$11, MATCH("MULT_PRECIO", 02B_ESCENARIOS!$A$4:$A$11, 0), MATCH("Conservador", 02B_ESCENARIOS!$B$3:$D$3, 0)))*INDEX(02B_ESCENARIOS!$B$15:$D$19, MATCH(VLOOKUP(A109,04_PROYECTOS!$A:$N,9,FALSE), 02B_ESCENARIOS!$A$15:$A$19, 0), MATCH("Conservador", 02B_ESCENARIOS!$B$14:$D$14, 0))</f>
        <v/>
      </c>
      <c r="F109">
        <f>E109*VLOOKUP(A109,04_PROYECTOS!$A:$N,6,FALSE)</f>
        <v/>
      </c>
      <c r="G109">
        <f>E109+F109</f>
        <v/>
      </c>
      <c r="H109">
        <f>IF(VLOOKUP(A109,04_PROYECTOS!$A:$N,10,FALSE)="", IF(VLOOKUP(A109,04_PROYECTOS!$A:$N,4,FALSE)="Privado", INDEX(02B_ESCENARIOS!$B$4:$D$11, MATCH("DSO_PRIVADO_DEFAULT", 02B_ESCENARIOS!$A$4:$A$11, 0), MATCH("Conservador", 02B_ESCENARIOS!$B$3:$D$3, 0)), IF(VLOOKUP(A109,04_PROYECTOS!$A:$N,4,FALSE)="Publico_&lt;10M",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VLOOKUP(A109,04_PROYECTOS!$A:$N,10,FALSE))</f>
        <v/>
      </c>
      <c r="I109">
        <f>ROUNDUP(H109/30,0)</f>
        <v/>
      </c>
      <c r="J109">
        <f>EDATE(C109,I109)</f>
        <v/>
      </c>
      <c r="K109">
        <f>G109</f>
        <v/>
      </c>
    </row>
    <row r="110">
      <c r="E110">
        <f>D110*VLOOKUP(A110,04_PROYECTOS!$A:$N,5,FALSE)*(INDEX(02B_ESCENARIOS!$B$4:$D$11, MATCH("MULT_PRECIO", 02B_ESCENARIOS!$A$4:$A$11, 0), MATCH("Conservador", 02B_ESCENARIOS!$B$3:$D$3, 0)))*INDEX(02B_ESCENARIOS!$B$15:$D$19, MATCH(VLOOKUP(A110,04_PROYECTOS!$A:$N,9,FALSE), 02B_ESCENARIOS!$A$15:$A$19, 0), MATCH("Conservador", 02B_ESCENARIOS!$B$14:$D$14, 0))</f>
        <v/>
      </c>
      <c r="F110">
        <f>E110*VLOOKUP(A110,04_PROYECTOS!$A:$N,6,FALSE)</f>
        <v/>
      </c>
      <c r="G110">
        <f>E110+F110</f>
        <v/>
      </c>
      <c r="H110">
        <f>IF(VLOOKUP(A110,04_PROYECTOS!$A:$N,10,FALSE)="", IF(VLOOKUP(A110,04_PROYECTOS!$A:$N,4,FALSE)="Privado", INDEX(02B_ESCENARIOS!$B$4:$D$11, MATCH("DSO_PRIVADO_DEFAULT", 02B_ESCENARIOS!$A$4:$A$11, 0), MATCH("Conservador", 02B_ESCENARIOS!$B$3:$D$3, 0)), IF(VLOOKUP(A110,04_PROYECTOS!$A:$N,4,FALSE)="Publico_&lt;10M",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VLOOKUP(A110,04_PROYECTOS!$A:$N,10,FALSE))</f>
        <v/>
      </c>
      <c r="I110">
        <f>ROUNDUP(H110/30,0)</f>
        <v/>
      </c>
      <c r="J110">
        <f>EDATE(C110,I110)</f>
        <v/>
      </c>
      <c r="K110">
        <f>G110</f>
        <v/>
      </c>
    </row>
    <row r="111">
      <c r="E111">
        <f>D111*VLOOKUP(A111,04_PROYECTOS!$A:$N,5,FALSE)*(INDEX(02B_ESCENARIOS!$B$4:$D$11, MATCH("MULT_PRECIO", 02B_ESCENARIOS!$A$4:$A$11, 0), MATCH("Conservador", 02B_ESCENARIOS!$B$3:$D$3, 0)))*INDEX(02B_ESCENARIOS!$B$15:$D$19, MATCH(VLOOKUP(A111,04_PROYECTOS!$A:$N,9,FALSE), 02B_ESCENARIOS!$A$15:$A$19, 0), MATCH("Conservador", 02B_ESCENARIOS!$B$14:$D$14, 0))</f>
        <v/>
      </c>
      <c r="F111">
        <f>E111*VLOOKUP(A111,04_PROYECTOS!$A:$N,6,FALSE)</f>
        <v/>
      </c>
      <c r="G111">
        <f>E111+F111</f>
        <v/>
      </c>
      <c r="H111">
        <f>IF(VLOOKUP(A111,04_PROYECTOS!$A:$N,10,FALSE)="", IF(VLOOKUP(A111,04_PROYECTOS!$A:$N,4,FALSE)="Privado", INDEX(02B_ESCENARIOS!$B$4:$D$11, MATCH("DSO_PRIVADO_DEFAULT", 02B_ESCENARIOS!$A$4:$A$11, 0), MATCH("Conservador", 02B_ESCENARIOS!$B$3:$D$3, 0)), IF(VLOOKUP(A111,04_PROYECTOS!$A:$N,4,FALSE)="Publico_&lt;10M",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VLOOKUP(A111,04_PROYECTOS!$A:$N,10,FALSE))</f>
        <v/>
      </c>
      <c r="I111">
        <f>ROUNDUP(H111/30,0)</f>
        <v/>
      </c>
      <c r="J111">
        <f>EDATE(C111,I111)</f>
        <v/>
      </c>
      <c r="K111">
        <f>G111</f>
        <v/>
      </c>
    </row>
    <row r="112">
      <c r="E112">
        <f>D112*VLOOKUP(A112,04_PROYECTOS!$A:$N,5,FALSE)*(INDEX(02B_ESCENARIOS!$B$4:$D$11, MATCH("MULT_PRECIO", 02B_ESCENARIOS!$A$4:$A$11, 0), MATCH("Conservador", 02B_ESCENARIOS!$B$3:$D$3, 0)))*INDEX(02B_ESCENARIOS!$B$15:$D$19, MATCH(VLOOKUP(A112,04_PROYECTOS!$A:$N,9,FALSE), 02B_ESCENARIOS!$A$15:$A$19, 0), MATCH("Conservador", 02B_ESCENARIOS!$B$14:$D$14, 0))</f>
        <v/>
      </c>
      <c r="F112">
        <f>E112*VLOOKUP(A112,04_PROYECTOS!$A:$N,6,FALSE)</f>
        <v/>
      </c>
      <c r="G112">
        <f>E112+F112</f>
        <v/>
      </c>
      <c r="H112">
        <f>IF(VLOOKUP(A112,04_PROYECTOS!$A:$N,10,FALSE)="", IF(VLOOKUP(A112,04_PROYECTOS!$A:$N,4,FALSE)="Privado", INDEX(02B_ESCENARIOS!$B$4:$D$11, MATCH("DSO_PRIVADO_DEFAULT", 02B_ESCENARIOS!$A$4:$A$11, 0), MATCH("Conservador", 02B_ESCENARIOS!$B$3:$D$3, 0)), IF(VLOOKUP(A112,04_PROYECTOS!$A:$N,4,FALSE)="Publico_&lt;10M",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VLOOKUP(A112,04_PROYECTOS!$A:$N,10,FALSE))</f>
        <v/>
      </c>
      <c r="I112">
        <f>ROUNDUP(H112/30,0)</f>
        <v/>
      </c>
      <c r="J112">
        <f>EDATE(C112,I112)</f>
        <v/>
      </c>
      <c r="K112">
        <f>G112</f>
        <v/>
      </c>
    </row>
    <row r="113">
      <c r="E113">
        <f>D113*VLOOKUP(A113,04_PROYECTOS!$A:$N,5,FALSE)*(INDEX(02B_ESCENARIOS!$B$4:$D$11, MATCH("MULT_PRECIO", 02B_ESCENARIOS!$A$4:$A$11, 0), MATCH("Conservador", 02B_ESCENARIOS!$B$3:$D$3, 0)))*INDEX(02B_ESCENARIOS!$B$15:$D$19, MATCH(VLOOKUP(A113,04_PROYECTOS!$A:$N,9,FALSE), 02B_ESCENARIOS!$A$15:$A$19, 0), MATCH("Conservador", 02B_ESCENARIOS!$B$14:$D$14, 0))</f>
        <v/>
      </c>
      <c r="F113">
        <f>E113*VLOOKUP(A113,04_PROYECTOS!$A:$N,6,FALSE)</f>
        <v/>
      </c>
      <c r="G113">
        <f>E113+F113</f>
        <v/>
      </c>
      <c r="H113">
        <f>IF(VLOOKUP(A113,04_PROYECTOS!$A:$N,10,FALSE)="", IF(VLOOKUP(A113,04_PROYECTOS!$A:$N,4,FALSE)="Privado", INDEX(02B_ESCENARIOS!$B$4:$D$11, MATCH("DSO_PRIVADO_DEFAULT", 02B_ESCENARIOS!$A$4:$A$11, 0), MATCH("Conservador", 02B_ESCENARIOS!$B$3:$D$3, 0)), IF(VLOOKUP(A113,04_PROYECTOS!$A:$N,4,FALSE)="Publico_&lt;10M",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VLOOKUP(A113,04_PROYECTOS!$A:$N,10,FALSE))</f>
        <v/>
      </c>
      <c r="I113">
        <f>ROUNDUP(H113/30,0)</f>
        <v/>
      </c>
      <c r="J113">
        <f>EDATE(C113,I113)</f>
        <v/>
      </c>
      <c r="K113">
        <f>G113</f>
        <v/>
      </c>
    </row>
    <row r="114">
      <c r="E114">
        <f>D114*VLOOKUP(A114,04_PROYECTOS!$A:$N,5,FALSE)*(INDEX(02B_ESCENARIOS!$B$4:$D$11, MATCH("MULT_PRECIO", 02B_ESCENARIOS!$A$4:$A$11, 0), MATCH("Conservador", 02B_ESCENARIOS!$B$3:$D$3, 0)))*INDEX(02B_ESCENARIOS!$B$15:$D$19, MATCH(VLOOKUP(A114,04_PROYECTOS!$A:$N,9,FALSE), 02B_ESCENARIOS!$A$15:$A$19, 0), MATCH("Conservador", 02B_ESCENARIOS!$B$14:$D$14, 0))</f>
        <v/>
      </c>
      <c r="F114">
        <f>E114*VLOOKUP(A114,04_PROYECTOS!$A:$N,6,FALSE)</f>
        <v/>
      </c>
      <c r="G114">
        <f>E114+F114</f>
        <v/>
      </c>
      <c r="H114">
        <f>IF(VLOOKUP(A114,04_PROYECTOS!$A:$N,10,FALSE)="", IF(VLOOKUP(A114,04_PROYECTOS!$A:$N,4,FALSE)="Privado", INDEX(02B_ESCENARIOS!$B$4:$D$11, MATCH("DSO_PRIVADO_DEFAULT", 02B_ESCENARIOS!$A$4:$A$11, 0), MATCH("Conservador", 02B_ESCENARIOS!$B$3:$D$3, 0)), IF(VLOOKUP(A114,04_PROYECTOS!$A:$N,4,FALSE)="Publico_&lt;10M",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VLOOKUP(A114,04_PROYECTOS!$A:$N,10,FALSE))</f>
        <v/>
      </c>
      <c r="I114">
        <f>ROUNDUP(H114/30,0)</f>
        <v/>
      </c>
      <c r="J114">
        <f>EDATE(C114,I114)</f>
        <v/>
      </c>
      <c r="K114">
        <f>G114</f>
        <v/>
      </c>
    </row>
    <row r="115">
      <c r="E115">
        <f>D115*VLOOKUP(A115,04_PROYECTOS!$A:$N,5,FALSE)*(INDEX(02B_ESCENARIOS!$B$4:$D$11, MATCH("MULT_PRECIO", 02B_ESCENARIOS!$A$4:$A$11, 0), MATCH("Conservador", 02B_ESCENARIOS!$B$3:$D$3, 0)))*INDEX(02B_ESCENARIOS!$B$15:$D$19, MATCH(VLOOKUP(A115,04_PROYECTOS!$A:$N,9,FALSE), 02B_ESCENARIOS!$A$15:$A$19, 0), MATCH("Conservador", 02B_ESCENARIOS!$B$14:$D$14, 0))</f>
        <v/>
      </c>
      <c r="F115">
        <f>E115*VLOOKUP(A115,04_PROYECTOS!$A:$N,6,FALSE)</f>
        <v/>
      </c>
      <c r="G115">
        <f>E115+F115</f>
        <v/>
      </c>
      <c r="H115">
        <f>IF(VLOOKUP(A115,04_PROYECTOS!$A:$N,10,FALSE)="", IF(VLOOKUP(A115,04_PROYECTOS!$A:$N,4,FALSE)="Privado", INDEX(02B_ESCENARIOS!$B$4:$D$11, MATCH("DSO_PRIVADO_DEFAULT", 02B_ESCENARIOS!$A$4:$A$11, 0), MATCH("Conservador", 02B_ESCENARIOS!$B$3:$D$3, 0)), IF(VLOOKUP(A115,04_PROYECTOS!$A:$N,4,FALSE)="Publico_&lt;10M",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VLOOKUP(A115,04_PROYECTOS!$A:$N,10,FALSE))</f>
        <v/>
      </c>
      <c r="I115">
        <f>ROUNDUP(H115/30,0)</f>
        <v/>
      </c>
      <c r="J115">
        <f>EDATE(C115,I115)</f>
        <v/>
      </c>
      <c r="K115">
        <f>G115</f>
        <v/>
      </c>
    </row>
    <row r="116">
      <c r="E116">
        <f>D116*VLOOKUP(A116,04_PROYECTOS!$A:$N,5,FALSE)*(INDEX(02B_ESCENARIOS!$B$4:$D$11, MATCH("MULT_PRECIO", 02B_ESCENARIOS!$A$4:$A$11, 0), MATCH("Conservador", 02B_ESCENARIOS!$B$3:$D$3, 0)))*INDEX(02B_ESCENARIOS!$B$15:$D$19, MATCH(VLOOKUP(A116,04_PROYECTOS!$A:$N,9,FALSE), 02B_ESCENARIOS!$A$15:$A$19, 0), MATCH("Conservador", 02B_ESCENARIOS!$B$14:$D$14, 0))</f>
        <v/>
      </c>
      <c r="F116">
        <f>E116*VLOOKUP(A116,04_PROYECTOS!$A:$N,6,FALSE)</f>
        <v/>
      </c>
      <c r="G116">
        <f>E116+F116</f>
        <v/>
      </c>
      <c r="H116">
        <f>IF(VLOOKUP(A116,04_PROYECTOS!$A:$N,10,FALSE)="", IF(VLOOKUP(A116,04_PROYECTOS!$A:$N,4,FALSE)="Privado", INDEX(02B_ESCENARIOS!$B$4:$D$11, MATCH("DSO_PRIVADO_DEFAULT", 02B_ESCENARIOS!$A$4:$A$11, 0), MATCH("Conservador", 02B_ESCENARIOS!$B$3:$D$3, 0)), IF(VLOOKUP(A116,04_PROYECTOS!$A:$N,4,FALSE)="Publico_&lt;10M",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VLOOKUP(A116,04_PROYECTOS!$A:$N,10,FALSE))</f>
        <v/>
      </c>
      <c r="I116">
        <f>ROUNDUP(H116/30,0)</f>
        <v/>
      </c>
      <c r="J116">
        <f>EDATE(C116,I116)</f>
        <v/>
      </c>
      <c r="K116">
        <f>G116</f>
        <v/>
      </c>
    </row>
    <row r="117">
      <c r="E117">
        <f>D117*VLOOKUP(A117,04_PROYECTOS!$A:$N,5,FALSE)*(INDEX(02B_ESCENARIOS!$B$4:$D$11, MATCH("MULT_PRECIO", 02B_ESCENARIOS!$A$4:$A$11, 0), MATCH("Conservador", 02B_ESCENARIOS!$B$3:$D$3, 0)))*INDEX(02B_ESCENARIOS!$B$15:$D$19, MATCH(VLOOKUP(A117,04_PROYECTOS!$A:$N,9,FALSE), 02B_ESCENARIOS!$A$15:$A$19, 0), MATCH("Conservador", 02B_ESCENARIOS!$B$14:$D$14, 0))</f>
        <v/>
      </c>
      <c r="F117">
        <f>E117*VLOOKUP(A117,04_PROYECTOS!$A:$N,6,FALSE)</f>
        <v/>
      </c>
      <c r="G117">
        <f>E117+F117</f>
        <v/>
      </c>
      <c r="H117">
        <f>IF(VLOOKUP(A117,04_PROYECTOS!$A:$N,10,FALSE)="", IF(VLOOKUP(A117,04_PROYECTOS!$A:$N,4,FALSE)="Privado", INDEX(02B_ESCENARIOS!$B$4:$D$11, MATCH("DSO_PRIVADO_DEFAULT", 02B_ESCENARIOS!$A$4:$A$11, 0), MATCH("Conservador", 02B_ESCENARIOS!$B$3:$D$3, 0)), IF(VLOOKUP(A117,04_PROYECTOS!$A:$N,4,FALSE)="Publico_&lt;10M",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VLOOKUP(A117,04_PROYECTOS!$A:$N,10,FALSE))</f>
        <v/>
      </c>
      <c r="I117">
        <f>ROUNDUP(H117/30,0)</f>
        <v/>
      </c>
      <c r="J117">
        <f>EDATE(C117,I117)</f>
        <v/>
      </c>
      <c r="K117">
        <f>G117</f>
        <v/>
      </c>
    </row>
    <row r="118">
      <c r="E118">
        <f>D118*VLOOKUP(A118,04_PROYECTOS!$A:$N,5,FALSE)*(INDEX(02B_ESCENARIOS!$B$4:$D$11, MATCH("MULT_PRECIO", 02B_ESCENARIOS!$A$4:$A$11, 0), MATCH("Conservador", 02B_ESCENARIOS!$B$3:$D$3, 0)))*INDEX(02B_ESCENARIOS!$B$15:$D$19, MATCH(VLOOKUP(A118,04_PROYECTOS!$A:$N,9,FALSE), 02B_ESCENARIOS!$A$15:$A$19, 0), MATCH("Conservador", 02B_ESCENARIOS!$B$14:$D$14, 0))</f>
        <v/>
      </c>
      <c r="F118">
        <f>E118*VLOOKUP(A118,04_PROYECTOS!$A:$N,6,FALSE)</f>
        <v/>
      </c>
      <c r="G118">
        <f>E118+F118</f>
        <v/>
      </c>
      <c r="H118">
        <f>IF(VLOOKUP(A118,04_PROYECTOS!$A:$N,10,FALSE)="", IF(VLOOKUP(A118,04_PROYECTOS!$A:$N,4,FALSE)="Privado", INDEX(02B_ESCENARIOS!$B$4:$D$11, MATCH("DSO_PRIVADO_DEFAULT", 02B_ESCENARIOS!$A$4:$A$11, 0), MATCH("Conservador", 02B_ESCENARIOS!$B$3:$D$3, 0)), IF(VLOOKUP(A118,04_PROYECTOS!$A:$N,4,FALSE)="Publico_&lt;10M",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VLOOKUP(A118,04_PROYECTOS!$A:$N,10,FALSE))</f>
        <v/>
      </c>
      <c r="I118">
        <f>ROUNDUP(H118/30,0)</f>
        <v/>
      </c>
      <c r="J118">
        <f>EDATE(C118,I118)</f>
        <v/>
      </c>
      <c r="K118">
        <f>G118</f>
        <v/>
      </c>
    </row>
    <row r="119">
      <c r="E119">
        <f>D119*VLOOKUP(A119,04_PROYECTOS!$A:$N,5,FALSE)*(INDEX(02B_ESCENARIOS!$B$4:$D$11, MATCH("MULT_PRECIO", 02B_ESCENARIOS!$A$4:$A$11, 0), MATCH("Conservador", 02B_ESCENARIOS!$B$3:$D$3, 0)))*INDEX(02B_ESCENARIOS!$B$15:$D$19, MATCH(VLOOKUP(A119,04_PROYECTOS!$A:$N,9,FALSE), 02B_ESCENARIOS!$A$15:$A$19, 0), MATCH("Conservador", 02B_ESCENARIOS!$B$14:$D$14, 0))</f>
        <v/>
      </c>
      <c r="F119">
        <f>E119*VLOOKUP(A119,04_PROYECTOS!$A:$N,6,FALSE)</f>
        <v/>
      </c>
      <c r="G119">
        <f>E119+F119</f>
        <v/>
      </c>
      <c r="H119">
        <f>IF(VLOOKUP(A119,04_PROYECTOS!$A:$N,10,FALSE)="", IF(VLOOKUP(A119,04_PROYECTOS!$A:$N,4,FALSE)="Privado", INDEX(02B_ESCENARIOS!$B$4:$D$11, MATCH("DSO_PRIVADO_DEFAULT", 02B_ESCENARIOS!$A$4:$A$11, 0), MATCH("Conservador", 02B_ESCENARIOS!$B$3:$D$3, 0)), IF(VLOOKUP(A119,04_PROYECTOS!$A:$N,4,FALSE)="Publico_&lt;10M",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VLOOKUP(A119,04_PROYECTOS!$A:$N,10,FALSE))</f>
        <v/>
      </c>
      <c r="I119">
        <f>ROUNDUP(H119/30,0)</f>
        <v/>
      </c>
      <c r="J119">
        <f>EDATE(C119,I119)</f>
        <v/>
      </c>
      <c r="K119">
        <f>G119</f>
        <v/>
      </c>
    </row>
    <row r="120">
      <c r="E120">
        <f>D120*VLOOKUP(A120,04_PROYECTOS!$A:$N,5,FALSE)*(INDEX(02B_ESCENARIOS!$B$4:$D$11, MATCH("MULT_PRECIO", 02B_ESCENARIOS!$A$4:$A$11, 0), MATCH("Conservador", 02B_ESCENARIOS!$B$3:$D$3, 0)))*INDEX(02B_ESCENARIOS!$B$15:$D$19, MATCH(VLOOKUP(A120,04_PROYECTOS!$A:$N,9,FALSE), 02B_ESCENARIOS!$A$15:$A$19, 0), MATCH("Conservador", 02B_ESCENARIOS!$B$14:$D$14, 0))</f>
        <v/>
      </c>
      <c r="F120">
        <f>E120*VLOOKUP(A120,04_PROYECTOS!$A:$N,6,FALSE)</f>
        <v/>
      </c>
      <c r="G120">
        <f>E120+F120</f>
        <v/>
      </c>
      <c r="H120">
        <f>IF(VLOOKUP(A120,04_PROYECTOS!$A:$N,10,FALSE)="", IF(VLOOKUP(A120,04_PROYECTOS!$A:$N,4,FALSE)="Privado", INDEX(02B_ESCENARIOS!$B$4:$D$11, MATCH("DSO_PRIVADO_DEFAULT", 02B_ESCENARIOS!$A$4:$A$11, 0), MATCH("Conservador", 02B_ESCENARIOS!$B$3:$D$3, 0)), IF(VLOOKUP(A120,04_PROYECTOS!$A:$N,4,FALSE)="Publico_&lt;10M",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VLOOKUP(A120,04_PROYECTOS!$A:$N,10,FALSE))</f>
        <v/>
      </c>
      <c r="I120">
        <f>ROUNDUP(H120/30,0)</f>
        <v/>
      </c>
      <c r="J120">
        <f>EDATE(C120,I120)</f>
        <v/>
      </c>
      <c r="K120">
        <f>G120</f>
        <v/>
      </c>
    </row>
    <row r="121">
      <c r="E121">
        <f>D121*VLOOKUP(A121,04_PROYECTOS!$A:$N,5,FALSE)*(INDEX(02B_ESCENARIOS!$B$4:$D$11, MATCH("MULT_PRECIO", 02B_ESCENARIOS!$A$4:$A$11, 0), MATCH("Conservador", 02B_ESCENARIOS!$B$3:$D$3, 0)))*INDEX(02B_ESCENARIOS!$B$15:$D$19, MATCH(VLOOKUP(A121,04_PROYECTOS!$A:$N,9,FALSE), 02B_ESCENARIOS!$A$15:$A$19, 0), MATCH("Conservador", 02B_ESCENARIOS!$B$14:$D$14, 0))</f>
        <v/>
      </c>
      <c r="F121">
        <f>E121*VLOOKUP(A121,04_PROYECTOS!$A:$N,6,FALSE)</f>
        <v/>
      </c>
      <c r="G121">
        <f>E121+F121</f>
        <v/>
      </c>
      <c r="H121">
        <f>IF(VLOOKUP(A121,04_PROYECTOS!$A:$N,10,FALSE)="", IF(VLOOKUP(A121,04_PROYECTOS!$A:$N,4,FALSE)="Privado", INDEX(02B_ESCENARIOS!$B$4:$D$11, MATCH("DSO_PRIVADO_DEFAULT", 02B_ESCENARIOS!$A$4:$A$11, 0), MATCH("Conservador", 02B_ESCENARIOS!$B$3:$D$3, 0)), IF(VLOOKUP(A121,04_PROYECTOS!$A:$N,4,FALSE)="Publico_&lt;10M",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VLOOKUP(A121,04_PROYECTOS!$A:$N,10,FALSE))</f>
        <v/>
      </c>
      <c r="I121">
        <f>ROUNDUP(H121/30,0)</f>
        <v/>
      </c>
      <c r="J121">
        <f>EDATE(C121,I121)</f>
        <v/>
      </c>
      <c r="K121">
        <f>G121</f>
        <v/>
      </c>
    </row>
    <row r="122">
      <c r="E122">
        <f>D122*VLOOKUP(A122,04_PROYECTOS!$A:$N,5,FALSE)*(INDEX(02B_ESCENARIOS!$B$4:$D$11, MATCH("MULT_PRECIO", 02B_ESCENARIOS!$A$4:$A$11, 0), MATCH("Conservador", 02B_ESCENARIOS!$B$3:$D$3, 0)))*INDEX(02B_ESCENARIOS!$B$15:$D$19, MATCH(VLOOKUP(A122,04_PROYECTOS!$A:$N,9,FALSE), 02B_ESCENARIOS!$A$15:$A$19, 0), MATCH("Conservador", 02B_ESCENARIOS!$B$14:$D$14, 0))</f>
        <v/>
      </c>
      <c r="F122">
        <f>E122*VLOOKUP(A122,04_PROYECTOS!$A:$N,6,FALSE)</f>
        <v/>
      </c>
      <c r="G122">
        <f>E122+F122</f>
        <v/>
      </c>
      <c r="H122">
        <f>IF(VLOOKUP(A122,04_PROYECTOS!$A:$N,10,FALSE)="", IF(VLOOKUP(A122,04_PROYECTOS!$A:$N,4,FALSE)="Privado", INDEX(02B_ESCENARIOS!$B$4:$D$11, MATCH("DSO_PRIVADO_DEFAULT", 02B_ESCENARIOS!$A$4:$A$11, 0), MATCH("Conservador", 02B_ESCENARIOS!$B$3:$D$3, 0)), IF(VLOOKUP(A122,04_PROYECTOS!$A:$N,4,FALSE)="Publico_&lt;10M",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VLOOKUP(A122,04_PROYECTOS!$A:$N,10,FALSE))</f>
        <v/>
      </c>
      <c r="I122">
        <f>ROUNDUP(H122/30,0)</f>
        <v/>
      </c>
      <c r="J122">
        <f>EDATE(C122,I122)</f>
        <v/>
      </c>
      <c r="K122">
        <f>G122</f>
        <v/>
      </c>
    </row>
    <row r="123">
      <c r="E123">
        <f>D123*VLOOKUP(A123,04_PROYECTOS!$A:$N,5,FALSE)*(INDEX(02B_ESCENARIOS!$B$4:$D$11, MATCH("MULT_PRECIO", 02B_ESCENARIOS!$A$4:$A$11, 0), MATCH("Conservador", 02B_ESCENARIOS!$B$3:$D$3, 0)))*INDEX(02B_ESCENARIOS!$B$15:$D$19, MATCH(VLOOKUP(A123,04_PROYECTOS!$A:$N,9,FALSE), 02B_ESCENARIOS!$A$15:$A$19, 0), MATCH("Conservador", 02B_ESCENARIOS!$B$14:$D$14, 0))</f>
        <v/>
      </c>
      <c r="F123">
        <f>E123*VLOOKUP(A123,04_PROYECTOS!$A:$N,6,FALSE)</f>
        <v/>
      </c>
      <c r="G123">
        <f>E123+F123</f>
        <v/>
      </c>
      <c r="H123">
        <f>IF(VLOOKUP(A123,04_PROYECTOS!$A:$N,10,FALSE)="", IF(VLOOKUP(A123,04_PROYECTOS!$A:$N,4,FALSE)="Privado", INDEX(02B_ESCENARIOS!$B$4:$D$11, MATCH("DSO_PRIVADO_DEFAULT", 02B_ESCENARIOS!$A$4:$A$11, 0), MATCH("Conservador", 02B_ESCENARIOS!$B$3:$D$3, 0)), IF(VLOOKUP(A123,04_PROYECTOS!$A:$N,4,FALSE)="Publico_&lt;10M",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VLOOKUP(A123,04_PROYECTOS!$A:$N,10,FALSE))</f>
        <v/>
      </c>
      <c r="I123">
        <f>ROUNDUP(H123/30,0)</f>
        <v/>
      </c>
      <c r="J123">
        <f>EDATE(C123,I123)</f>
        <v/>
      </c>
      <c r="K123">
        <f>G123</f>
        <v/>
      </c>
    </row>
    <row r="124">
      <c r="E124">
        <f>D124*VLOOKUP(A124,04_PROYECTOS!$A:$N,5,FALSE)*(INDEX(02B_ESCENARIOS!$B$4:$D$11, MATCH("MULT_PRECIO", 02B_ESCENARIOS!$A$4:$A$11, 0), MATCH("Conservador", 02B_ESCENARIOS!$B$3:$D$3, 0)))*INDEX(02B_ESCENARIOS!$B$15:$D$19, MATCH(VLOOKUP(A124,04_PROYECTOS!$A:$N,9,FALSE), 02B_ESCENARIOS!$A$15:$A$19, 0), MATCH("Conservador", 02B_ESCENARIOS!$B$14:$D$14, 0))</f>
        <v/>
      </c>
      <c r="F124">
        <f>E124*VLOOKUP(A124,04_PROYECTOS!$A:$N,6,FALSE)</f>
        <v/>
      </c>
      <c r="G124">
        <f>E124+F124</f>
        <v/>
      </c>
      <c r="H124">
        <f>IF(VLOOKUP(A124,04_PROYECTOS!$A:$N,10,FALSE)="", IF(VLOOKUP(A124,04_PROYECTOS!$A:$N,4,FALSE)="Privado", INDEX(02B_ESCENARIOS!$B$4:$D$11, MATCH("DSO_PRIVADO_DEFAULT", 02B_ESCENARIOS!$A$4:$A$11, 0), MATCH("Conservador", 02B_ESCENARIOS!$B$3:$D$3, 0)), IF(VLOOKUP(A124,04_PROYECTOS!$A:$N,4,FALSE)="Publico_&lt;10M",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VLOOKUP(A124,04_PROYECTOS!$A:$N,10,FALSE))</f>
        <v/>
      </c>
      <c r="I124">
        <f>ROUNDUP(H124/30,0)</f>
        <v/>
      </c>
      <c r="J124">
        <f>EDATE(C124,I124)</f>
        <v/>
      </c>
      <c r="K124">
        <f>G124</f>
        <v/>
      </c>
    </row>
    <row r="125">
      <c r="E125">
        <f>D125*VLOOKUP(A125,04_PROYECTOS!$A:$N,5,FALSE)*(INDEX(02B_ESCENARIOS!$B$4:$D$11, MATCH("MULT_PRECIO", 02B_ESCENARIOS!$A$4:$A$11, 0), MATCH("Conservador", 02B_ESCENARIOS!$B$3:$D$3, 0)))*INDEX(02B_ESCENARIOS!$B$15:$D$19, MATCH(VLOOKUP(A125,04_PROYECTOS!$A:$N,9,FALSE), 02B_ESCENARIOS!$A$15:$A$19, 0), MATCH("Conservador", 02B_ESCENARIOS!$B$14:$D$14, 0))</f>
        <v/>
      </c>
      <c r="F125">
        <f>E125*VLOOKUP(A125,04_PROYECTOS!$A:$N,6,FALSE)</f>
        <v/>
      </c>
      <c r="G125">
        <f>E125+F125</f>
        <v/>
      </c>
      <c r="H125">
        <f>IF(VLOOKUP(A125,04_PROYECTOS!$A:$N,10,FALSE)="", IF(VLOOKUP(A125,04_PROYECTOS!$A:$N,4,FALSE)="Privado", INDEX(02B_ESCENARIOS!$B$4:$D$11, MATCH("DSO_PRIVADO_DEFAULT", 02B_ESCENARIOS!$A$4:$A$11, 0), MATCH("Conservador", 02B_ESCENARIOS!$B$3:$D$3, 0)), IF(VLOOKUP(A125,04_PROYECTOS!$A:$N,4,FALSE)="Publico_&lt;10M",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VLOOKUP(A125,04_PROYECTOS!$A:$N,10,FALSE))</f>
        <v/>
      </c>
      <c r="I125">
        <f>ROUNDUP(H125/30,0)</f>
        <v/>
      </c>
      <c r="J125">
        <f>EDATE(C125,I125)</f>
        <v/>
      </c>
      <c r="K125">
        <f>G125</f>
        <v/>
      </c>
    </row>
    <row r="126">
      <c r="E126">
        <f>D126*VLOOKUP(A126,04_PROYECTOS!$A:$N,5,FALSE)*(INDEX(02B_ESCENARIOS!$B$4:$D$11, MATCH("MULT_PRECIO", 02B_ESCENARIOS!$A$4:$A$11, 0), MATCH("Conservador", 02B_ESCENARIOS!$B$3:$D$3, 0)))*INDEX(02B_ESCENARIOS!$B$15:$D$19, MATCH(VLOOKUP(A126,04_PROYECTOS!$A:$N,9,FALSE), 02B_ESCENARIOS!$A$15:$A$19, 0), MATCH("Conservador", 02B_ESCENARIOS!$B$14:$D$14, 0))</f>
        <v/>
      </c>
      <c r="F126">
        <f>E126*VLOOKUP(A126,04_PROYECTOS!$A:$N,6,FALSE)</f>
        <v/>
      </c>
      <c r="G126">
        <f>E126+F126</f>
        <v/>
      </c>
      <c r="H126">
        <f>IF(VLOOKUP(A126,04_PROYECTOS!$A:$N,10,FALSE)="", IF(VLOOKUP(A126,04_PROYECTOS!$A:$N,4,FALSE)="Privado", INDEX(02B_ESCENARIOS!$B$4:$D$11, MATCH("DSO_PRIVADO_DEFAULT", 02B_ESCENARIOS!$A$4:$A$11, 0), MATCH("Conservador", 02B_ESCENARIOS!$B$3:$D$3, 0)), IF(VLOOKUP(A126,04_PROYECTOS!$A:$N,4,FALSE)="Publico_&lt;10M",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VLOOKUP(A126,04_PROYECTOS!$A:$N,10,FALSE))</f>
        <v/>
      </c>
      <c r="I126">
        <f>ROUNDUP(H126/30,0)</f>
        <v/>
      </c>
      <c r="J126">
        <f>EDATE(C126,I126)</f>
        <v/>
      </c>
      <c r="K126">
        <f>G126</f>
        <v/>
      </c>
    </row>
    <row r="127">
      <c r="E127">
        <f>D127*VLOOKUP(A127,04_PROYECTOS!$A:$N,5,FALSE)*(INDEX(02B_ESCENARIOS!$B$4:$D$11, MATCH("MULT_PRECIO", 02B_ESCENARIOS!$A$4:$A$11, 0), MATCH("Conservador", 02B_ESCENARIOS!$B$3:$D$3, 0)))*INDEX(02B_ESCENARIOS!$B$15:$D$19, MATCH(VLOOKUP(A127,04_PROYECTOS!$A:$N,9,FALSE), 02B_ESCENARIOS!$A$15:$A$19, 0), MATCH("Conservador", 02B_ESCENARIOS!$B$14:$D$14, 0))</f>
        <v/>
      </c>
      <c r="F127">
        <f>E127*VLOOKUP(A127,04_PROYECTOS!$A:$N,6,FALSE)</f>
        <v/>
      </c>
      <c r="G127">
        <f>E127+F127</f>
        <v/>
      </c>
      <c r="H127">
        <f>IF(VLOOKUP(A127,04_PROYECTOS!$A:$N,10,FALSE)="", IF(VLOOKUP(A127,04_PROYECTOS!$A:$N,4,FALSE)="Privado", INDEX(02B_ESCENARIOS!$B$4:$D$11, MATCH("DSO_PRIVADO_DEFAULT", 02B_ESCENARIOS!$A$4:$A$11, 0), MATCH("Conservador", 02B_ESCENARIOS!$B$3:$D$3, 0)), IF(VLOOKUP(A127,04_PROYECTOS!$A:$N,4,FALSE)="Publico_&lt;10M",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VLOOKUP(A127,04_PROYECTOS!$A:$N,10,FALSE))</f>
        <v/>
      </c>
      <c r="I127">
        <f>ROUNDUP(H127/30,0)</f>
        <v/>
      </c>
      <c r="J127">
        <f>EDATE(C127,I127)</f>
        <v/>
      </c>
      <c r="K127">
        <f>G127</f>
        <v/>
      </c>
    </row>
    <row r="128">
      <c r="E128">
        <f>D128*VLOOKUP(A128,04_PROYECTOS!$A:$N,5,FALSE)*(INDEX(02B_ESCENARIOS!$B$4:$D$11, MATCH("MULT_PRECIO", 02B_ESCENARIOS!$A$4:$A$11, 0), MATCH("Conservador", 02B_ESCENARIOS!$B$3:$D$3, 0)))*INDEX(02B_ESCENARIOS!$B$15:$D$19, MATCH(VLOOKUP(A128,04_PROYECTOS!$A:$N,9,FALSE), 02B_ESCENARIOS!$A$15:$A$19, 0), MATCH("Conservador", 02B_ESCENARIOS!$B$14:$D$14, 0))</f>
        <v/>
      </c>
      <c r="F128">
        <f>E128*VLOOKUP(A128,04_PROYECTOS!$A:$N,6,FALSE)</f>
        <v/>
      </c>
      <c r="G128">
        <f>E128+F128</f>
        <v/>
      </c>
      <c r="H128">
        <f>IF(VLOOKUP(A128,04_PROYECTOS!$A:$N,10,FALSE)="", IF(VLOOKUP(A128,04_PROYECTOS!$A:$N,4,FALSE)="Privado", INDEX(02B_ESCENARIOS!$B$4:$D$11, MATCH("DSO_PRIVADO_DEFAULT", 02B_ESCENARIOS!$A$4:$A$11, 0), MATCH("Conservador", 02B_ESCENARIOS!$B$3:$D$3, 0)), IF(VLOOKUP(A128,04_PROYECTOS!$A:$N,4,FALSE)="Publico_&lt;10M",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VLOOKUP(A128,04_PROYECTOS!$A:$N,10,FALSE))</f>
        <v/>
      </c>
      <c r="I128">
        <f>ROUNDUP(H128/30,0)</f>
        <v/>
      </c>
      <c r="J128">
        <f>EDATE(C128,I128)</f>
        <v/>
      </c>
      <c r="K128">
        <f>G128</f>
        <v/>
      </c>
    </row>
    <row r="129">
      <c r="E129">
        <f>D129*VLOOKUP(A129,04_PROYECTOS!$A:$N,5,FALSE)*(INDEX(02B_ESCENARIOS!$B$4:$D$11, MATCH("MULT_PRECIO", 02B_ESCENARIOS!$A$4:$A$11, 0), MATCH("Conservador", 02B_ESCENARIOS!$B$3:$D$3, 0)))*INDEX(02B_ESCENARIOS!$B$15:$D$19, MATCH(VLOOKUP(A129,04_PROYECTOS!$A:$N,9,FALSE), 02B_ESCENARIOS!$A$15:$A$19, 0), MATCH("Conservador", 02B_ESCENARIOS!$B$14:$D$14, 0))</f>
        <v/>
      </c>
      <c r="F129">
        <f>E129*VLOOKUP(A129,04_PROYECTOS!$A:$N,6,FALSE)</f>
        <v/>
      </c>
      <c r="G129">
        <f>E129+F129</f>
        <v/>
      </c>
      <c r="H129">
        <f>IF(VLOOKUP(A129,04_PROYECTOS!$A:$N,10,FALSE)="", IF(VLOOKUP(A129,04_PROYECTOS!$A:$N,4,FALSE)="Privado", INDEX(02B_ESCENARIOS!$B$4:$D$11, MATCH("DSO_PRIVADO_DEFAULT", 02B_ESCENARIOS!$A$4:$A$11, 0), MATCH("Conservador", 02B_ESCENARIOS!$B$3:$D$3, 0)), IF(VLOOKUP(A129,04_PROYECTOS!$A:$N,4,FALSE)="Publico_&lt;10M",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VLOOKUP(A129,04_PROYECTOS!$A:$N,10,FALSE))</f>
        <v/>
      </c>
      <c r="I129">
        <f>ROUNDUP(H129/30,0)</f>
        <v/>
      </c>
      <c r="J129">
        <f>EDATE(C129,I129)</f>
        <v/>
      </c>
      <c r="K129">
        <f>G129</f>
        <v/>
      </c>
    </row>
    <row r="130">
      <c r="E130">
        <f>D130*VLOOKUP(A130,04_PROYECTOS!$A:$N,5,FALSE)*(INDEX(02B_ESCENARIOS!$B$4:$D$11, MATCH("MULT_PRECIO", 02B_ESCENARIOS!$A$4:$A$11, 0), MATCH("Conservador", 02B_ESCENARIOS!$B$3:$D$3, 0)))*INDEX(02B_ESCENARIOS!$B$15:$D$19, MATCH(VLOOKUP(A130,04_PROYECTOS!$A:$N,9,FALSE), 02B_ESCENARIOS!$A$15:$A$19, 0), MATCH("Conservador", 02B_ESCENARIOS!$B$14:$D$14, 0))</f>
        <v/>
      </c>
      <c r="F130">
        <f>E130*VLOOKUP(A130,04_PROYECTOS!$A:$N,6,FALSE)</f>
        <v/>
      </c>
      <c r="G130">
        <f>E130+F130</f>
        <v/>
      </c>
      <c r="H130">
        <f>IF(VLOOKUP(A130,04_PROYECTOS!$A:$N,10,FALSE)="", IF(VLOOKUP(A130,04_PROYECTOS!$A:$N,4,FALSE)="Privado", INDEX(02B_ESCENARIOS!$B$4:$D$11, MATCH("DSO_PRIVADO_DEFAULT", 02B_ESCENARIOS!$A$4:$A$11, 0), MATCH("Conservador", 02B_ESCENARIOS!$B$3:$D$3, 0)), IF(VLOOKUP(A130,04_PROYECTOS!$A:$N,4,FALSE)="Publico_&lt;10M",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VLOOKUP(A130,04_PROYECTOS!$A:$N,10,FALSE))</f>
        <v/>
      </c>
      <c r="I130">
        <f>ROUNDUP(H130/30,0)</f>
        <v/>
      </c>
      <c r="J130">
        <f>EDATE(C130,I130)</f>
        <v/>
      </c>
      <c r="K130">
        <f>G130</f>
        <v/>
      </c>
    </row>
    <row r="131">
      <c r="E131">
        <f>D131*VLOOKUP(A131,04_PROYECTOS!$A:$N,5,FALSE)*(INDEX(02B_ESCENARIOS!$B$4:$D$11, MATCH("MULT_PRECIO", 02B_ESCENARIOS!$A$4:$A$11, 0), MATCH("Conservador", 02B_ESCENARIOS!$B$3:$D$3, 0)))*INDEX(02B_ESCENARIOS!$B$15:$D$19, MATCH(VLOOKUP(A131,04_PROYECTOS!$A:$N,9,FALSE), 02B_ESCENARIOS!$A$15:$A$19, 0), MATCH("Conservador", 02B_ESCENARIOS!$B$14:$D$14, 0))</f>
        <v/>
      </c>
      <c r="F131">
        <f>E131*VLOOKUP(A131,04_PROYECTOS!$A:$N,6,FALSE)</f>
        <v/>
      </c>
      <c r="G131">
        <f>E131+F131</f>
        <v/>
      </c>
      <c r="H131">
        <f>IF(VLOOKUP(A131,04_PROYECTOS!$A:$N,10,FALSE)="", IF(VLOOKUP(A131,04_PROYECTOS!$A:$N,4,FALSE)="Privado", INDEX(02B_ESCENARIOS!$B$4:$D$11, MATCH("DSO_PRIVADO_DEFAULT", 02B_ESCENARIOS!$A$4:$A$11, 0), MATCH("Conservador", 02B_ESCENARIOS!$B$3:$D$3, 0)), IF(VLOOKUP(A131,04_PROYECTOS!$A:$N,4,FALSE)="Publico_&lt;10M",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VLOOKUP(A131,04_PROYECTOS!$A:$N,10,FALSE))</f>
        <v/>
      </c>
      <c r="I131">
        <f>ROUNDUP(H131/30,0)</f>
        <v/>
      </c>
      <c r="J131">
        <f>EDATE(C131,I131)</f>
        <v/>
      </c>
      <c r="K131">
        <f>G131</f>
        <v/>
      </c>
    </row>
    <row r="132">
      <c r="E132">
        <f>D132*VLOOKUP(A132,04_PROYECTOS!$A:$N,5,FALSE)*(INDEX(02B_ESCENARIOS!$B$4:$D$11, MATCH("MULT_PRECIO", 02B_ESCENARIOS!$A$4:$A$11, 0), MATCH("Conservador", 02B_ESCENARIOS!$B$3:$D$3, 0)))*INDEX(02B_ESCENARIOS!$B$15:$D$19, MATCH(VLOOKUP(A132,04_PROYECTOS!$A:$N,9,FALSE), 02B_ESCENARIOS!$A$15:$A$19, 0), MATCH("Conservador", 02B_ESCENARIOS!$B$14:$D$14, 0))</f>
        <v/>
      </c>
      <c r="F132">
        <f>E132*VLOOKUP(A132,04_PROYECTOS!$A:$N,6,FALSE)</f>
        <v/>
      </c>
      <c r="G132">
        <f>E132+F132</f>
        <v/>
      </c>
      <c r="H132">
        <f>IF(VLOOKUP(A132,04_PROYECTOS!$A:$N,10,FALSE)="", IF(VLOOKUP(A132,04_PROYECTOS!$A:$N,4,FALSE)="Privado", INDEX(02B_ESCENARIOS!$B$4:$D$11, MATCH("DSO_PRIVADO_DEFAULT", 02B_ESCENARIOS!$A$4:$A$11, 0), MATCH("Conservador", 02B_ESCENARIOS!$B$3:$D$3, 0)), IF(VLOOKUP(A132,04_PROYECTOS!$A:$N,4,FALSE)="Publico_&lt;10M",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VLOOKUP(A132,04_PROYECTOS!$A:$N,10,FALSE))</f>
        <v/>
      </c>
      <c r="I132">
        <f>ROUNDUP(H132/30,0)</f>
        <v/>
      </c>
      <c r="J132">
        <f>EDATE(C132,I132)</f>
        <v/>
      </c>
      <c r="K132">
        <f>G132</f>
        <v/>
      </c>
    </row>
    <row r="133">
      <c r="E133">
        <f>D133*VLOOKUP(A133,04_PROYECTOS!$A:$N,5,FALSE)*(INDEX(02B_ESCENARIOS!$B$4:$D$11, MATCH("MULT_PRECIO", 02B_ESCENARIOS!$A$4:$A$11, 0), MATCH("Conservador", 02B_ESCENARIOS!$B$3:$D$3, 0)))*INDEX(02B_ESCENARIOS!$B$15:$D$19, MATCH(VLOOKUP(A133,04_PROYECTOS!$A:$N,9,FALSE), 02B_ESCENARIOS!$A$15:$A$19, 0), MATCH("Conservador", 02B_ESCENARIOS!$B$14:$D$14, 0))</f>
        <v/>
      </c>
      <c r="F133">
        <f>E133*VLOOKUP(A133,04_PROYECTOS!$A:$N,6,FALSE)</f>
        <v/>
      </c>
      <c r="G133">
        <f>E133+F133</f>
        <v/>
      </c>
      <c r="H133">
        <f>IF(VLOOKUP(A133,04_PROYECTOS!$A:$N,10,FALSE)="", IF(VLOOKUP(A133,04_PROYECTOS!$A:$N,4,FALSE)="Privado", INDEX(02B_ESCENARIOS!$B$4:$D$11, MATCH("DSO_PRIVADO_DEFAULT", 02B_ESCENARIOS!$A$4:$A$11, 0), MATCH("Conservador", 02B_ESCENARIOS!$B$3:$D$3, 0)), IF(VLOOKUP(A133,04_PROYECTOS!$A:$N,4,FALSE)="Publico_&lt;10M",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VLOOKUP(A133,04_PROYECTOS!$A:$N,10,FALSE))</f>
        <v/>
      </c>
      <c r="I133">
        <f>ROUNDUP(H133/30,0)</f>
        <v/>
      </c>
      <c r="J133">
        <f>EDATE(C133,I133)</f>
        <v/>
      </c>
      <c r="K133">
        <f>G133</f>
        <v/>
      </c>
    </row>
    <row r="134">
      <c r="E134">
        <f>D134*VLOOKUP(A134,04_PROYECTOS!$A:$N,5,FALSE)*(INDEX(02B_ESCENARIOS!$B$4:$D$11, MATCH("MULT_PRECIO", 02B_ESCENARIOS!$A$4:$A$11, 0), MATCH("Conservador", 02B_ESCENARIOS!$B$3:$D$3, 0)))*INDEX(02B_ESCENARIOS!$B$15:$D$19, MATCH(VLOOKUP(A134,04_PROYECTOS!$A:$N,9,FALSE), 02B_ESCENARIOS!$A$15:$A$19, 0), MATCH("Conservador", 02B_ESCENARIOS!$B$14:$D$14, 0))</f>
        <v/>
      </c>
      <c r="F134">
        <f>E134*VLOOKUP(A134,04_PROYECTOS!$A:$N,6,FALSE)</f>
        <v/>
      </c>
      <c r="G134">
        <f>E134+F134</f>
        <v/>
      </c>
      <c r="H134">
        <f>IF(VLOOKUP(A134,04_PROYECTOS!$A:$N,10,FALSE)="", IF(VLOOKUP(A134,04_PROYECTOS!$A:$N,4,FALSE)="Privado", INDEX(02B_ESCENARIOS!$B$4:$D$11, MATCH("DSO_PRIVADO_DEFAULT", 02B_ESCENARIOS!$A$4:$A$11, 0), MATCH("Conservador", 02B_ESCENARIOS!$B$3:$D$3, 0)), IF(VLOOKUP(A134,04_PROYECTOS!$A:$N,4,FALSE)="Publico_&lt;10M",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VLOOKUP(A134,04_PROYECTOS!$A:$N,10,FALSE))</f>
        <v/>
      </c>
      <c r="I134">
        <f>ROUNDUP(H134/30,0)</f>
        <v/>
      </c>
      <c r="J134">
        <f>EDATE(C134,I134)</f>
        <v/>
      </c>
      <c r="K134">
        <f>G134</f>
        <v/>
      </c>
    </row>
    <row r="135">
      <c r="E135">
        <f>D135*VLOOKUP(A135,04_PROYECTOS!$A:$N,5,FALSE)*(INDEX(02B_ESCENARIOS!$B$4:$D$11, MATCH("MULT_PRECIO", 02B_ESCENARIOS!$A$4:$A$11, 0), MATCH("Conservador", 02B_ESCENARIOS!$B$3:$D$3, 0)))*INDEX(02B_ESCENARIOS!$B$15:$D$19, MATCH(VLOOKUP(A135,04_PROYECTOS!$A:$N,9,FALSE), 02B_ESCENARIOS!$A$15:$A$19, 0), MATCH("Conservador", 02B_ESCENARIOS!$B$14:$D$14, 0))</f>
        <v/>
      </c>
      <c r="F135">
        <f>E135*VLOOKUP(A135,04_PROYECTOS!$A:$N,6,FALSE)</f>
        <v/>
      </c>
      <c r="G135">
        <f>E135+F135</f>
        <v/>
      </c>
      <c r="H135">
        <f>IF(VLOOKUP(A135,04_PROYECTOS!$A:$N,10,FALSE)="", IF(VLOOKUP(A135,04_PROYECTOS!$A:$N,4,FALSE)="Privado", INDEX(02B_ESCENARIOS!$B$4:$D$11, MATCH("DSO_PRIVADO_DEFAULT", 02B_ESCENARIOS!$A$4:$A$11, 0), MATCH("Conservador", 02B_ESCENARIOS!$B$3:$D$3, 0)), IF(VLOOKUP(A135,04_PROYECTOS!$A:$N,4,FALSE)="Publico_&lt;10M",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VLOOKUP(A135,04_PROYECTOS!$A:$N,10,FALSE))</f>
        <v/>
      </c>
      <c r="I135">
        <f>ROUNDUP(H135/30,0)</f>
        <v/>
      </c>
      <c r="J135">
        <f>EDATE(C135,I135)</f>
        <v/>
      </c>
      <c r="K135">
        <f>G135</f>
        <v/>
      </c>
    </row>
    <row r="136">
      <c r="E136">
        <f>D136*VLOOKUP(A136,04_PROYECTOS!$A:$N,5,FALSE)*(INDEX(02B_ESCENARIOS!$B$4:$D$11, MATCH("MULT_PRECIO", 02B_ESCENARIOS!$A$4:$A$11, 0), MATCH("Conservador", 02B_ESCENARIOS!$B$3:$D$3, 0)))*INDEX(02B_ESCENARIOS!$B$15:$D$19, MATCH(VLOOKUP(A136,04_PROYECTOS!$A:$N,9,FALSE), 02B_ESCENARIOS!$A$15:$A$19, 0), MATCH("Conservador", 02B_ESCENARIOS!$B$14:$D$14, 0))</f>
        <v/>
      </c>
      <c r="F136">
        <f>E136*VLOOKUP(A136,04_PROYECTOS!$A:$N,6,FALSE)</f>
        <v/>
      </c>
      <c r="G136">
        <f>E136+F136</f>
        <v/>
      </c>
      <c r="H136">
        <f>IF(VLOOKUP(A136,04_PROYECTOS!$A:$N,10,FALSE)="", IF(VLOOKUP(A136,04_PROYECTOS!$A:$N,4,FALSE)="Privado", INDEX(02B_ESCENARIOS!$B$4:$D$11, MATCH("DSO_PRIVADO_DEFAULT", 02B_ESCENARIOS!$A$4:$A$11, 0), MATCH("Conservador", 02B_ESCENARIOS!$B$3:$D$3, 0)), IF(VLOOKUP(A136,04_PROYECTOS!$A:$N,4,FALSE)="Publico_&lt;10M",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VLOOKUP(A136,04_PROYECTOS!$A:$N,10,FALSE))</f>
        <v/>
      </c>
      <c r="I136">
        <f>ROUNDUP(H136/30,0)</f>
        <v/>
      </c>
      <c r="J136">
        <f>EDATE(C136,I136)</f>
        <v/>
      </c>
      <c r="K136">
        <f>G136</f>
        <v/>
      </c>
    </row>
    <row r="137">
      <c r="E137">
        <f>D137*VLOOKUP(A137,04_PROYECTOS!$A:$N,5,FALSE)*(INDEX(02B_ESCENARIOS!$B$4:$D$11, MATCH("MULT_PRECIO", 02B_ESCENARIOS!$A$4:$A$11, 0), MATCH("Conservador", 02B_ESCENARIOS!$B$3:$D$3, 0)))*INDEX(02B_ESCENARIOS!$B$15:$D$19, MATCH(VLOOKUP(A137,04_PROYECTOS!$A:$N,9,FALSE), 02B_ESCENARIOS!$A$15:$A$19, 0), MATCH("Conservador", 02B_ESCENARIOS!$B$14:$D$14, 0))</f>
        <v/>
      </c>
      <c r="F137">
        <f>E137*VLOOKUP(A137,04_PROYECTOS!$A:$N,6,FALSE)</f>
        <v/>
      </c>
      <c r="G137">
        <f>E137+F137</f>
        <v/>
      </c>
      <c r="H137">
        <f>IF(VLOOKUP(A137,04_PROYECTOS!$A:$N,10,FALSE)="", IF(VLOOKUP(A137,04_PROYECTOS!$A:$N,4,FALSE)="Privado", INDEX(02B_ESCENARIOS!$B$4:$D$11, MATCH("DSO_PRIVADO_DEFAULT", 02B_ESCENARIOS!$A$4:$A$11, 0), MATCH("Conservador", 02B_ESCENARIOS!$B$3:$D$3, 0)), IF(VLOOKUP(A137,04_PROYECTOS!$A:$N,4,FALSE)="Publico_&lt;10M",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VLOOKUP(A137,04_PROYECTOS!$A:$N,10,FALSE))</f>
        <v/>
      </c>
      <c r="I137">
        <f>ROUNDUP(H137/30,0)</f>
        <v/>
      </c>
      <c r="J137">
        <f>EDATE(C137,I137)</f>
        <v/>
      </c>
      <c r="K137">
        <f>G137</f>
        <v/>
      </c>
    </row>
    <row r="138">
      <c r="E138">
        <f>D138*VLOOKUP(A138,04_PROYECTOS!$A:$N,5,FALSE)*(INDEX(02B_ESCENARIOS!$B$4:$D$11, MATCH("MULT_PRECIO", 02B_ESCENARIOS!$A$4:$A$11, 0), MATCH("Conservador", 02B_ESCENARIOS!$B$3:$D$3, 0)))*INDEX(02B_ESCENARIOS!$B$15:$D$19, MATCH(VLOOKUP(A138,04_PROYECTOS!$A:$N,9,FALSE), 02B_ESCENARIOS!$A$15:$A$19, 0), MATCH("Conservador", 02B_ESCENARIOS!$B$14:$D$14, 0))</f>
        <v/>
      </c>
      <c r="F138">
        <f>E138*VLOOKUP(A138,04_PROYECTOS!$A:$N,6,FALSE)</f>
        <v/>
      </c>
      <c r="G138">
        <f>E138+F138</f>
        <v/>
      </c>
      <c r="H138">
        <f>IF(VLOOKUP(A138,04_PROYECTOS!$A:$N,10,FALSE)="", IF(VLOOKUP(A138,04_PROYECTOS!$A:$N,4,FALSE)="Privado", INDEX(02B_ESCENARIOS!$B$4:$D$11, MATCH("DSO_PRIVADO_DEFAULT", 02B_ESCENARIOS!$A$4:$A$11, 0), MATCH("Conservador", 02B_ESCENARIOS!$B$3:$D$3, 0)), IF(VLOOKUP(A138,04_PROYECTOS!$A:$N,4,FALSE)="Publico_&lt;10M",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VLOOKUP(A138,04_PROYECTOS!$A:$N,10,FALSE))</f>
        <v/>
      </c>
      <c r="I138">
        <f>ROUNDUP(H138/30,0)</f>
        <v/>
      </c>
      <c r="J138">
        <f>EDATE(C138,I138)</f>
        <v/>
      </c>
      <c r="K138">
        <f>G138</f>
        <v/>
      </c>
    </row>
    <row r="139">
      <c r="E139">
        <f>D139*VLOOKUP(A139,04_PROYECTOS!$A:$N,5,FALSE)*(INDEX(02B_ESCENARIOS!$B$4:$D$11, MATCH("MULT_PRECIO", 02B_ESCENARIOS!$A$4:$A$11, 0), MATCH("Conservador", 02B_ESCENARIOS!$B$3:$D$3, 0)))*INDEX(02B_ESCENARIOS!$B$15:$D$19, MATCH(VLOOKUP(A139,04_PROYECTOS!$A:$N,9,FALSE), 02B_ESCENARIOS!$A$15:$A$19, 0), MATCH("Conservador", 02B_ESCENARIOS!$B$14:$D$14, 0))</f>
        <v/>
      </c>
      <c r="F139">
        <f>E139*VLOOKUP(A139,04_PROYECTOS!$A:$N,6,FALSE)</f>
        <v/>
      </c>
      <c r="G139">
        <f>E139+F139</f>
        <v/>
      </c>
      <c r="H139">
        <f>IF(VLOOKUP(A139,04_PROYECTOS!$A:$N,10,FALSE)="", IF(VLOOKUP(A139,04_PROYECTOS!$A:$N,4,FALSE)="Privado", INDEX(02B_ESCENARIOS!$B$4:$D$11, MATCH("DSO_PRIVADO_DEFAULT", 02B_ESCENARIOS!$A$4:$A$11, 0), MATCH("Conservador", 02B_ESCENARIOS!$B$3:$D$3, 0)), IF(VLOOKUP(A139,04_PROYECTOS!$A:$N,4,FALSE)="Publico_&lt;10M",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VLOOKUP(A139,04_PROYECTOS!$A:$N,10,FALSE))</f>
        <v/>
      </c>
      <c r="I139">
        <f>ROUNDUP(H139/30,0)</f>
        <v/>
      </c>
      <c r="J139">
        <f>EDATE(C139,I139)</f>
        <v/>
      </c>
      <c r="K139">
        <f>G139</f>
        <v/>
      </c>
    </row>
    <row r="140">
      <c r="E140">
        <f>D140*VLOOKUP(A140,04_PROYECTOS!$A:$N,5,FALSE)*(INDEX(02B_ESCENARIOS!$B$4:$D$11, MATCH("MULT_PRECIO", 02B_ESCENARIOS!$A$4:$A$11, 0), MATCH("Conservador", 02B_ESCENARIOS!$B$3:$D$3, 0)))*INDEX(02B_ESCENARIOS!$B$15:$D$19, MATCH(VLOOKUP(A140,04_PROYECTOS!$A:$N,9,FALSE), 02B_ESCENARIOS!$A$15:$A$19, 0), MATCH("Conservador", 02B_ESCENARIOS!$B$14:$D$14, 0))</f>
        <v/>
      </c>
      <c r="F140">
        <f>E140*VLOOKUP(A140,04_PROYECTOS!$A:$N,6,FALSE)</f>
        <v/>
      </c>
      <c r="G140">
        <f>E140+F140</f>
        <v/>
      </c>
      <c r="H140">
        <f>IF(VLOOKUP(A140,04_PROYECTOS!$A:$N,10,FALSE)="", IF(VLOOKUP(A140,04_PROYECTOS!$A:$N,4,FALSE)="Privado", INDEX(02B_ESCENARIOS!$B$4:$D$11, MATCH("DSO_PRIVADO_DEFAULT", 02B_ESCENARIOS!$A$4:$A$11, 0), MATCH("Conservador", 02B_ESCENARIOS!$B$3:$D$3, 0)), IF(VLOOKUP(A140,04_PROYECTOS!$A:$N,4,FALSE)="Publico_&lt;10M",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VLOOKUP(A140,04_PROYECTOS!$A:$N,10,FALSE))</f>
        <v/>
      </c>
      <c r="I140">
        <f>ROUNDUP(H140/30,0)</f>
        <v/>
      </c>
      <c r="J140">
        <f>EDATE(C140,I140)</f>
        <v/>
      </c>
      <c r="K140">
        <f>G140</f>
        <v/>
      </c>
    </row>
    <row r="141">
      <c r="E141">
        <f>D141*VLOOKUP(A141,04_PROYECTOS!$A:$N,5,FALSE)*(INDEX(02B_ESCENARIOS!$B$4:$D$11, MATCH("MULT_PRECIO", 02B_ESCENARIOS!$A$4:$A$11, 0), MATCH("Conservador", 02B_ESCENARIOS!$B$3:$D$3, 0)))*INDEX(02B_ESCENARIOS!$B$15:$D$19, MATCH(VLOOKUP(A141,04_PROYECTOS!$A:$N,9,FALSE), 02B_ESCENARIOS!$A$15:$A$19, 0), MATCH("Conservador", 02B_ESCENARIOS!$B$14:$D$14, 0))</f>
        <v/>
      </c>
      <c r="F141">
        <f>E141*VLOOKUP(A141,04_PROYECTOS!$A:$N,6,FALSE)</f>
        <v/>
      </c>
      <c r="G141">
        <f>E141+F141</f>
        <v/>
      </c>
      <c r="H141">
        <f>IF(VLOOKUP(A141,04_PROYECTOS!$A:$N,10,FALSE)="", IF(VLOOKUP(A141,04_PROYECTOS!$A:$N,4,FALSE)="Privado", INDEX(02B_ESCENARIOS!$B$4:$D$11, MATCH("DSO_PRIVADO_DEFAULT", 02B_ESCENARIOS!$A$4:$A$11, 0), MATCH("Conservador", 02B_ESCENARIOS!$B$3:$D$3, 0)), IF(VLOOKUP(A141,04_PROYECTOS!$A:$N,4,FALSE)="Publico_&lt;10M",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VLOOKUP(A141,04_PROYECTOS!$A:$N,10,FALSE))</f>
        <v/>
      </c>
      <c r="I141">
        <f>ROUNDUP(H141/30,0)</f>
        <v/>
      </c>
      <c r="J141">
        <f>EDATE(C141,I141)</f>
        <v/>
      </c>
      <c r="K141">
        <f>G141</f>
        <v/>
      </c>
    </row>
    <row r="142">
      <c r="E142">
        <f>D142*VLOOKUP(A142,04_PROYECTOS!$A:$N,5,FALSE)*(INDEX(02B_ESCENARIOS!$B$4:$D$11, MATCH("MULT_PRECIO", 02B_ESCENARIOS!$A$4:$A$11, 0), MATCH("Conservador", 02B_ESCENARIOS!$B$3:$D$3, 0)))*INDEX(02B_ESCENARIOS!$B$15:$D$19, MATCH(VLOOKUP(A142,04_PROYECTOS!$A:$N,9,FALSE), 02B_ESCENARIOS!$A$15:$A$19, 0), MATCH("Conservador", 02B_ESCENARIOS!$B$14:$D$14, 0))</f>
        <v/>
      </c>
      <c r="F142">
        <f>E142*VLOOKUP(A142,04_PROYECTOS!$A:$N,6,FALSE)</f>
        <v/>
      </c>
      <c r="G142">
        <f>E142+F142</f>
        <v/>
      </c>
      <c r="H142">
        <f>IF(VLOOKUP(A142,04_PROYECTOS!$A:$N,10,FALSE)="", IF(VLOOKUP(A142,04_PROYECTOS!$A:$N,4,FALSE)="Privado", INDEX(02B_ESCENARIOS!$B$4:$D$11, MATCH("DSO_PRIVADO_DEFAULT", 02B_ESCENARIOS!$A$4:$A$11, 0), MATCH("Conservador", 02B_ESCENARIOS!$B$3:$D$3, 0)), IF(VLOOKUP(A142,04_PROYECTOS!$A:$N,4,FALSE)="Publico_&lt;10M",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VLOOKUP(A142,04_PROYECTOS!$A:$N,10,FALSE))</f>
        <v/>
      </c>
      <c r="I142">
        <f>ROUNDUP(H142/30,0)</f>
        <v/>
      </c>
      <c r="J142">
        <f>EDATE(C142,I142)</f>
        <v/>
      </c>
      <c r="K142">
        <f>G142</f>
        <v/>
      </c>
    </row>
    <row r="143">
      <c r="E143">
        <f>D143*VLOOKUP(A143,04_PROYECTOS!$A:$N,5,FALSE)*(INDEX(02B_ESCENARIOS!$B$4:$D$11, MATCH("MULT_PRECIO", 02B_ESCENARIOS!$A$4:$A$11, 0), MATCH("Conservador", 02B_ESCENARIOS!$B$3:$D$3, 0)))*INDEX(02B_ESCENARIOS!$B$15:$D$19, MATCH(VLOOKUP(A143,04_PROYECTOS!$A:$N,9,FALSE), 02B_ESCENARIOS!$A$15:$A$19, 0), MATCH("Conservador", 02B_ESCENARIOS!$B$14:$D$14, 0))</f>
        <v/>
      </c>
      <c r="F143">
        <f>E143*VLOOKUP(A143,04_PROYECTOS!$A:$N,6,FALSE)</f>
        <v/>
      </c>
      <c r="G143">
        <f>E143+F143</f>
        <v/>
      </c>
      <c r="H143">
        <f>IF(VLOOKUP(A143,04_PROYECTOS!$A:$N,10,FALSE)="", IF(VLOOKUP(A143,04_PROYECTOS!$A:$N,4,FALSE)="Privado", INDEX(02B_ESCENARIOS!$B$4:$D$11, MATCH("DSO_PRIVADO_DEFAULT", 02B_ESCENARIOS!$A$4:$A$11, 0), MATCH("Conservador", 02B_ESCENARIOS!$B$3:$D$3, 0)), IF(VLOOKUP(A143,04_PROYECTOS!$A:$N,4,FALSE)="Publico_&lt;10M",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VLOOKUP(A143,04_PROYECTOS!$A:$N,10,FALSE))</f>
        <v/>
      </c>
      <c r="I143">
        <f>ROUNDUP(H143/30,0)</f>
        <v/>
      </c>
      <c r="J143">
        <f>EDATE(C143,I143)</f>
        <v/>
      </c>
      <c r="K143">
        <f>G143</f>
        <v/>
      </c>
    </row>
    <row r="144">
      <c r="E144">
        <f>D144*VLOOKUP(A144,04_PROYECTOS!$A:$N,5,FALSE)*(INDEX(02B_ESCENARIOS!$B$4:$D$11, MATCH("MULT_PRECIO", 02B_ESCENARIOS!$A$4:$A$11, 0), MATCH("Conservador", 02B_ESCENARIOS!$B$3:$D$3, 0)))*INDEX(02B_ESCENARIOS!$B$15:$D$19, MATCH(VLOOKUP(A144,04_PROYECTOS!$A:$N,9,FALSE), 02B_ESCENARIOS!$A$15:$A$19, 0), MATCH("Conservador", 02B_ESCENARIOS!$B$14:$D$14, 0))</f>
        <v/>
      </c>
      <c r="F144">
        <f>E144*VLOOKUP(A144,04_PROYECTOS!$A:$N,6,FALSE)</f>
        <v/>
      </c>
      <c r="G144">
        <f>E144+F144</f>
        <v/>
      </c>
      <c r="H144">
        <f>IF(VLOOKUP(A144,04_PROYECTOS!$A:$N,10,FALSE)="", IF(VLOOKUP(A144,04_PROYECTOS!$A:$N,4,FALSE)="Privado", INDEX(02B_ESCENARIOS!$B$4:$D$11, MATCH("DSO_PRIVADO_DEFAULT", 02B_ESCENARIOS!$A$4:$A$11, 0), MATCH("Conservador", 02B_ESCENARIOS!$B$3:$D$3, 0)), IF(VLOOKUP(A144,04_PROYECTOS!$A:$N,4,FALSE)="Publico_&lt;10M",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VLOOKUP(A144,04_PROYECTOS!$A:$N,10,FALSE))</f>
        <v/>
      </c>
      <c r="I144">
        <f>ROUNDUP(H144/30,0)</f>
        <v/>
      </c>
      <c r="J144">
        <f>EDATE(C144,I144)</f>
        <v/>
      </c>
      <c r="K144">
        <f>G144</f>
        <v/>
      </c>
    </row>
    <row r="145">
      <c r="E145">
        <f>D145*VLOOKUP(A145,04_PROYECTOS!$A:$N,5,FALSE)*(INDEX(02B_ESCENARIOS!$B$4:$D$11, MATCH("MULT_PRECIO", 02B_ESCENARIOS!$A$4:$A$11, 0), MATCH("Conservador", 02B_ESCENARIOS!$B$3:$D$3, 0)))*INDEX(02B_ESCENARIOS!$B$15:$D$19, MATCH(VLOOKUP(A145,04_PROYECTOS!$A:$N,9,FALSE), 02B_ESCENARIOS!$A$15:$A$19, 0), MATCH("Conservador", 02B_ESCENARIOS!$B$14:$D$14, 0))</f>
        <v/>
      </c>
      <c r="F145">
        <f>E145*VLOOKUP(A145,04_PROYECTOS!$A:$N,6,FALSE)</f>
        <v/>
      </c>
      <c r="G145">
        <f>E145+F145</f>
        <v/>
      </c>
      <c r="H145">
        <f>IF(VLOOKUP(A145,04_PROYECTOS!$A:$N,10,FALSE)="", IF(VLOOKUP(A145,04_PROYECTOS!$A:$N,4,FALSE)="Privado", INDEX(02B_ESCENARIOS!$B$4:$D$11, MATCH("DSO_PRIVADO_DEFAULT", 02B_ESCENARIOS!$A$4:$A$11, 0), MATCH("Conservador", 02B_ESCENARIOS!$B$3:$D$3, 0)), IF(VLOOKUP(A145,04_PROYECTOS!$A:$N,4,FALSE)="Publico_&lt;10M",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VLOOKUP(A145,04_PROYECTOS!$A:$N,10,FALSE))</f>
        <v/>
      </c>
      <c r="I145">
        <f>ROUNDUP(H145/30,0)</f>
        <v/>
      </c>
      <c r="J145">
        <f>EDATE(C145,I145)</f>
        <v/>
      </c>
      <c r="K145">
        <f>G145</f>
        <v/>
      </c>
    </row>
    <row r="146">
      <c r="E146">
        <f>D146*VLOOKUP(A146,04_PROYECTOS!$A:$N,5,FALSE)*(INDEX(02B_ESCENARIOS!$B$4:$D$11, MATCH("MULT_PRECIO", 02B_ESCENARIOS!$A$4:$A$11, 0), MATCH("Conservador", 02B_ESCENARIOS!$B$3:$D$3, 0)))*INDEX(02B_ESCENARIOS!$B$15:$D$19, MATCH(VLOOKUP(A146,04_PROYECTOS!$A:$N,9,FALSE), 02B_ESCENARIOS!$A$15:$A$19, 0), MATCH("Conservador", 02B_ESCENARIOS!$B$14:$D$14, 0))</f>
        <v/>
      </c>
      <c r="F146">
        <f>E146*VLOOKUP(A146,04_PROYECTOS!$A:$N,6,FALSE)</f>
        <v/>
      </c>
      <c r="G146">
        <f>E146+F146</f>
        <v/>
      </c>
      <c r="H146">
        <f>IF(VLOOKUP(A146,04_PROYECTOS!$A:$N,10,FALSE)="", IF(VLOOKUP(A146,04_PROYECTOS!$A:$N,4,FALSE)="Privado", INDEX(02B_ESCENARIOS!$B$4:$D$11, MATCH("DSO_PRIVADO_DEFAULT", 02B_ESCENARIOS!$A$4:$A$11, 0), MATCH("Conservador", 02B_ESCENARIOS!$B$3:$D$3, 0)), IF(VLOOKUP(A146,04_PROYECTOS!$A:$N,4,FALSE)="Publico_&lt;10M",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VLOOKUP(A146,04_PROYECTOS!$A:$N,10,FALSE))</f>
        <v/>
      </c>
      <c r="I146">
        <f>ROUNDUP(H146/30,0)</f>
        <v/>
      </c>
      <c r="J146">
        <f>EDATE(C146,I146)</f>
        <v/>
      </c>
      <c r="K146">
        <f>G146</f>
        <v/>
      </c>
    </row>
    <row r="147">
      <c r="E147">
        <f>D147*VLOOKUP(A147,04_PROYECTOS!$A:$N,5,FALSE)*(INDEX(02B_ESCENARIOS!$B$4:$D$11, MATCH("MULT_PRECIO", 02B_ESCENARIOS!$A$4:$A$11, 0), MATCH("Conservador", 02B_ESCENARIOS!$B$3:$D$3, 0)))*INDEX(02B_ESCENARIOS!$B$15:$D$19, MATCH(VLOOKUP(A147,04_PROYECTOS!$A:$N,9,FALSE), 02B_ESCENARIOS!$A$15:$A$19, 0), MATCH("Conservador", 02B_ESCENARIOS!$B$14:$D$14, 0))</f>
        <v/>
      </c>
      <c r="F147">
        <f>E147*VLOOKUP(A147,04_PROYECTOS!$A:$N,6,FALSE)</f>
        <v/>
      </c>
      <c r="G147">
        <f>E147+F147</f>
        <v/>
      </c>
      <c r="H147">
        <f>IF(VLOOKUP(A147,04_PROYECTOS!$A:$N,10,FALSE)="", IF(VLOOKUP(A147,04_PROYECTOS!$A:$N,4,FALSE)="Privado", INDEX(02B_ESCENARIOS!$B$4:$D$11, MATCH("DSO_PRIVADO_DEFAULT", 02B_ESCENARIOS!$A$4:$A$11, 0), MATCH("Conservador", 02B_ESCENARIOS!$B$3:$D$3, 0)), IF(VLOOKUP(A147,04_PROYECTOS!$A:$N,4,FALSE)="Publico_&lt;10M",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VLOOKUP(A147,04_PROYECTOS!$A:$N,10,FALSE))</f>
        <v/>
      </c>
      <c r="I147">
        <f>ROUNDUP(H147/30,0)</f>
        <v/>
      </c>
      <c r="J147">
        <f>EDATE(C147,I147)</f>
        <v/>
      </c>
      <c r="K147">
        <f>G147</f>
        <v/>
      </c>
    </row>
    <row r="148">
      <c r="E148">
        <f>D148*VLOOKUP(A148,04_PROYECTOS!$A:$N,5,FALSE)*(INDEX(02B_ESCENARIOS!$B$4:$D$11, MATCH("MULT_PRECIO", 02B_ESCENARIOS!$A$4:$A$11, 0), MATCH("Conservador", 02B_ESCENARIOS!$B$3:$D$3, 0)))*INDEX(02B_ESCENARIOS!$B$15:$D$19, MATCH(VLOOKUP(A148,04_PROYECTOS!$A:$N,9,FALSE), 02B_ESCENARIOS!$A$15:$A$19, 0), MATCH("Conservador", 02B_ESCENARIOS!$B$14:$D$14, 0))</f>
        <v/>
      </c>
      <c r="F148">
        <f>E148*VLOOKUP(A148,04_PROYECTOS!$A:$N,6,FALSE)</f>
        <v/>
      </c>
      <c r="G148">
        <f>E148+F148</f>
        <v/>
      </c>
      <c r="H148">
        <f>IF(VLOOKUP(A148,04_PROYECTOS!$A:$N,10,FALSE)="", IF(VLOOKUP(A148,04_PROYECTOS!$A:$N,4,FALSE)="Privado", INDEX(02B_ESCENARIOS!$B$4:$D$11, MATCH("DSO_PRIVADO_DEFAULT", 02B_ESCENARIOS!$A$4:$A$11, 0), MATCH("Conservador", 02B_ESCENARIOS!$B$3:$D$3, 0)), IF(VLOOKUP(A148,04_PROYECTOS!$A:$N,4,FALSE)="Publico_&lt;10M",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VLOOKUP(A148,04_PROYECTOS!$A:$N,10,FALSE))</f>
        <v/>
      </c>
      <c r="I148">
        <f>ROUNDUP(H148/30,0)</f>
        <v/>
      </c>
      <c r="J148">
        <f>EDATE(C148,I148)</f>
        <v/>
      </c>
      <c r="K148">
        <f>G148</f>
        <v/>
      </c>
    </row>
    <row r="149">
      <c r="E149">
        <f>D149*VLOOKUP(A149,04_PROYECTOS!$A:$N,5,FALSE)*(INDEX(02B_ESCENARIOS!$B$4:$D$11, MATCH("MULT_PRECIO", 02B_ESCENARIOS!$A$4:$A$11, 0), MATCH("Conservador", 02B_ESCENARIOS!$B$3:$D$3, 0)))*INDEX(02B_ESCENARIOS!$B$15:$D$19, MATCH(VLOOKUP(A149,04_PROYECTOS!$A:$N,9,FALSE), 02B_ESCENARIOS!$A$15:$A$19, 0), MATCH("Conservador", 02B_ESCENARIOS!$B$14:$D$14, 0))</f>
        <v/>
      </c>
      <c r="F149">
        <f>E149*VLOOKUP(A149,04_PROYECTOS!$A:$N,6,FALSE)</f>
        <v/>
      </c>
      <c r="G149">
        <f>E149+F149</f>
        <v/>
      </c>
      <c r="H149">
        <f>IF(VLOOKUP(A149,04_PROYECTOS!$A:$N,10,FALSE)="", IF(VLOOKUP(A149,04_PROYECTOS!$A:$N,4,FALSE)="Privado", INDEX(02B_ESCENARIOS!$B$4:$D$11, MATCH("DSO_PRIVADO_DEFAULT", 02B_ESCENARIOS!$A$4:$A$11, 0), MATCH("Conservador", 02B_ESCENARIOS!$B$3:$D$3, 0)), IF(VLOOKUP(A149,04_PROYECTOS!$A:$N,4,FALSE)="Publico_&lt;10M",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VLOOKUP(A149,04_PROYECTOS!$A:$N,10,FALSE))</f>
        <v/>
      </c>
      <c r="I149">
        <f>ROUNDUP(H149/30,0)</f>
        <v/>
      </c>
      <c r="J149">
        <f>EDATE(C149,I149)</f>
        <v/>
      </c>
      <c r="K149">
        <f>G149</f>
        <v/>
      </c>
    </row>
    <row r="150">
      <c r="E150">
        <f>D150*VLOOKUP(A150,04_PROYECTOS!$A:$N,5,FALSE)*(INDEX(02B_ESCENARIOS!$B$4:$D$11, MATCH("MULT_PRECIO", 02B_ESCENARIOS!$A$4:$A$11, 0), MATCH("Conservador", 02B_ESCENARIOS!$B$3:$D$3, 0)))*INDEX(02B_ESCENARIOS!$B$15:$D$19, MATCH(VLOOKUP(A150,04_PROYECTOS!$A:$N,9,FALSE), 02B_ESCENARIOS!$A$15:$A$19, 0), MATCH("Conservador", 02B_ESCENARIOS!$B$14:$D$14, 0))</f>
        <v/>
      </c>
      <c r="F150">
        <f>E150*VLOOKUP(A150,04_PROYECTOS!$A:$N,6,FALSE)</f>
        <v/>
      </c>
      <c r="G150">
        <f>E150+F150</f>
        <v/>
      </c>
      <c r="H150">
        <f>IF(VLOOKUP(A150,04_PROYECTOS!$A:$N,10,FALSE)="", IF(VLOOKUP(A150,04_PROYECTOS!$A:$N,4,FALSE)="Privado", INDEX(02B_ESCENARIOS!$B$4:$D$11, MATCH("DSO_PRIVADO_DEFAULT", 02B_ESCENARIOS!$A$4:$A$11, 0), MATCH("Conservador", 02B_ESCENARIOS!$B$3:$D$3, 0)), IF(VLOOKUP(A150,04_PROYECTOS!$A:$N,4,FALSE)="Publico_&lt;10M",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VLOOKUP(A150,04_PROYECTOS!$A:$N,10,FALSE))</f>
        <v/>
      </c>
      <c r="I150">
        <f>ROUNDUP(H150/30,0)</f>
        <v/>
      </c>
      <c r="J150">
        <f>EDATE(C150,I150)</f>
        <v/>
      </c>
      <c r="K150">
        <f>G150</f>
        <v/>
      </c>
    </row>
    <row r="151">
      <c r="E151">
        <f>D151*VLOOKUP(A151,04_PROYECTOS!$A:$N,5,FALSE)*(INDEX(02B_ESCENARIOS!$B$4:$D$11, MATCH("MULT_PRECIO", 02B_ESCENARIOS!$A$4:$A$11, 0), MATCH("Conservador", 02B_ESCENARIOS!$B$3:$D$3, 0)))*INDEX(02B_ESCENARIOS!$B$15:$D$19, MATCH(VLOOKUP(A151,04_PROYECTOS!$A:$N,9,FALSE), 02B_ESCENARIOS!$A$15:$A$19, 0), MATCH("Conservador", 02B_ESCENARIOS!$B$14:$D$14, 0))</f>
        <v/>
      </c>
      <c r="F151">
        <f>E151*VLOOKUP(A151,04_PROYECTOS!$A:$N,6,FALSE)</f>
        <v/>
      </c>
      <c r="G151">
        <f>E151+F151</f>
        <v/>
      </c>
      <c r="H151">
        <f>IF(VLOOKUP(A151,04_PROYECTOS!$A:$N,10,FALSE)="", IF(VLOOKUP(A151,04_PROYECTOS!$A:$N,4,FALSE)="Privado", INDEX(02B_ESCENARIOS!$B$4:$D$11, MATCH("DSO_PRIVADO_DEFAULT", 02B_ESCENARIOS!$A$4:$A$11, 0), MATCH("Conservador", 02B_ESCENARIOS!$B$3:$D$3, 0)), IF(VLOOKUP(A151,04_PROYECTOS!$A:$N,4,FALSE)="Publico_&lt;10M",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VLOOKUP(A151,04_PROYECTOS!$A:$N,10,FALSE))</f>
        <v/>
      </c>
      <c r="I151">
        <f>ROUNDUP(H151/30,0)</f>
        <v/>
      </c>
      <c r="J151">
        <f>EDATE(C151,I151)</f>
        <v/>
      </c>
      <c r="K151">
        <f>G151</f>
        <v/>
      </c>
    </row>
    <row r="152">
      <c r="E152">
        <f>D152*VLOOKUP(A152,04_PROYECTOS!$A:$N,5,FALSE)*(INDEX(02B_ESCENARIOS!$B$4:$D$11, MATCH("MULT_PRECIO", 02B_ESCENARIOS!$A$4:$A$11, 0), MATCH("Conservador", 02B_ESCENARIOS!$B$3:$D$3, 0)))*INDEX(02B_ESCENARIOS!$B$15:$D$19, MATCH(VLOOKUP(A152,04_PROYECTOS!$A:$N,9,FALSE), 02B_ESCENARIOS!$A$15:$A$19, 0), MATCH("Conservador", 02B_ESCENARIOS!$B$14:$D$14, 0))</f>
        <v/>
      </c>
      <c r="F152">
        <f>E152*VLOOKUP(A152,04_PROYECTOS!$A:$N,6,FALSE)</f>
        <v/>
      </c>
      <c r="G152">
        <f>E152+F152</f>
        <v/>
      </c>
      <c r="H152">
        <f>IF(VLOOKUP(A152,04_PROYECTOS!$A:$N,10,FALSE)="", IF(VLOOKUP(A152,04_PROYECTOS!$A:$N,4,FALSE)="Privado", INDEX(02B_ESCENARIOS!$B$4:$D$11, MATCH("DSO_PRIVADO_DEFAULT", 02B_ESCENARIOS!$A$4:$A$11, 0), MATCH("Conservador", 02B_ESCENARIOS!$B$3:$D$3, 0)), IF(VLOOKUP(A152,04_PROYECTOS!$A:$N,4,FALSE)="Publico_&lt;10M",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VLOOKUP(A152,04_PROYECTOS!$A:$N,10,FALSE))</f>
        <v/>
      </c>
      <c r="I152">
        <f>ROUNDUP(H152/30,0)</f>
        <v/>
      </c>
      <c r="J152">
        <f>EDATE(C152,I152)</f>
        <v/>
      </c>
      <c r="K152">
        <f>G152</f>
        <v/>
      </c>
    </row>
    <row r="153">
      <c r="E153">
        <f>D153*VLOOKUP(A153,04_PROYECTOS!$A:$N,5,FALSE)*(INDEX(02B_ESCENARIOS!$B$4:$D$11, MATCH("MULT_PRECIO", 02B_ESCENARIOS!$A$4:$A$11, 0), MATCH("Conservador", 02B_ESCENARIOS!$B$3:$D$3, 0)))*INDEX(02B_ESCENARIOS!$B$15:$D$19, MATCH(VLOOKUP(A153,04_PROYECTOS!$A:$N,9,FALSE), 02B_ESCENARIOS!$A$15:$A$19, 0), MATCH("Conservador", 02B_ESCENARIOS!$B$14:$D$14, 0))</f>
        <v/>
      </c>
      <c r="F153">
        <f>E153*VLOOKUP(A153,04_PROYECTOS!$A:$N,6,FALSE)</f>
        <v/>
      </c>
      <c r="G153">
        <f>E153+F153</f>
        <v/>
      </c>
      <c r="H153">
        <f>IF(VLOOKUP(A153,04_PROYECTOS!$A:$N,10,FALSE)="", IF(VLOOKUP(A153,04_PROYECTOS!$A:$N,4,FALSE)="Privado", INDEX(02B_ESCENARIOS!$B$4:$D$11, MATCH("DSO_PRIVADO_DEFAULT", 02B_ESCENARIOS!$A$4:$A$11, 0), MATCH("Conservador", 02B_ESCENARIOS!$B$3:$D$3, 0)), IF(VLOOKUP(A153,04_PROYECTOS!$A:$N,4,FALSE)="Publico_&lt;10M",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VLOOKUP(A153,04_PROYECTOS!$A:$N,10,FALSE))</f>
        <v/>
      </c>
      <c r="I153">
        <f>ROUNDUP(H153/30,0)</f>
        <v/>
      </c>
      <c r="J153">
        <f>EDATE(C153,I153)</f>
        <v/>
      </c>
      <c r="K153">
        <f>G153</f>
        <v/>
      </c>
    </row>
    <row r="154">
      <c r="E154">
        <f>D154*VLOOKUP(A154,04_PROYECTOS!$A:$N,5,FALSE)*(INDEX(02B_ESCENARIOS!$B$4:$D$11, MATCH("MULT_PRECIO", 02B_ESCENARIOS!$A$4:$A$11, 0), MATCH("Conservador", 02B_ESCENARIOS!$B$3:$D$3, 0)))*INDEX(02B_ESCENARIOS!$B$15:$D$19, MATCH(VLOOKUP(A154,04_PROYECTOS!$A:$N,9,FALSE), 02B_ESCENARIOS!$A$15:$A$19, 0), MATCH("Conservador", 02B_ESCENARIOS!$B$14:$D$14, 0))</f>
        <v/>
      </c>
      <c r="F154">
        <f>E154*VLOOKUP(A154,04_PROYECTOS!$A:$N,6,FALSE)</f>
        <v/>
      </c>
      <c r="G154">
        <f>E154+F154</f>
        <v/>
      </c>
      <c r="H154">
        <f>IF(VLOOKUP(A154,04_PROYECTOS!$A:$N,10,FALSE)="", IF(VLOOKUP(A154,04_PROYECTOS!$A:$N,4,FALSE)="Privado", INDEX(02B_ESCENARIOS!$B$4:$D$11, MATCH("DSO_PRIVADO_DEFAULT", 02B_ESCENARIOS!$A$4:$A$11, 0), MATCH("Conservador", 02B_ESCENARIOS!$B$3:$D$3, 0)), IF(VLOOKUP(A154,04_PROYECTOS!$A:$N,4,FALSE)="Publico_&lt;10M",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VLOOKUP(A154,04_PROYECTOS!$A:$N,10,FALSE))</f>
        <v/>
      </c>
      <c r="I154">
        <f>ROUNDUP(H154/30,0)</f>
        <v/>
      </c>
      <c r="J154">
        <f>EDATE(C154,I154)</f>
        <v/>
      </c>
      <c r="K154">
        <f>G154</f>
        <v/>
      </c>
    </row>
    <row r="155">
      <c r="E155">
        <f>D155*VLOOKUP(A155,04_PROYECTOS!$A:$N,5,FALSE)*(INDEX(02B_ESCENARIOS!$B$4:$D$11, MATCH("MULT_PRECIO", 02B_ESCENARIOS!$A$4:$A$11, 0), MATCH("Conservador", 02B_ESCENARIOS!$B$3:$D$3, 0)))*INDEX(02B_ESCENARIOS!$B$15:$D$19, MATCH(VLOOKUP(A155,04_PROYECTOS!$A:$N,9,FALSE), 02B_ESCENARIOS!$A$15:$A$19, 0), MATCH("Conservador", 02B_ESCENARIOS!$B$14:$D$14, 0))</f>
        <v/>
      </c>
      <c r="F155">
        <f>E155*VLOOKUP(A155,04_PROYECTOS!$A:$N,6,FALSE)</f>
        <v/>
      </c>
      <c r="G155">
        <f>E155+F155</f>
        <v/>
      </c>
      <c r="H155">
        <f>IF(VLOOKUP(A155,04_PROYECTOS!$A:$N,10,FALSE)="", IF(VLOOKUP(A155,04_PROYECTOS!$A:$N,4,FALSE)="Privado", INDEX(02B_ESCENARIOS!$B$4:$D$11, MATCH("DSO_PRIVADO_DEFAULT", 02B_ESCENARIOS!$A$4:$A$11, 0), MATCH("Conservador", 02B_ESCENARIOS!$B$3:$D$3, 0)), IF(VLOOKUP(A155,04_PROYECTOS!$A:$N,4,FALSE)="Publico_&lt;10M",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VLOOKUP(A155,04_PROYECTOS!$A:$N,10,FALSE))</f>
        <v/>
      </c>
      <c r="I155">
        <f>ROUNDUP(H155/30,0)</f>
        <v/>
      </c>
      <c r="J155">
        <f>EDATE(C155,I155)</f>
        <v/>
      </c>
      <c r="K155">
        <f>G155</f>
        <v/>
      </c>
    </row>
    <row r="156">
      <c r="E156">
        <f>D156*VLOOKUP(A156,04_PROYECTOS!$A:$N,5,FALSE)*(INDEX(02B_ESCENARIOS!$B$4:$D$11, MATCH("MULT_PRECIO", 02B_ESCENARIOS!$A$4:$A$11, 0), MATCH("Conservador", 02B_ESCENARIOS!$B$3:$D$3, 0)))*INDEX(02B_ESCENARIOS!$B$15:$D$19, MATCH(VLOOKUP(A156,04_PROYECTOS!$A:$N,9,FALSE), 02B_ESCENARIOS!$A$15:$A$19, 0), MATCH("Conservador", 02B_ESCENARIOS!$B$14:$D$14, 0))</f>
        <v/>
      </c>
      <c r="F156">
        <f>E156*VLOOKUP(A156,04_PROYECTOS!$A:$N,6,FALSE)</f>
        <v/>
      </c>
      <c r="G156">
        <f>E156+F156</f>
        <v/>
      </c>
      <c r="H156">
        <f>IF(VLOOKUP(A156,04_PROYECTOS!$A:$N,10,FALSE)="", IF(VLOOKUP(A156,04_PROYECTOS!$A:$N,4,FALSE)="Privado", INDEX(02B_ESCENARIOS!$B$4:$D$11, MATCH("DSO_PRIVADO_DEFAULT", 02B_ESCENARIOS!$A$4:$A$11, 0), MATCH("Conservador", 02B_ESCENARIOS!$B$3:$D$3, 0)), IF(VLOOKUP(A156,04_PROYECTOS!$A:$N,4,FALSE)="Publico_&lt;10M",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VLOOKUP(A156,04_PROYECTOS!$A:$N,10,FALSE))</f>
        <v/>
      </c>
      <c r="I156">
        <f>ROUNDUP(H156/30,0)</f>
        <v/>
      </c>
      <c r="J156">
        <f>EDATE(C156,I156)</f>
        <v/>
      </c>
      <c r="K156">
        <f>G156</f>
        <v/>
      </c>
    </row>
    <row r="157">
      <c r="E157">
        <f>D157*VLOOKUP(A157,04_PROYECTOS!$A:$N,5,FALSE)*(INDEX(02B_ESCENARIOS!$B$4:$D$11, MATCH("MULT_PRECIO", 02B_ESCENARIOS!$A$4:$A$11, 0), MATCH("Conservador", 02B_ESCENARIOS!$B$3:$D$3, 0)))*INDEX(02B_ESCENARIOS!$B$15:$D$19, MATCH(VLOOKUP(A157,04_PROYECTOS!$A:$N,9,FALSE), 02B_ESCENARIOS!$A$15:$A$19, 0), MATCH("Conservador", 02B_ESCENARIOS!$B$14:$D$14, 0))</f>
        <v/>
      </c>
      <c r="F157">
        <f>E157*VLOOKUP(A157,04_PROYECTOS!$A:$N,6,FALSE)</f>
        <v/>
      </c>
      <c r="G157">
        <f>E157+F157</f>
        <v/>
      </c>
      <c r="H157">
        <f>IF(VLOOKUP(A157,04_PROYECTOS!$A:$N,10,FALSE)="", IF(VLOOKUP(A157,04_PROYECTOS!$A:$N,4,FALSE)="Privado", INDEX(02B_ESCENARIOS!$B$4:$D$11, MATCH("DSO_PRIVADO_DEFAULT", 02B_ESCENARIOS!$A$4:$A$11, 0), MATCH("Conservador", 02B_ESCENARIOS!$B$3:$D$3, 0)), IF(VLOOKUP(A157,04_PROYECTOS!$A:$N,4,FALSE)="Publico_&lt;10M",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VLOOKUP(A157,04_PROYECTOS!$A:$N,10,FALSE))</f>
        <v/>
      </c>
      <c r="I157">
        <f>ROUNDUP(H157/30,0)</f>
        <v/>
      </c>
      <c r="J157">
        <f>EDATE(C157,I157)</f>
        <v/>
      </c>
      <c r="K157">
        <f>G157</f>
        <v/>
      </c>
    </row>
    <row r="158">
      <c r="E158">
        <f>D158*VLOOKUP(A158,04_PROYECTOS!$A:$N,5,FALSE)*(INDEX(02B_ESCENARIOS!$B$4:$D$11, MATCH("MULT_PRECIO", 02B_ESCENARIOS!$A$4:$A$11, 0), MATCH("Conservador", 02B_ESCENARIOS!$B$3:$D$3, 0)))*INDEX(02B_ESCENARIOS!$B$15:$D$19, MATCH(VLOOKUP(A158,04_PROYECTOS!$A:$N,9,FALSE), 02B_ESCENARIOS!$A$15:$A$19, 0), MATCH("Conservador", 02B_ESCENARIOS!$B$14:$D$14, 0))</f>
        <v/>
      </c>
      <c r="F158">
        <f>E158*VLOOKUP(A158,04_PROYECTOS!$A:$N,6,FALSE)</f>
        <v/>
      </c>
      <c r="G158">
        <f>E158+F158</f>
        <v/>
      </c>
      <c r="H158">
        <f>IF(VLOOKUP(A158,04_PROYECTOS!$A:$N,10,FALSE)="", IF(VLOOKUP(A158,04_PROYECTOS!$A:$N,4,FALSE)="Privado", INDEX(02B_ESCENARIOS!$B$4:$D$11, MATCH("DSO_PRIVADO_DEFAULT", 02B_ESCENARIOS!$A$4:$A$11, 0), MATCH("Conservador", 02B_ESCENARIOS!$B$3:$D$3, 0)), IF(VLOOKUP(A158,04_PROYECTOS!$A:$N,4,FALSE)="Publico_&lt;10M",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VLOOKUP(A158,04_PROYECTOS!$A:$N,10,FALSE))</f>
        <v/>
      </c>
      <c r="I158">
        <f>ROUNDUP(H158/30,0)</f>
        <v/>
      </c>
      <c r="J158">
        <f>EDATE(C158,I158)</f>
        <v/>
      </c>
      <c r="K158">
        <f>G158</f>
        <v/>
      </c>
    </row>
    <row r="159">
      <c r="E159">
        <f>D159*VLOOKUP(A159,04_PROYECTOS!$A:$N,5,FALSE)*(INDEX(02B_ESCENARIOS!$B$4:$D$11, MATCH("MULT_PRECIO", 02B_ESCENARIOS!$A$4:$A$11, 0), MATCH("Conservador", 02B_ESCENARIOS!$B$3:$D$3, 0)))*INDEX(02B_ESCENARIOS!$B$15:$D$19, MATCH(VLOOKUP(A159,04_PROYECTOS!$A:$N,9,FALSE), 02B_ESCENARIOS!$A$15:$A$19, 0), MATCH("Conservador", 02B_ESCENARIOS!$B$14:$D$14, 0))</f>
        <v/>
      </c>
      <c r="F159">
        <f>E159*VLOOKUP(A159,04_PROYECTOS!$A:$N,6,FALSE)</f>
        <v/>
      </c>
      <c r="G159">
        <f>E159+F159</f>
        <v/>
      </c>
      <c r="H159">
        <f>IF(VLOOKUP(A159,04_PROYECTOS!$A:$N,10,FALSE)="", IF(VLOOKUP(A159,04_PROYECTOS!$A:$N,4,FALSE)="Privado", INDEX(02B_ESCENARIOS!$B$4:$D$11, MATCH("DSO_PRIVADO_DEFAULT", 02B_ESCENARIOS!$A$4:$A$11, 0), MATCH("Conservador", 02B_ESCENARIOS!$B$3:$D$3, 0)), IF(VLOOKUP(A159,04_PROYECTOS!$A:$N,4,FALSE)="Publico_&lt;10M",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VLOOKUP(A159,04_PROYECTOS!$A:$N,10,FALSE))</f>
        <v/>
      </c>
      <c r="I159">
        <f>ROUNDUP(H159/30,0)</f>
        <v/>
      </c>
      <c r="J159">
        <f>EDATE(C159,I159)</f>
        <v/>
      </c>
      <c r="K159">
        <f>G159</f>
        <v/>
      </c>
    </row>
    <row r="160">
      <c r="E160">
        <f>D160*VLOOKUP(A160,04_PROYECTOS!$A:$N,5,FALSE)*(INDEX(02B_ESCENARIOS!$B$4:$D$11, MATCH("MULT_PRECIO", 02B_ESCENARIOS!$A$4:$A$11, 0), MATCH("Conservador", 02B_ESCENARIOS!$B$3:$D$3, 0)))*INDEX(02B_ESCENARIOS!$B$15:$D$19, MATCH(VLOOKUP(A160,04_PROYECTOS!$A:$N,9,FALSE), 02B_ESCENARIOS!$A$15:$A$19, 0), MATCH("Conservador", 02B_ESCENARIOS!$B$14:$D$14, 0))</f>
        <v/>
      </c>
      <c r="F160">
        <f>E160*VLOOKUP(A160,04_PROYECTOS!$A:$N,6,FALSE)</f>
        <v/>
      </c>
      <c r="G160">
        <f>E160+F160</f>
        <v/>
      </c>
      <c r="H160">
        <f>IF(VLOOKUP(A160,04_PROYECTOS!$A:$N,10,FALSE)="", IF(VLOOKUP(A160,04_PROYECTOS!$A:$N,4,FALSE)="Privado", INDEX(02B_ESCENARIOS!$B$4:$D$11, MATCH("DSO_PRIVADO_DEFAULT", 02B_ESCENARIOS!$A$4:$A$11, 0), MATCH("Conservador", 02B_ESCENARIOS!$B$3:$D$3, 0)), IF(VLOOKUP(A160,04_PROYECTOS!$A:$N,4,FALSE)="Publico_&lt;10M",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VLOOKUP(A160,04_PROYECTOS!$A:$N,10,FALSE))</f>
        <v/>
      </c>
      <c r="I160">
        <f>ROUNDUP(H160/30,0)</f>
        <v/>
      </c>
      <c r="J160">
        <f>EDATE(C160,I160)</f>
        <v/>
      </c>
      <c r="K160">
        <f>G160</f>
        <v/>
      </c>
    </row>
    <row r="161">
      <c r="E161">
        <f>D161*VLOOKUP(A161,04_PROYECTOS!$A:$N,5,FALSE)*(INDEX(02B_ESCENARIOS!$B$4:$D$11, MATCH("MULT_PRECIO", 02B_ESCENARIOS!$A$4:$A$11, 0), MATCH("Conservador", 02B_ESCENARIOS!$B$3:$D$3, 0)))*INDEX(02B_ESCENARIOS!$B$15:$D$19, MATCH(VLOOKUP(A161,04_PROYECTOS!$A:$N,9,FALSE), 02B_ESCENARIOS!$A$15:$A$19, 0), MATCH("Conservador", 02B_ESCENARIOS!$B$14:$D$14, 0))</f>
        <v/>
      </c>
      <c r="F161">
        <f>E161*VLOOKUP(A161,04_PROYECTOS!$A:$N,6,FALSE)</f>
        <v/>
      </c>
      <c r="G161">
        <f>E161+F161</f>
        <v/>
      </c>
      <c r="H161">
        <f>IF(VLOOKUP(A161,04_PROYECTOS!$A:$N,10,FALSE)="", IF(VLOOKUP(A161,04_PROYECTOS!$A:$N,4,FALSE)="Privado", INDEX(02B_ESCENARIOS!$B$4:$D$11, MATCH("DSO_PRIVADO_DEFAULT", 02B_ESCENARIOS!$A$4:$A$11, 0), MATCH("Conservador", 02B_ESCENARIOS!$B$3:$D$3, 0)), IF(VLOOKUP(A161,04_PROYECTOS!$A:$N,4,FALSE)="Publico_&lt;10M",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VLOOKUP(A161,04_PROYECTOS!$A:$N,10,FALSE))</f>
        <v/>
      </c>
      <c r="I161">
        <f>ROUNDUP(H161/30,0)</f>
        <v/>
      </c>
      <c r="J161">
        <f>EDATE(C161,I161)</f>
        <v/>
      </c>
      <c r="K161">
        <f>G161</f>
        <v/>
      </c>
    </row>
    <row r="162">
      <c r="E162">
        <f>D162*VLOOKUP(A162,04_PROYECTOS!$A:$N,5,FALSE)*(INDEX(02B_ESCENARIOS!$B$4:$D$11, MATCH("MULT_PRECIO", 02B_ESCENARIOS!$A$4:$A$11, 0), MATCH("Conservador", 02B_ESCENARIOS!$B$3:$D$3, 0)))*INDEX(02B_ESCENARIOS!$B$15:$D$19, MATCH(VLOOKUP(A162,04_PROYECTOS!$A:$N,9,FALSE), 02B_ESCENARIOS!$A$15:$A$19, 0), MATCH("Conservador", 02B_ESCENARIOS!$B$14:$D$14, 0))</f>
        <v/>
      </c>
      <c r="F162">
        <f>E162*VLOOKUP(A162,04_PROYECTOS!$A:$N,6,FALSE)</f>
        <v/>
      </c>
      <c r="G162">
        <f>E162+F162</f>
        <v/>
      </c>
      <c r="H162">
        <f>IF(VLOOKUP(A162,04_PROYECTOS!$A:$N,10,FALSE)="", IF(VLOOKUP(A162,04_PROYECTOS!$A:$N,4,FALSE)="Privado", INDEX(02B_ESCENARIOS!$B$4:$D$11, MATCH("DSO_PRIVADO_DEFAULT", 02B_ESCENARIOS!$A$4:$A$11, 0), MATCH("Conservador", 02B_ESCENARIOS!$B$3:$D$3, 0)), IF(VLOOKUP(A162,04_PROYECTOS!$A:$N,4,FALSE)="Publico_&lt;10M",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VLOOKUP(A162,04_PROYECTOS!$A:$N,10,FALSE))</f>
        <v/>
      </c>
      <c r="I162">
        <f>ROUNDUP(H162/30,0)</f>
        <v/>
      </c>
      <c r="J162">
        <f>EDATE(C162,I162)</f>
        <v/>
      </c>
      <c r="K162">
        <f>G162</f>
        <v/>
      </c>
    </row>
    <row r="163">
      <c r="E163">
        <f>D163*VLOOKUP(A163,04_PROYECTOS!$A:$N,5,FALSE)*(INDEX(02B_ESCENARIOS!$B$4:$D$11, MATCH("MULT_PRECIO", 02B_ESCENARIOS!$A$4:$A$11, 0), MATCH("Conservador", 02B_ESCENARIOS!$B$3:$D$3, 0)))*INDEX(02B_ESCENARIOS!$B$15:$D$19, MATCH(VLOOKUP(A163,04_PROYECTOS!$A:$N,9,FALSE), 02B_ESCENARIOS!$A$15:$A$19, 0), MATCH("Conservador", 02B_ESCENARIOS!$B$14:$D$14, 0))</f>
        <v/>
      </c>
      <c r="F163">
        <f>E163*VLOOKUP(A163,04_PROYECTOS!$A:$N,6,FALSE)</f>
        <v/>
      </c>
      <c r="G163">
        <f>E163+F163</f>
        <v/>
      </c>
      <c r="H163">
        <f>IF(VLOOKUP(A163,04_PROYECTOS!$A:$N,10,FALSE)="", IF(VLOOKUP(A163,04_PROYECTOS!$A:$N,4,FALSE)="Privado", INDEX(02B_ESCENARIOS!$B$4:$D$11, MATCH("DSO_PRIVADO_DEFAULT", 02B_ESCENARIOS!$A$4:$A$11, 0), MATCH("Conservador", 02B_ESCENARIOS!$B$3:$D$3, 0)), IF(VLOOKUP(A163,04_PROYECTOS!$A:$N,4,FALSE)="Publico_&lt;10M",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VLOOKUP(A163,04_PROYECTOS!$A:$N,10,FALSE))</f>
        <v/>
      </c>
      <c r="I163">
        <f>ROUNDUP(H163/30,0)</f>
        <v/>
      </c>
      <c r="J163">
        <f>EDATE(C163,I163)</f>
        <v/>
      </c>
      <c r="K163">
        <f>G163</f>
        <v/>
      </c>
    </row>
    <row r="164">
      <c r="E164">
        <f>D164*VLOOKUP(A164,04_PROYECTOS!$A:$N,5,FALSE)*(INDEX(02B_ESCENARIOS!$B$4:$D$11, MATCH("MULT_PRECIO", 02B_ESCENARIOS!$A$4:$A$11, 0), MATCH("Conservador", 02B_ESCENARIOS!$B$3:$D$3, 0)))*INDEX(02B_ESCENARIOS!$B$15:$D$19, MATCH(VLOOKUP(A164,04_PROYECTOS!$A:$N,9,FALSE), 02B_ESCENARIOS!$A$15:$A$19, 0), MATCH("Conservador", 02B_ESCENARIOS!$B$14:$D$14, 0))</f>
        <v/>
      </c>
      <c r="F164">
        <f>E164*VLOOKUP(A164,04_PROYECTOS!$A:$N,6,FALSE)</f>
        <v/>
      </c>
      <c r="G164">
        <f>E164+F164</f>
        <v/>
      </c>
      <c r="H164">
        <f>IF(VLOOKUP(A164,04_PROYECTOS!$A:$N,10,FALSE)="", IF(VLOOKUP(A164,04_PROYECTOS!$A:$N,4,FALSE)="Privado", INDEX(02B_ESCENARIOS!$B$4:$D$11, MATCH("DSO_PRIVADO_DEFAULT", 02B_ESCENARIOS!$A$4:$A$11, 0), MATCH("Conservador", 02B_ESCENARIOS!$B$3:$D$3, 0)), IF(VLOOKUP(A164,04_PROYECTOS!$A:$N,4,FALSE)="Publico_&lt;10M",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VLOOKUP(A164,04_PROYECTOS!$A:$N,10,FALSE))</f>
        <v/>
      </c>
      <c r="I164">
        <f>ROUNDUP(H164/30,0)</f>
        <v/>
      </c>
      <c r="J164">
        <f>EDATE(C164,I164)</f>
        <v/>
      </c>
      <c r="K164">
        <f>G164</f>
        <v/>
      </c>
    </row>
    <row r="165">
      <c r="E165">
        <f>D165*VLOOKUP(A165,04_PROYECTOS!$A:$N,5,FALSE)*(INDEX(02B_ESCENARIOS!$B$4:$D$11, MATCH("MULT_PRECIO", 02B_ESCENARIOS!$A$4:$A$11, 0), MATCH("Conservador", 02B_ESCENARIOS!$B$3:$D$3, 0)))*INDEX(02B_ESCENARIOS!$B$15:$D$19, MATCH(VLOOKUP(A165,04_PROYECTOS!$A:$N,9,FALSE), 02B_ESCENARIOS!$A$15:$A$19, 0), MATCH("Conservador", 02B_ESCENARIOS!$B$14:$D$14, 0))</f>
        <v/>
      </c>
      <c r="F165">
        <f>E165*VLOOKUP(A165,04_PROYECTOS!$A:$N,6,FALSE)</f>
        <v/>
      </c>
      <c r="G165">
        <f>E165+F165</f>
        <v/>
      </c>
      <c r="H165">
        <f>IF(VLOOKUP(A165,04_PROYECTOS!$A:$N,10,FALSE)="", IF(VLOOKUP(A165,04_PROYECTOS!$A:$N,4,FALSE)="Privado", INDEX(02B_ESCENARIOS!$B$4:$D$11, MATCH("DSO_PRIVADO_DEFAULT", 02B_ESCENARIOS!$A$4:$A$11, 0), MATCH("Conservador", 02B_ESCENARIOS!$B$3:$D$3, 0)), IF(VLOOKUP(A165,04_PROYECTOS!$A:$N,4,FALSE)="Publico_&lt;10M",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VLOOKUP(A165,04_PROYECTOS!$A:$N,10,FALSE))</f>
        <v/>
      </c>
      <c r="I165">
        <f>ROUNDUP(H165/30,0)</f>
        <v/>
      </c>
      <c r="J165">
        <f>EDATE(C165,I165)</f>
        <v/>
      </c>
      <c r="K165">
        <f>G165</f>
        <v/>
      </c>
    </row>
    <row r="166">
      <c r="E166">
        <f>D166*VLOOKUP(A166,04_PROYECTOS!$A:$N,5,FALSE)*(INDEX(02B_ESCENARIOS!$B$4:$D$11, MATCH("MULT_PRECIO", 02B_ESCENARIOS!$A$4:$A$11, 0), MATCH("Conservador", 02B_ESCENARIOS!$B$3:$D$3, 0)))*INDEX(02B_ESCENARIOS!$B$15:$D$19, MATCH(VLOOKUP(A166,04_PROYECTOS!$A:$N,9,FALSE), 02B_ESCENARIOS!$A$15:$A$19, 0), MATCH("Conservador", 02B_ESCENARIOS!$B$14:$D$14, 0))</f>
        <v/>
      </c>
      <c r="F166">
        <f>E166*VLOOKUP(A166,04_PROYECTOS!$A:$N,6,FALSE)</f>
        <v/>
      </c>
      <c r="G166">
        <f>E166+F166</f>
        <v/>
      </c>
      <c r="H166">
        <f>IF(VLOOKUP(A166,04_PROYECTOS!$A:$N,10,FALSE)="", IF(VLOOKUP(A166,04_PROYECTOS!$A:$N,4,FALSE)="Privado", INDEX(02B_ESCENARIOS!$B$4:$D$11, MATCH("DSO_PRIVADO_DEFAULT", 02B_ESCENARIOS!$A$4:$A$11, 0), MATCH("Conservador", 02B_ESCENARIOS!$B$3:$D$3, 0)), IF(VLOOKUP(A166,04_PROYECTOS!$A:$N,4,FALSE)="Publico_&lt;10M",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VLOOKUP(A166,04_PROYECTOS!$A:$N,10,FALSE))</f>
        <v/>
      </c>
      <c r="I166">
        <f>ROUNDUP(H166/30,0)</f>
        <v/>
      </c>
      <c r="J166">
        <f>EDATE(C166,I166)</f>
        <v/>
      </c>
      <c r="K166">
        <f>G166</f>
        <v/>
      </c>
    </row>
    <row r="167">
      <c r="E167">
        <f>D167*VLOOKUP(A167,04_PROYECTOS!$A:$N,5,FALSE)*(INDEX(02B_ESCENARIOS!$B$4:$D$11, MATCH("MULT_PRECIO", 02B_ESCENARIOS!$A$4:$A$11, 0), MATCH("Conservador", 02B_ESCENARIOS!$B$3:$D$3, 0)))*INDEX(02B_ESCENARIOS!$B$15:$D$19, MATCH(VLOOKUP(A167,04_PROYECTOS!$A:$N,9,FALSE), 02B_ESCENARIOS!$A$15:$A$19, 0), MATCH("Conservador", 02B_ESCENARIOS!$B$14:$D$14, 0))</f>
        <v/>
      </c>
      <c r="F167">
        <f>E167*VLOOKUP(A167,04_PROYECTOS!$A:$N,6,FALSE)</f>
        <v/>
      </c>
      <c r="G167">
        <f>E167+F167</f>
        <v/>
      </c>
      <c r="H167">
        <f>IF(VLOOKUP(A167,04_PROYECTOS!$A:$N,10,FALSE)="", IF(VLOOKUP(A167,04_PROYECTOS!$A:$N,4,FALSE)="Privado", INDEX(02B_ESCENARIOS!$B$4:$D$11, MATCH("DSO_PRIVADO_DEFAULT", 02B_ESCENARIOS!$A$4:$A$11, 0), MATCH("Conservador", 02B_ESCENARIOS!$B$3:$D$3, 0)), IF(VLOOKUP(A167,04_PROYECTOS!$A:$N,4,FALSE)="Publico_&lt;10M",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VLOOKUP(A167,04_PROYECTOS!$A:$N,10,FALSE))</f>
        <v/>
      </c>
      <c r="I167">
        <f>ROUNDUP(H167/30,0)</f>
        <v/>
      </c>
      <c r="J167">
        <f>EDATE(C167,I167)</f>
        <v/>
      </c>
      <c r="K167">
        <f>G167</f>
        <v/>
      </c>
    </row>
    <row r="168">
      <c r="E168">
        <f>D168*VLOOKUP(A168,04_PROYECTOS!$A:$N,5,FALSE)*(INDEX(02B_ESCENARIOS!$B$4:$D$11, MATCH("MULT_PRECIO", 02B_ESCENARIOS!$A$4:$A$11, 0), MATCH("Conservador", 02B_ESCENARIOS!$B$3:$D$3, 0)))*INDEX(02B_ESCENARIOS!$B$15:$D$19, MATCH(VLOOKUP(A168,04_PROYECTOS!$A:$N,9,FALSE), 02B_ESCENARIOS!$A$15:$A$19, 0), MATCH("Conservador", 02B_ESCENARIOS!$B$14:$D$14, 0))</f>
        <v/>
      </c>
      <c r="F168">
        <f>E168*VLOOKUP(A168,04_PROYECTOS!$A:$N,6,FALSE)</f>
        <v/>
      </c>
      <c r="G168">
        <f>E168+F168</f>
        <v/>
      </c>
      <c r="H168">
        <f>IF(VLOOKUP(A168,04_PROYECTOS!$A:$N,10,FALSE)="", IF(VLOOKUP(A168,04_PROYECTOS!$A:$N,4,FALSE)="Privado", INDEX(02B_ESCENARIOS!$B$4:$D$11, MATCH("DSO_PRIVADO_DEFAULT", 02B_ESCENARIOS!$A$4:$A$11, 0), MATCH("Conservador", 02B_ESCENARIOS!$B$3:$D$3, 0)), IF(VLOOKUP(A168,04_PROYECTOS!$A:$N,4,FALSE)="Publico_&lt;10M",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VLOOKUP(A168,04_PROYECTOS!$A:$N,10,FALSE))</f>
        <v/>
      </c>
      <c r="I168">
        <f>ROUNDUP(H168/30,0)</f>
        <v/>
      </c>
      <c r="J168">
        <f>EDATE(C168,I168)</f>
        <v/>
      </c>
      <c r="K168">
        <f>G168</f>
        <v/>
      </c>
    </row>
    <row r="169">
      <c r="E169">
        <f>D169*VLOOKUP(A169,04_PROYECTOS!$A:$N,5,FALSE)*(INDEX(02B_ESCENARIOS!$B$4:$D$11, MATCH("MULT_PRECIO", 02B_ESCENARIOS!$A$4:$A$11, 0), MATCH("Conservador", 02B_ESCENARIOS!$B$3:$D$3, 0)))*INDEX(02B_ESCENARIOS!$B$15:$D$19, MATCH(VLOOKUP(A169,04_PROYECTOS!$A:$N,9,FALSE), 02B_ESCENARIOS!$A$15:$A$19, 0), MATCH("Conservador", 02B_ESCENARIOS!$B$14:$D$14, 0))</f>
        <v/>
      </c>
      <c r="F169">
        <f>E169*VLOOKUP(A169,04_PROYECTOS!$A:$N,6,FALSE)</f>
        <v/>
      </c>
      <c r="G169">
        <f>E169+F169</f>
        <v/>
      </c>
      <c r="H169">
        <f>IF(VLOOKUP(A169,04_PROYECTOS!$A:$N,10,FALSE)="", IF(VLOOKUP(A169,04_PROYECTOS!$A:$N,4,FALSE)="Privado", INDEX(02B_ESCENARIOS!$B$4:$D$11, MATCH("DSO_PRIVADO_DEFAULT", 02B_ESCENARIOS!$A$4:$A$11, 0), MATCH("Conservador", 02B_ESCENARIOS!$B$3:$D$3, 0)), IF(VLOOKUP(A169,04_PROYECTOS!$A:$N,4,FALSE)="Publico_&lt;10M",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VLOOKUP(A169,04_PROYECTOS!$A:$N,10,FALSE))</f>
        <v/>
      </c>
      <c r="I169">
        <f>ROUNDUP(H169/30,0)</f>
        <v/>
      </c>
      <c r="J169">
        <f>EDATE(C169,I169)</f>
        <v/>
      </c>
      <c r="K169">
        <f>G169</f>
        <v/>
      </c>
    </row>
    <row r="170">
      <c r="E170">
        <f>D170*VLOOKUP(A170,04_PROYECTOS!$A:$N,5,FALSE)*(INDEX(02B_ESCENARIOS!$B$4:$D$11, MATCH("MULT_PRECIO", 02B_ESCENARIOS!$A$4:$A$11, 0), MATCH("Conservador", 02B_ESCENARIOS!$B$3:$D$3, 0)))*INDEX(02B_ESCENARIOS!$B$15:$D$19, MATCH(VLOOKUP(A170,04_PROYECTOS!$A:$N,9,FALSE), 02B_ESCENARIOS!$A$15:$A$19, 0), MATCH("Conservador", 02B_ESCENARIOS!$B$14:$D$14, 0))</f>
        <v/>
      </c>
      <c r="F170">
        <f>E170*VLOOKUP(A170,04_PROYECTOS!$A:$N,6,FALSE)</f>
        <v/>
      </c>
      <c r="G170">
        <f>E170+F170</f>
        <v/>
      </c>
      <c r="H170">
        <f>IF(VLOOKUP(A170,04_PROYECTOS!$A:$N,10,FALSE)="", IF(VLOOKUP(A170,04_PROYECTOS!$A:$N,4,FALSE)="Privado", INDEX(02B_ESCENARIOS!$B$4:$D$11, MATCH("DSO_PRIVADO_DEFAULT", 02B_ESCENARIOS!$A$4:$A$11, 0), MATCH("Conservador", 02B_ESCENARIOS!$B$3:$D$3, 0)), IF(VLOOKUP(A170,04_PROYECTOS!$A:$N,4,FALSE)="Publico_&lt;10M",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VLOOKUP(A170,04_PROYECTOS!$A:$N,10,FALSE))</f>
        <v/>
      </c>
      <c r="I170">
        <f>ROUNDUP(H170/30,0)</f>
        <v/>
      </c>
      <c r="J170">
        <f>EDATE(C170,I170)</f>
        <v/>
      </c>
      <c r="K170">
        <f>G170</f>
        <v/>
      </c>
    </row>
    <row r="171">
      <c r="E171">
        <f>D171*VLOOKUP(A171,04_PROYECTOS!$A:$N,5,FALSE)*(INDEX(02B_ESCENARIOS!$B$4:$D$11, MATCH("MULT_PRECIO", 02B_ESCENARIOS!$A$4:$A$11, 0), MATCH("Conservador", 02B_ESCENARIOS!$B$3:$D$3, 0)))*INDEX(02B_ESCENARIOS!$B$15:$D$19, MATCH(VLOOKUP(A171,04_PROYECTOS!$A:$N,9,FALSE), 02B_ESCENARIOS!$A$15:$A$19, 0), MATCH("Conservador", 02B_ESCENARIOS!$B$14:$D$14, 0))</f>
        <v/>
      </c>
      <c r="F171">
        <f>E171*VLOOKUP(A171,04_PROYECTOS!$A:$N,6,FALSE)</f>
        <v/>
      </c>
      <c r="G171">
        <f>E171+F171</f>
        <v/>
      </c>
      <c r="H171">
        <f>IF(VLOOKUP(A171,04_PROYECTOS!$A:$N,10,FALSE)="", IF(VLOOKUP(A171,04_PROYECTOS!$A:$N,4,FALSE)="Privado", INDEX(02B_ESCENARIOS!$B$4:$D$11, MATCH("DSO_PRIVADO_DEFAULT", 02B_ESCENARIOS!$A$4:$A$11, 0), MATCH("Conservador", 02B_ESCENARIOS!$B$3:$D$3, 0)), IF(VLOOKUP(A171,04_PROYECTOS!$A:$N,4,FALSE)="Publico_&lt;10M",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VLOOKUP(A171,04_PROYECTOS!$A:$N,10,FALSE))</f>
        <v/>
      </c>
      <c r="I171">
        <f>ROUNDUP(H171/30,0)</f>
        <v/>
      </c>
      <c r="J171">
        <f>EDATE(C171,I171)</f>
        <v/>
      </c>
      <c r="K171">
        <f>G171</f>
        <v/>
      </c>
    </row>
    <row r="172">
      <c r="E172">
        <f>D172*VLOOKUP(A172,04_PROYECTOS!$A:$N,5,FALSE)*(INDEX(02B_ESCENARIOS!$B$4:$D$11, MATCH("MULT_PRECIO", 02B_ESCENARIOS!$A$4:$A$11, 0), MATCH("Conservador", 02B_ESCENARIOS!$B$3:$D$3, 0)))*INDEX(02B_ESCENARIOS!$B$15:$D$19, MATCH(VLOOKUP(A172,04_PROYECTOS!$A:$N,9,FALSE), 02B_ESCENARIOS!$A$15:$A$19, 0), MATCH("Conservador", 02B_ESCENARIOS!$B$14:$D$14, 0))</f>
        <v/>
      </c>
      <c r="F172">
        <f>E172*VLOOKUP(A172,04_PROYECTOS!$A:$N,6,FALSE)</f>
        <v/>
      </c>
      <c r="G172">
        <f>E172+F172</f>
        <v/>
      </c>
      <c r="H172">
        <f>IF(VLOOKUP(A172,04_PROYECTOS!$A:$N,10,FALSE)="", IF(VLOOKUP(A172,04_PROYECTOS!$A:$N,4,FALSE)="Privado", INDEX(02B_ESCENARIOS!$B$4:$D$11, MATCH("DSO_PRIVADO_DEFAULT", 02B_ESCENARIOS!$A$4:$A$11, 0), MATCH("Conservador", 02B_ESCENARIOS!$B$3:$D$3, 0)), IF(VLOOKUP(A172,04_PROYECTOS!$A:$N,4,FALSE)="Publico_&lt;10M",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VLOOKUP(A172,04_PROYECTOS!$A:$N,10,FALSE))</f>
        <v/>
      </c>
      <c r="I172">
        <f>ROUNDUP(H172/30,0)</f>
        <v/>
      </c>
      <c r="J172">
        <f>EDATE(C172,I172)</f>
        <v/>
      </c>
      <c r="K172">
        <f>G172</f>
        <v/>
      </c>
    </row>
    <row r="173">
      <c r="E173">
        <f>D173*VLOOKUP(A173,04_PROYECTOS!$A:$N,5,FALSE)*(INDEX(02B_ESCENARIOS!$B$4:$D$11, MATCH("MULT_PRECIO", 02B_ESCENARIOS!$A$4:$A$11, 0), MATCH("Conservador", 02B_ESCENARIOS!$B$3:$D$3, 0)))*INDEX(02B_ESCENARIOS!$B$15:$D$19, MATCH(VLOOKUP(A173,04_PROYECTOS!$A:$N,9,FALSE), 02B_ESCENARIOS!$A$15:$A$19, 0), MATCH("Conservador", 02B_ESCENARIOS!$B$14:$D$14, 0))</f>
        <v/>
      </c>
      <c r="F173">
        <f>E173*VLOOKUP(A173,04_PROYECTOS!$A:$N,6,FALSE)</f>
        <v/>
      </c>
      <c r="G173">
        <f>E173+F173</f>
        <v/>
      </c>
      <c r="H173">
        <f>IF(VLOOKUP(A173,04_PROYECTOS!$A:$N,10,FALSE)="", IF(VLOOKUP(A173,04_PROYECTOS!$A:$N,4,FALSE)="Privado", INDEX(02B_ESCENARIOS!$B$4:$D$11, MATCH("DSO_PRIVADO_DEFAULT", 02B_ESCENARIOS!$A$4:$A$11, 0), MATCH("Conservador", 02B_ESCENARIOS!$B$3:$D$3, 0)), IF(VLOOKUP(A173,04_PROYECTOS!$A:$N,4,FALSE)="Publico_&lt;10M",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VLOOKUP(A173,04_PROYECTOS!$A:$N,10,FALSE))</f>
        <v/>
      </c>
      <c r="I173">
        <f>ROUNDUP(H173/30,0)</f>
        <v/>
      </c>
      <c r="J173">
        <f>EDATE(C173,I173)</f>
        <v/>
      </c>
      <c r="K173">
        <f>G173</f>
        <v/>
      </c>
    </row>
    <row r="174">
      <c r="E174">
        <f>D174*VLOOKUP(A174,04_PROYECTOS!$A:$N,5,FALSE)*(INDEX(02B_ESCENARIOS!$B$4:$D$11, MATCH("MULT_PRECIO", 02B_ESCENARIOS!$A$4:$A$11, 0), MATCH("Conservador", 02B_ESCENARIOS!$B$3:$D$3, 0)))*INDEX(02B_ESCENARIOS!$B$15:$D$19, MATCH(VLOOKUP(A174,04_PROYECTOS!$A:$N,9,FALSE), 02B_ESCENARIOS!$A$15:$A$19, 0), MATCH("Conservador", 02B_ESCENARIOS!$B$14:$D$14, 0))</f>
        <v/>
      </c>
      <c r="F174">
        <f>E174*VLOOKUP(A174,04_PROYECTOS!$A:$N,6,FALSE)</f>
        <v/>
      </c>
      <c r="G174">
        <f>E174+F174</f>
        <v/>
      </c>
      <c r="H174">
        <f>IF(VLOOKUP(A174,04_PROYECTOS!$A:$N,10,FALSE)="", IF(VLOOKUP(A174,04_PROYECTOS!$A:$N,4,FALSE)="Privado", INDEX(02B_ESCENARIOS!$B$4:$D$11, MATCH("DSO_PRIVADO_DEFAULT", 02B_ESCENARIOS!$A$4:$A$11, 0), MATCH("Conservador", 02B_ESCENARIOS!$B$3:$D$3, 0)), IF(VLOOKUP(A174,04_PROYECTOS!$A:$N,4,FALSE)="Publico_&lt;10M",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VLOOKUP(A174,04_PROYECTOS!$A:$N,10,FALSE))</f>
        <v/>
      </c>
      <c r="I174">
        <f>ROUNDUP(H174/30,0)</f>
        <v/>
      </c>
      <c r="J174">
        <f>EDATE(C174,I174)</f>
        <v/>
      </c>
      <c r="K174">
        <f>G174</f>
        <v/>
      </c>
    </row>
    <row r="175">
      <c r="E175">
        <f>D175*VLOOKUP(A175,04_PROYECTOS!$A:$N,5,FALSE)*(INDEX(02B_ESCENARIOS!$B$4:$D$11, MATCH("MULT_PRECIO", 02B_ESCENARIOS!$A$4:$A$11, 0), MATCH("Conservador", 02B_ESCENARIOS!$B$3:$D$3, 0)))*INDEX(02B_ESCENARIOS!$B$15:$D$19, MATCH(VLOOKUP(A175,04_PROYECTOS!$A:$N,9,FALSE), 02B_ESCENARIOS!$A$15:$A$19, 0), MATCH("Conservador", 02B_ESCENARIOS!$B$14:$D$14, 0))</f>
        <v/>
      </c>
      <c r="F175">
        <f>E175*VLOOKUP(A175,04_PROYECTOS!$A:$N,6,FALSE)</f>
        <v/>
      </c>
      <c r="G175">
        <f>E175+F175</f>
        <v/>
      </c>
      <c r="H175">
        <f>IF(VLOOKUP(A175,04_PROYECTOS!$A:$N,10,FALSE)="", IF(VLOOKUP(A175,04_PROYECTOS!$A:$N,4,FALSE)="Privado", INDEX(02B_ESCENARIOS!$B$4:$D$11, MATCH("DSO_PRIVADO_DEFAULT", 02B_ESCENARIOS!$A$4:$A$11, 0), MATCH("Conservador", 02B_ESCENARIOS!$B$3:$D$3, 0)), IF(VLOOKUP(A175,04_PROYECTOS!$A:$N,4,FALSE)="Publico_&lt;10M",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VLOOKUP(A175,04_PROYECTOS!$A:$N,10,FALSE))</f>
        <v/>
      </c>
      <c r="I175">
        <f>ROUNDUP(H175/30,0)</f>
        <v/>
      </c>
      <c r="J175">
        <f>EDATE(C175,I175)</f>
        <v/>
      </c>
      <c r="K175">
        <f>G175</f>
        <v/>
      </c>
    </row>
    <row r="176">
      <c r="E176">
        <f>D176*VLOOKUP(A176,04_PROYECTOS!$A:$N,5,FALSE)*(INDEX(02B_ESCENARIOS!$B$4:$D$11, MATCH("MULT_PRECIO", 02B_ESCENARIOS!$A$4:$A$11, 0), MATCH("Conservador", 02B_ESCENARIOS!$B$3:$D$3, 0)))*INDEX(02B_ESCENARIOS!$B$15:$D$19, MATCH(VLOOKUP(A176,04_PROYECTOS!$A:$N,9,FALSE), 02B_ESCENARIOS!$A$15:$A$19, 0), MATCH("Conservador", 02B_ESCENARIOS!$B$14:$D$14, 0))</f>
        <v/>
      </c>
      <c r="F176">
        <f>E176*VLOOKUP(A176,04_PROYECTOS!$A:$N,6,FALSE)</f>
        <v/>
      </c>
      <c r="G176">
        <f>E176+F176</f>
        <v/>
      </c>
      <c r="H176">
        <f>IF(VLOOKUP(A176,04_PROYECTOS!$A:$N,10,FALSE)="", IF(VLOOKUP(A176,04_PROYECTOS!$A:$N,4,FALSE)="Privado", INDEX(02B_ESCENARIOS!$B$4:$D$11, MATCH("DSO_PRIVADO_DEFAULT", 02B_ESCENARIOS!$A$4:$A$11, 0), MATCH("Conservador", 02B_ESCENARIOS!$B$3:$D$3, 0)), IF(VLOOKUP(A176,04_PROYECTOS!$A:$N,4,FALSE)="Publico_&lt;10M",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VLOOKUP(A176,04_PROYECTOS!$A:$N,10,FALSE))</f>
        <v/>
      </c>
      <c r="I176">
        <f>ROUNDUP(H176/30,0)</f>
        <v/>
      </c>
      <c r="J176">
        <f>EDATE(C176,I176)</f>
        <v/>
      </c>
      <c r="K176">
        <f>G176</f>
        <v/>
      </c>
    </row>
    <row r="177">
      <c r="E177">
        <f>D177*VLOOKUP(A177,04_PROYECTOS!$A:$N,5,FALSE)*(INDEX(02B_ESCENARIOS!$B$4:$D$11, MATCH("MULT_PRECIO", 02B_ESCENARIOS!$A$4:$A$11, 0), MATCH("Conservador", 02B_ESCENARIOS!$B$3:$D$3, 0)))*INDEX(02B_ESCENARIOS!$B$15:$D$19, MATCH(VLOOKUP(A177,04_PROYECTOS!$A:$N,9,FALSE), 02B_ESCENARIOS!$A$15:$A$19, 0), MATCH("Conservador", 02B_ESCENARIOS!$B$14:$D$14, 0))</f>
        <v/>
      </c>
      <c r="F177">
        <f>E177*VLOOKUP(A177,04_PROYECTOS!$A:$N,6,FALSE)</f>
        <v/>
      </c>
      <c r="G177">
        <f>E177+F177</f>
        <v/>
      </c>
      <c r="H177">
        <f>IF(VLOOKUP(A177,04_PROYECTOS!$A:$N,10,FALSE)="", IF(VLOOKUP(A177,04_PROYECTOS!$A:$N,4,FALSE)="Privado", INDEX(02B_ESCENARIOS!$B$4:$D$11, MATCH("DSO_PRIVADO_DEFAULT", 02B_ESCENARIOS!$A$4:$A$11, 0), MATCH("Conservador", 02B_ESCENARIOS!$B$3:$D$3, 0)), IF(VLOOKUP(A177,04_PROYECTOS!$A:$N,4,FALSE)="Publico_&lt;10M",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VLOOKUP(A177,04_PROYECTOS!$A:$N,10,FALSE))</f>
        <v/>
      </c>
      <c r="I177">
        <f>ROUNDUP(H177/30,0)</f>
        <v/>
      </c>
      <c r="J177">
        <f>EDATE(C177,I177)</f>
        <v/>
      </c>
      <c r="K177">
        <f>G177</f>
        <v/>
      </c>
    </row>
    <row r="178">
      <c r="E178">
        <f>D178*VLOOKUP(A178,04_PROYECTOS!$A:$N,5,FALSE)*(INDEX(02B_ESCENARIOS!$B$4:$D$11, MATCH("MULT_PRECIO", 02B_ESCENARIOS!$A$4:$A$11, 0), MATCH("Conservador", 02B_ESCENARIOS!$B$3:$D$3, 0)))*INDEX(02B_ESCENARIOS!$B$15:$D$19, MATCH(VLOOKUP(A178,04_PROYECTOS!$A:$N,9,FALSE), 02B_ESCENARIOS!$A$15:$A$19, 0), MATCH("Conservador", 02B_ESCENARIOS!$B$14:$D$14, 0))</f>
        <v/>
      </c>
      <c r="F178">
        <f>E178*VLOOKUP(A178,04_PROYECTOS!$A:$N,6,FALSE)</f>
        <v/>
      </c>
      <c r="G178">
        <f>E178+F178</f>
        <v/>
      </c>
      <c r="H178">
        <f>IF(VLOOKUP(A178,04_PROYECTOS!$A:$N,10,FALSE)="", IF(VLOOKUP(A178,04_PROYECTOS!$A:$N,4,FALSE)="Privado", INDEX(02B_ESCENARIOS!$B$4:$D$11, MATCH("DSO_PRIVADO_DEFAULT", 02B_ESCENARIOS!$A$4:$A$11, 0), MATCH("Conservador", 02B_ESCENARIOS!$B$3:$D$3, 0)), IF(VLOOKUP(A178,04_PROYECTOS!$A:$N,4,FALSE)="Publico_&lt;10M",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VLOOKUP(A178,04_PROYECTOS!$A:$N,10,FALSE))</f>
        <v/>
      </c>
      <c r="I178">
        <f>ROUNDUP(H178/30,0)</f>
        <v/>
      </c>
      <c r="J178">
        <f>EDATE(C178,I178)</f>
        <v/>
      </c>
      <c r="K178">
        <f>G178</f>
        <v/>
      </c>
    </row>
    <row r="179">
      <c r="E179">
        <f>D179*VLOOKUP(A179,04_PROYECTOS!$A:$N,5,FALSE)*(INDEX(02B_ESCENARIOS!$B$4:$D$11, MATCH("MULT_PRECIO", 02B_ESCENARIOS!$A$4:$A$11, 0), MATCH("Conservador", 02B_ESCENARIOS!$B$3:$D$3, 0)))*INDEX(02B_ESCENARIOS!$B$15:$D$19, MATCH(VLOOKUP(A179,04_PROYECTOS!$A:$N,9,FALSE), 02B_ESCENARIOS!$A$15:$A$19, 0), MATCH("Conservador", 02B_ESCENARIOS!$B$14:$D$14, 0))</f>
        <v/>
      </c>
      <c r="F179">
        <f>E179*VLOOKUP(A179,04_PROYECTOS!$A:$N,6,FALSE)</f>
        <v/>
      </c>
      <c r="G179">
        <f>E179+F179</f>
        <v/>
      </c>
      <c r="H179">
        <f>IF(VLOOKUP(A179,04_PROYECTOS!$A:$N,10,FALSE)="", IF(VLOOKUP(A179,04_PROYECTOS!$A:$N,4,FALSE)="Privado", INDEX(02B_ESCENARIOS!$B$4:$D$11, MATCH("DSO_PRIVADO_DEFAULT", 02B_ESCENARIOS!$A$4:$A$11, 0), MATCH("Conservador", 02B_ESCENARIOS!$B$3:$D$3, 0)), IF(VLOOKUP(A179,04_PROYECTOS!$A:$N,4,FALSE)="Publico_&lt;10M",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VLOOKUP(A179,04_PROYECTOS!$A:$N,10,FALSE))</f>
        <v/>
      </c>
      <c r="I179">
        <f>ROUNDUP(H179/30,0)</f>
        <v/>
      </c>
      <c r="J179">
        <f>EDATE(C179,I179)</f>
        <v/>
      </c>
      <c r="K179">
        <f>G179</f>
        <v/>
      </c>
    </row>
    <row r="180">
      <c r="E180">
        <f>D180*VLOOKUP(A180,04_PROYECTOS!$A:$N,5,FALSE)*(INDEX(02B_ESCENARIOS!$B$4:$D$11, MATCH("MULT_PRECIO", 02B_ESCENARIOS!$A$4:$A$11, 0), MATCH("Conservador", 02B_ESCENARIOS!$B$3:$D$3, 0)))*INDEX(02B_ESCENARIOS!$B$15:$D$19, MATCH(VLOOKUP(A180,04_PROYECTOS!$A:$N,9,FALSE), 02B_ESCENARIOS!$A$15:$A$19, 0), MATCH("Conservador", 02B_ESCENARIOS!$B$14:$D$14, 0))</f>
        <v/>
      </c>
      <c r="F180">
        <f>E180*VLOOKUP(A180,04_PROYECTOS!$A:$N,6,FALSE)</f>
        <v/>
      </c>
      <c r="G180">
        <f>E180+F180</f>
        <v/>
      </c>
      <c r="H180">
        <f>IF(VLOOKUP(A180,04_PROYECTOS!$A:$N,10,FALSE)="", IF(VLOOKUP(A180,04_PROYECTOS!$A:$N,4,FALSE)="Privado", INDEX(02B_ESCENARIOS!$B$4:$D$11, MATCH("DSO_PRIVADO_DEFAULT", 02B_ESCENARIOS!$A$4:$A$11, 0), MATCH("Conservador", 02B_ESCENARIOS!$B$3:$D$3, 0)), IF(VLOOKUP(A180,04_PROYECTOS!$A:$N,4,FALSE)="Publico_&lt;10M",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VLOOKUP(A180,04_PROYECTOS!$A:$N,10,FALSE))</f>
        <v/>
      </c>
      <c r="I180">
        <f>ROUNDUP(H180/30,0)</f>
        <v/>
      </c>
      <c r="J180">
        <f>EDATE(C180,I180)</f>
        <v/>
      </c>
      <c r="K180">
        <f>G180</f>
        <v/>
      </c>
    </row>
    <row r="181">
      <c r="E181">
        <f>D181*VLOOKUP(A181,04_PROYECTOS!$A:$N,5,FALSE)*(INDEX(02B_ESCENARIOS!$B$4:$D$11, MATCH("MULT_PRECIO", 02B_ESCENARIOS!$A$4:$A$11, 0), MATCH("Conservador", 02B_ESCENARIOS!$B$3:$D$3, 0)))*INDEX(02B_ESCENARIOS!$B$15:$D$19, MATCH(VLOOKUP(A181,04_PROYECTOS!$A:$N,9,FALSE), 02B_ESCENARIOS!$A$15:$A$19, 0), MATCH("Conservador", 02B_ESCENARIOS!$B$14:$D$14, 0))</f>
        <v/>
      </c>
      <c r="F181">
        <f>E181*VLOOKUP(A181,04_PROYECTOS!$A:$N,6,FALSE)</f>
        <v/>
      </c>
      <c r="G181">
        <f>E181+F181</f>
        <v/>
      </c>
      <c r="H181">
        <f>IF(VLOOKUP(A181,04_PROYECTOS!$A:$N,10,FALSE)="", IF(VLOOKUP(A181,04_PROYECTOS!$A:$N,4,FALSE)="Privado", INDEX(02B_ESCENARIOS!$B$4:$D$11, MATCH("DSO_PRIVADO_DEFAULT", 02B_ESCENARIOS!$A$4:$A$11, 0), MATCH("Conservador", 02B_ESCENARIOS!$B$3:$D$3, 0)), IF(VLOOKUP(A181,04_PROYECTOS!$A:$N,4,FALSE)="Publico_&lt;10M",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VLOOKUP(A181,04_PROYECTOS!$A:$N,10,FALSE))</f>
        <v/>
      </c>
      <c r="I181">
        <f>ROUNDUP(H181/30,0)</f>
        <v/>
      </c>
      <c r="J181">
        <f>EDATE(C181,I181)</f>
        <v/>
      </c>
      <c r="K181">
        <f>G181</f>
        <v/>
      </c>
    </row>
    <row r="182">
      <c r="E182">
        <f>D182*VLOOKUP(A182,04_PROYECTOS!$A:$N,5,FALSE)*(INDEX(02B_ESCENARIOS!$B$4:$D$11, MATCH("MULT_PRECIO", 02B_ESCENARIOS!$A$4:$A$11, 0), MATCH("Conservador", 02B_ESCENARIOS!$B$3:$D$3, 0)))*INDEX(02B_ESCENARIOS!$B$15:$D$19, MATCH(VLOOKUP(A182,04_PROYECTOS!$A:$N,9,FALSE), 02B_ESCENARIOS!$A$15:$A$19, 0), MATCH("Conservador", 02B_ESCENARIOS!$B$14:$D$14, 0))</f>
        <v/>
      </c>
      <c r="F182">
        <f>E182*VLOOKUP(A182,04_PROYECTOS!$A:$N,6,FALSE)</f>
        <v/>
      </c>
      <c r="G182">
        <f>E182+F182</f>
        <v/>
      </c>
      <c r="H182">
        <f>IF(VLOOKUP(A182,04_PROYECTOS!$A:$N,10,FALSE)="", IF(VLOOKUP(A182,04_PROYECTOS!$A:$N,4,FALSE)="Privado", INDEX(02B_ESCENARIOS!$B$4:$D$11, MATCH("DSO_PRIVADO_DEFAULT", 02B_ESCENARIOS!$A$4:$A$11, 0), MATCH("Conservador", 02B_ESCENARIOS!$B$3:$D$3, 0)), IF(VLOOKUP(A182,04_PROYECTOS!$A:$N,4,FALSE)="Publico_&lt;10M",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VLOOKUP(A182,04_PROYECTOS!$A:$N,10,FALSE))</f>
        <v/>
      </c>
      <c r="I182">
        <f>ROUNDUP(H182/30,0)</f>
        <v/>
      </c>
      <c r="J182">
        <f>EDATE(C182,I182)</f>
        <v/>
      </c>
      <c r="K182">
        <f>G182</f>
        <v/>
      </c>
    </row>
    <row r="183">
      <c r="E183">
        <f>D183*VLOOKUP(A183,04_PROYECTOS!$A:$N,5,FALSE)*(INDEX(02B_ESCENARIOS!$B$4:$D$11, MATCH("MULT_PRECIO", 02B_ESCENARIOS!$A$4:$A$11, 0), MATCH("Conservador", 02B_ESCENARIOS!$B$3:$D$3, 0)))*INDEX(02B_ESCENARIOS!$B$15:$D$19, MATCH(VLOOKUP(A183,04_PROYECTOS!$A:$N,9,FALSE), 02B_ESCENARIOS!$A$15:$A$19, 0), MATCH("Conservador", 02B_ESCENARIOS!$B$14:$D$14, 0))</f>
        <v/>
      </c>
      <c r="F183">
        <f>E183*VLOOKUP(A183,04_PROYECTOS!$A:$N,6,FALSE)</f>
        <v/>
      </c>
      <c r="G183">
        <f>E183+F183</f>
        <v/>
      </c>
      <c r="H183">
        <f>IF(VLOOKUP(A183,04_PROYECTOS!$A:$N,10,FALSE)="", IF(VLOOKUP(A183,04_PROYECTOS!$A:$N,4,FALSE)="Privado", INDEX(02B_ESCENARIOS!$B$4:$D$11, MATCH("DSO_PRIVADO_DEFAULT", 02B_ESCENARIOS!$A$4:$A$11, 0), MATCH("Conservador", 02B_ESCENARIOS!$B$3:$D$3, 0)), IF(VLOOKUP(A183,04_PROYECTOS!$A:$N,4,FALSE)="Publico_&lt;10M",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VLOOKUP(A183,04_PROYECTOS!$A:$N,10,FALSE))</f>
        <v/>
      </c>
      <c r="I183">
        <f>ROUNDUP(H183/30,0)</f>
        <v/>
      </c>
      <c r="J183">
        <f>EDATE(C183,I183)</f>
        <v/>
      </c>
      <c r="K183">
        <f>G183</f>
        <v/>
      </c>
    </row>
    <row r="184">
      <c r="E184">
        <f>D184*VLOOKUP(A184,04_PROYECTOS!$A:$N,5,FALSE)*(INDEX(02B_ESCENARIOS!$B$4:$D$11, MATCH("MULT_PRECIO", 02B_ESCENARIOS!$A$4:$A$11, 0), MATCH("Conservador", 02B_ESCENARIOS!$B$3:$D$3, 0)))*INDEX(02B_ESCENARIOS!$B$15:$D$19, MATCH(VLOOKUP(A184,04_PROYECTOS!$A:$N,9,FALSE), 02B_ESCENARIOS!$A$15:$A$19, 0), MATCH("Conservador", 02B_ESCENARIOS!$B$14:$D$14, 0))</f>
        <v/>
      </c>
      <c r="F184">
        <f>E184*VLOOKUP(A184,04_PROYECTOS!$A:$N,6,FALSE)</f>
        <v/>
      </c>
      <c r="G184">
        <f>E184+F184</f>
        <v/>
      </c>
      <c r="H184">
        <f>IF(VLOOKUP(A184,04_PROYECTOS!$A:$N,10,FALSE)="", IF(VLOOKUP(A184,04_PROYECTOS!$A:$N,4,FALSE)="Privado", INDEX(02B_ESCENARIOS!$B$4:$D$11, MATCH("DSO_PRIVADO_DEFAULT", 02B_ESCENARIOS!$A$4:$A$11, 0), MATCH("Conservador", 02B_ESCENARIOS!$B$3:$D$3, 0)), IF(VLOOKUP(A184,04_PROYECTOS!$A:$N,4,FALSE)="Publico_&lt;10M",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VLOOKUP(A184,04_PROYECTOS!$A:$N,10,FALSE))</f>
        <v/>
      </c>
      <c r="I184">
        <f>ROUNDUP(H184/30,0)</f>
        <v/>
      </c>
      <c r="J184">
        <f>EDATE(C184,I184)</f>
        <v/>
      </c>
      <c r="K184">
        <f>G184</f>
        <v/>
      </c>
    </row>
    <row r="185">
      <c r="E185">
        <f>D185*VLOOKUP(A185,04_PROYECTOS!$A:$N,5,FALSE)*(INDEX(02B_ESCENARIOS!$B$4:$D$11, MATCH("MULT_PRECIO", 02B_ESCENARIOS!$A$4:$A$11, 0), MATCH("Conservador", 02B_ESCENARIOS!$B$3:$D$3, 0)))*INDEX(02B_ESCENARIOS!$B$15:$D$19, MATCH(VLOOKUP(A185,04_PROYECTOS!$A:$N,9,FALSE), 02B_ESCENARIOS!$A$15:$A$19, 0), MATCH("Conservador", 02B_ESCENARIOS!$B$14:$D$14, 0))</f>
        <v/>
      </c>
      <c r="F185">
        <f>E185*VLOOKUP(A185,04_PROYECTOS!$A:$N,6,FALSE)</f>
        <v/>
      </c>
      <c r="G185">
        <f>E185+F185</f>
        <v/>
      </c>
      <c r="H185">
        <f>IF(VLOOKUP(A185,04_PROYECTOS!$A:$N,10,FALSE)="", IF(VLOOKUP(A185,04_PROYECTOS!$A:$N,4,FALSE)="Privado", INDEX(02B_ESCENARIOS!$B$4:$D$11, MATCH("DSO_PRIVADO_DEFAULT", 02B_ESCENARIOS!$A$4:$A$11, 0), MATCH("Conservador", 02B_ESCENARIOS!$B$3:$D$3, 0)), IF(VLOOKUP(A185,04_PROYECTOS!$A:$N,4,FALSE)="Publico_&lt;10M",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VLOOKUP(A185,04_PROYECTOS!$A:$N,10,FALSE))</f>
        <v/>
      </c>
      <c r="I185">
        <f>ROUNDUP(H185/30,0)</f>
        <v/>
      </c>
      <c r="J185">
        <f>EDATE(C185,I185)</f>
        <v/>
      </c>
      <c r="K185">
        <f>G185</f>
        <v/>
      </c>
    </row>
    <row r="186">
      <c r="E186">
        <f>D186*VLOOKUP(A186,04_PROYECTOS!$A:$N,5,FALSE)*(INDEX(02B_ESCENARIOS!$B$4:$D$11, MATCH("MULT_PRECIO", 02B_ESCENARIOS!$A$4:$A$11, 0), MATCH("Conservador", 02B_ESCENARIOS!$B$3:$D$3, 0)))*INDEX(02B_ESCENARIOS!$B$15:$D$19, MATCH(VLOOKUP(A186,04_PROYECTOS!$A:$N,9,FALSE), 02B_ESCENARIOS!$A$15:$A$19, 0), MATCH("Conservador", 02B_ESCENARIOS!$B$14:$D$14, 0))</f>
        <v/>
      </c>
      <c r="F186">
        <f>E186*VLOOKUP(A186,04_PROYECTOS!$A:$N,6,FALSE)</f>
        <v/>
      </c>
      <c r="G186">
        <f>E186+F186</f>
        <v/>
      </c>
      <c r="H186">
        <f>IF(VLOOKUP(A186,04_PROYECTOS!$A:$N,10,FALSE)="", IF(VLOOKUP(A186,04_PROYECTOS!$A:$N,4,FALSE)="Privado", INDEX(02B_ESCENARIOS!$B$4:$D$11, MATCH("DSO_PRIVADO_DEFAULT", 02B_ESCENARIOS!$A$4:$A$11, 0), MATCH("Conservador", 02B_ESCENARIOS!$B$3:$D$3, 0)), IF(VLOOKUP(A186,04_PROYECTOS!$A:$N,4,FALSE)="Publico_&lt;10M",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VLOOKUP(A186,04_PROYECTOS!$A:$N,10,FALSE))</f>
        <v/>
      </c>
      <c r="I186">
        <f>ROUNDUP(H186/30,0)</f>
        <v/>
      </c>
      <c r="J186">
        <f>EDATE(C186,I186)</f>
        <v/>
      </c>
      <c r="K186">
        <f>G186</f>
        <v/>
      </c>
    </row>
    <row r="187">
      <c r="E187">
        <f>D187*VLOOKUP(A187,04_PROYECTOS!$A:$N,5,FALSE)*(INDEX(02B_ESCENARIOS!$B$4:$D$11, MATCH("MULT_PRECIO", 02B_ESCENARIOS!$A$4:$A$11, 0), MATCH("Conservador", 02B_ESCENARIOS!$B$3:$D$3, 0)))*INDEX(02B_ESCENARIOS!$B$15:$D$19, MATCH(VLOOKUP(A187,04_PROYECTOS!$A:$N,9,FALSE), 02B_ESCENARIOS!$A$15:$A$19, 0), MATCH("Conservador", 02B_ESCENARIOS!$B$14:$D$14, 0))</f>
        <v/>
      </c>
      <c r="F187">
        <f>E187*VLOOKUP(A187,04_PROYECTOS!$A:$N,6,FALSE)</f>
        <v/>
      </c>
      <c r="G187">
        <f>E187+F187</f>
        <v/>
      </c>
      <c r="H187">
        <f>IF(VLOOKUP(A187,04_PROYECTOS!$A:$N,10,FALSE)="", IF(VLOOKUP(A187,04_PROYECTOS!$A:$N,4,FALSE)="Privado", INDEX(02B_ESCENARIOS!$B$4:$D$11, MATCH("DSO_PRIVADO_DEFAULT", 02B_ESCENARIOS!$A$4:$A$11, 0), MATCH("Conservador", 02B_ESCENARIOS!$B$3:$D$3, 0)), IF(VLOOKUP(A187,04_PROYECTOS!$A:$N,4,FALSE)="Publico_&lt;10M",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VLOOKUP(A187,04_PROYECTOS!$A:$N,10,FALSE))</f>
        <v/>
      </c>
      <c r="I187">
        <f>ROUNDUP(H187/30,0)</f>
        <v/>
      </c>
      <c r="J187">
        <f>EDATE(C187,I187)</f>
        <v/>
      </c>
      <c r="K187">
        <f>G187</f>
        <v/>
      </c>
    </row>
    <row r="188">
      <c r="E188">
        <f>D188*VLOOKUP(A188,04_PROYECTOS!$A:$N,5,FALSE)*(INDEX(02B_ESCENARIOS!$B$4:$D$11, MATCH("MULT_PRECIO", 02B_ESCENARIOS!$A$4:$A$11, 0), MATCH("Conservador", 02B_ESCENARIOS!$B$3:$D$3, 0)))*INDEX(02B_ESCENARIOS!$B$15:$D$19, MATCH(VLOOKUP(A188,04_PROYECTOS!$A:$N,9,FALSE), 02B_ESCENARIOS!$A$15:$A$19, 0), MATCH("Conservador", 02B_ESCENARIOS!$B$14:$D$14, 0))</f>
        <v/>
      </c>
      <c r="F188">
        <f>E188*VLOOKUP(A188,04_PROYECTOS!$A:$N,6,FALSE)</f>
        <v/>
      </c>
      <c r="G188">
        <f>E188+F188</f>
        <v/>
      </c>
      <c r="H188">
        <f>IF(VLOOKUP(A188,04_PROYECTOS!$A:$N,10,FALSE)="", IF(VLOOKUP(A188,04_PROYECTOS!$A:$N,4,FALSE)="Privado", INDEX(02B_ESCENARIOS!$B$4:$D$11, MATCH("DSO_PRIVADO_DEFAULT", 02B_ESCENARIOS!$A$4:$A$11, 0), MATCH("Conservador", 02B_ESCENARIOS!$B$3:$D$3, 0)), IF(VLOOKUP(A188,04_PROYECTOS!$A:$N,4,FALSE)="Publico_&lt;10M",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VLOOKUP(A188,04_PROYECTOS!$A:$N,10,FALSE))</f>
        <v/>
      </c>
      <c r="I188">
        <f>ROUNDUP(H188/30,0)</f>
        <v/>
      </c>
      <c r="J188">
        <f>EDATE(C188,I188)</f>
        <v/>
      </c>
      <c r="K188">
        <f>G188</f>
        <v/>
      </c>
    </row>
    <row r="189">
      <c r="E189">
        <f>D189*VLOOKUP(A189,04_PROYECTOS!$A:$N,5,FALSE)*(INDEX(02B_ESCENARIOS!$B$4:$D$11, MATCH("MULT_PRECIO", 02B_ESCENARIOS!$A$4:$A$11, 0), MATCH("Conservador", 02B_ESCENARIOS!$B$3:$D$3, 0)))*INDEX(02B_ESCENARIOS!$B$15:$D$19, MATCH(VLOOKUP(A189,04_PROYECTOS!$A:$N,9,FALSE), 02B_ESCENARIOS!$A$15:$A$19, 0), MATCH("Conservador", 02B_ESCENARIOS!$B$14:$D$14, 0))</f>
        <v/>
      </c>
      <c r="F189">
        <f>E189*VLOOKUP(A189,04_PROYECTOS!$A:$N,6,FALSE)</f>
        <v/>
      </c>
      <c r="G189">
        <f>E189+F189</f>
        <v/>
      </c>
      <c r="H189">
        <f>IF(VLOOKUP(A189,04_PROYECTOS!$A:$N,10,FALSE)="", IF(VLOOKUP(A189,04_PROYECTOS!$A:$N,4,FALSE)="Privado", INDEX(02B_ESCENARIOS!$B$4:$D$11, MATCH("DSO_PRIVADO_DEFAULT", 02B_ESCENARIOS!$A$4:$A$11, 0), MATCH("Conservador", 02B_ESCENARIOS!$B$3:$D$3, 0)), IF(VLOOKUP(A189,04_PROYECTOS!$A:$N,4,FALSE)="Publico_&lt;10M",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VLOOKUP(A189,04_PROYECTOS!$A:$N,10,FALSE))</f>
        <v/>
      </c>
      <c r="I189">
        <f>ROUNDUP(H189/30,0)</f>
        <v/>
      </c>
      <c r="J189">
        <f>EDATE(C189,I189)</f>
        <v/>
      </c>
      <c r="K189">
        <f>G189</f>
        <v/>
      </c>
    </row>
    <row r="190">
      <c r="E190">
        <f>D190*VLOOKUP(A190,04_PROYECTOS!$A:$N,5,FALSE)*(INDEX(02B_ESCENARIOS!$B$4:$D$11, MATCH("MULT_PRECIO", 02B_ESCENARIOS!$A$4:$A$11, 0), MATCH("Conservador", 02B_ESCENARIOS!$B$3:$D$3, 0)))*INDEX(02B_ESCENARIOS!$B$15:$D$19, MATCH(VLOOKUP(A190,04_PROYECTOS!$A:$N,9,FALSE), 02B_ESCENARIOS!$A$15:$A$19, 0), MATCH("Conservador", 02B_ESCENARIOS!$B$14:$D$14, 0))</f>
        <v/>
      </c>
      <c r="F190">
        <f>E190*VLOOKUP(A190,04_PROYECTOS!$A:$N,6,FALSE)</f>
        <v/>
      </c>
      <c r="G190">
        <f>E190+F190</f>
        <v/>
      </c>
      <c r="H190">
        <f>IF(VLOOKUP(A190,04_PROYECTOS!$A:$N,10,FALSE)="", IF(VLOOKUP(A190,04_PROYECTOS!$A:$N,4,FALSE)="Privado", INDEX(02B_ESCENARIOS!$B$4:$D$11, MATCH("DSO_PRIVADO_DEFAULT", 02B_ESCENARIOS!$A$4:$A$11, 0), MATCH("Conservador", 02B_ESCENARIOS!$B$3:$D$3, 0)), IF(VLOOKUP(A190,04_PROYECTOS!$A:$N,4,FALSE)="Publico_&lt;10M",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VLOOKUP(A190,04_PROYECTOS!$A:$N,10,FALSE))</f>
        <v/>
      </c>
      <c r="I190">
        <f>ROUNDUP(H190/30,0)</f>
        <v/>
      </c>
      <c r="J190">
        <f>EDATE(C190,I190)</f>
        <v/>
      </c>
      <c r="K190">
        <f>G190</f>
        <v/>
      </c>
    </row>
    <row r="191">
      <c r="E191">
        <f>D191*VLOOKUP(A191,04_PROYECTOS!$A:$N,5,FALSE)*(INDEX(02B_ESCENARIOS!$B$4:$D$11, MATCH("MULT_PRECIO", 02B_ESCENARIOS!$A$4:$A$11, 0), MATCH("Conservador", 02B_ESCENARIOS!$B$3:$D$3, 0)))*INDEX(02B_ESCENARIOS!$B$15:$D$19, MATCH(VLOOKUP(A191,04_PROYECTOS!$A:$N,9,FALSE), 02B_ESCENARIOS!$A$15:$A$19, 0), MATCH("Conservador", 02B_ESCENARIOS!$B$14:$D$14, 0))</f>
        <v/>
      </c>
      <c r="F191">
        <f>E191*VLOOKUP(A191,04_PROYECTOS!$A:$N,6,FALSE)</f>
        <v/>
      </c>
      <c r="G191">
        <f>E191+F191</f>
        <v/>
      </c>
      <c r="H191">
        <f>IF(VLOOKUP(A191,04_PROYECTOS!$A:$N,10,FALSE)="", IF(VLOOKUP(A191,04_PROYECTOS!$A:$N,4,FALSE)="Privado", INDEX(02B_ESCENARIOS!$B$4:$D$11, MATCH("DSO_PRIVADO_DEFAULT", 02B_ESCENARIOS!$A$4:$A$11, 0), MATCH("Conservador", 02B_ESCENARIOS!$B$3:$D$3, 0)), IF(VLOOKUP(A191,04_PROYECTOS!$A:$N,4,FALSE)="Publico_&lt;10M",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VLOOKUP(A191,04_PROYECTOS!$A:$N,10,FALSE))</f>
        <v/>
      </c>
      <c r="I191">
        <f>ROUNDUP(H191/30,0)</f>
        <v/>
      </c>
      <c r="J191">
        <f>EDATE(C191,I191)</f>
        <v/>
      </c>
      <c r="K191">
        <f>G191</f>
        <v/>
      </c>
    </row>
    <row r="192">
      <c r="E192">
        <f>D192*VLOOKUP(A192,04_PROYECTOS!$A:$N,5,FALSE)*(INDEX(02B_ESCENARIOS!$B$4:$D$11, MATCH("MULT_PRECIO", 02B_ESCENARIOS!$A$4:$A$11, 0), MATCH("Conservador", 02B_ESCENARIOS!$B$3:$D$3, 0)))*INDEX(02B_ESCENARIOS!$B$15:$D$19, MATCH(VLOOKUP(A192,04_PROYECTOS!$A:$N,9,FALSE), 02B_ESCENARIOS!$A$15:$A$19, 0), MATCH("Conservador", 02B_ESCENARIOS!$B$14:$D$14, 0))</f>
        <v/>
      </c>
      <c r="F192">
        <f>E192*VLOOKUP(A192,04_PROYECTOS!$A:$N,6,FALSE)</f>
        <v/>
      </c>
      <c r="G192">
        <f>E192+F192</f>
        <v/>
      </c>
      <c r="H192">
        <f>IF(VLOOKUP(A192,04_PROYECTOS!$A:$N,10,FALSE)="", IF(VLOOKUP(A192,04_PROYECTOS!$A:$N,4,FALSE)="Privado", INDEX(02B_ESCENARIOS!$B$4:$D$11, MATCH("DSO_PRIVADO_DEFAULT", 02B_ESCENARIOS!$A$4:$A$11, 0), MATCH("Conservador", 02B_ESCENARIOS!$B$3:$D$3, 0)), IF(VLOOKUP(A192,04_PROYECTOS!$A:$N,4,FALSE)="Publico_&lt;10M",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VLOOKUP(A192,04_PROYECTOS!$A:$N,10,FALSE))</f>
        <v/>
      </c>
      <c r="I192">
        <f>ROUNDUP(H192/30,0)</f>
        <v/>
      </c>
      <c r="J192">
        <f>EDATE(C192,I192)</f>
        <v/>
      </c>
      <c r="K192">
        <f>G192</f>
        <v/>
      </c>
    </row>
    <row r="193">
      <c r="E193">
        <f>D193*VLOOKUP(A193,04_PROYECTOS!$A:$N,5,FALSE)*(INDEX(02B_ESCENARIOS!$B$4:$D$11, MATCH("MULT_PRECIO", 02B_ESCENARIOS!$A$4:$A$11, 0), MATCH("Conservador", 02B_ESCENARIOS!$B$3:$D$3, 0)))*INDEX(02B_ESCENARIOS!$B$15:$D$19, MATCH(VLOOKUP(A193,04_PROYECTOS!$A:$N,9,FALSE), 02B_ESCENARIOS!$A$15:$A$19, 0), MATCH("Conservador", 02B_ESCENARIOS!$B$14:$D$14, 0))</f>
        <v/>
      </c>
      <c r="F193">
        <f>E193*VLOOKUP(A193,04_PROYECTOS!$A:$N,6,FALSE)</f>
        <v/>
      </c>
      <c r="G193">
        <f>E193+F193</f>
        <v/>
      </c>
      <c r="H193">
        <f>IF(VLOOKUP(A193,04_PROYECTOS!$A:$N,10,FALSE)="", IF(VLOOKUP(A193,04_PROYECTOS!$A:$N,4,FALSE)="Privado", INDEX(02B_ESCENARIOS!$B$4:$D$11, MATCH("DSO_PRIVADO_DEFAULT", 02B_ESCENARIOS!$A$4:$A$11, 0), MATCH("Conservador", 02B_ESCENARIOS!$B$3:$D$3, 0)), IF(VLOOKUP(A193,04_PROYECTOS!$A:$N,4,FALSE)="Publico_&lt;10M",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VLOOKUP(A193,04_PROYECTOS!$A:$N,10,FALSE))</f>
        <v/>
      </c>
      <c r="I193">
        <f>ROUNDUP(H193/30,0)</f>
        <v/>
      </c>
      <c r="J193">
        <f>EDATE(C193,I193)</f>
        <v/>
      </c>
      <c r="K193">
        <f>G193</f>
        <v/>
      </c>
    </row>
    <row r="194">
      <c r="E194">
        <f>D194*VLOOKUP(A194,04_PROYECTOS!$A:$N,5,FALSE)*(INDEX(02B_ESCENARIOS!$B$4:$D$11, MATCH("MULT_PRECIO", 02B_ESCENARIOS!$A$4:$A$11, 0), MATCH("Conservador", 02B_ESCENARIOS!$B$3:$D$3, 0)))*INDEX(02B_ESCENARIOS!$B$15:$D$19, MATCH(VLOOKUP(A194,04_PROYECTOS!$A:$N,9,FALSE), 02B_ESCENARIOS!$A$15:$A$19, 0), MATCH("Conservador", 02B_ESCENARIOS!$B$14:$D$14, 0))</f>
        <v/>
      </c>
      <c r="F194">
        <f>E194*VLOOKUP(A194,04_PROYECTOS!$A:$N,6,FALSE)</f>
        <v/>
      </c>
      <c r="G194">
        <f>E194+F194</f>
        <v/>
      </c>
      <c r="H194">
        <f>IF(VLOOKUP(A194,04_PROYECTOS!$A:$N,10,FALSE)="", IF(VLOOKUP(A194,04_PROYECTOS!$A:$N,4,FALSE)="Privado", INDEX(02B_ESCENARIOS!$B$4:$D$11, MATCH("DSO_PRIVADO_DEFAULT", 02B_ESCENARIOS!$A$4:$A$11, 0), MATCH("Conservador", 02B_ESCENARIOS!$B$3:$D$3, 0)), IF(VLOOKUP(A194,04_PROYECTOS!$A:$N,4,FALSE)="Publico_&lt;10M",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VLOOKUP(A194,04_PROYECTOS!$A:$N,10,FALSE))</f>
        <v/>
      </c>
      <c r="I194">
        <f>ROUNDUP(H194/30,0)</f>
        <v/>
      </c>
      <c r="J194">
        <f>EDATE(C194,I194)</f>
        <v/>
      </c>
      <c r="K194">
        <f>G194</f>
        <v/>
      </c>
    </row>
    <row r="195">
      <c r="E195">
        <f>D195*VLOOKUP(A195,04_PROYECTOS!$A:$N,5,FALSE)*(INDEX(02B_ESCENARIOS!$B$4:$D$11, MATCH("MULT_PRECIO", 02B_ESCENARIOS!$A$4:$A$11, 0), MATCH("Conservador", 02B_ESCENARIOS!$B$3:$D$3, 0)))*INDEX(02B_ESCENARIOS!$B$15:$D$19, MATCH(VLOOKUP(A195,04_PROYECTOS!$A:$N,9,FALSE), 02B_ESCENARIOS!$A$15:$A$19, 0), MATCH("Conservador", 02B_ESCENARIOS!$B$14:$D$14, 0))</f>
        <v/>
      </c>
      <c r="F195">
        <f>E195*VLOOKUP(A195,04_PROYECTOS!$A:$N,6,FALSE)</f>
        <v/>
      </c>
      <c r="G195">
        <f>E195+F195</f>
        <v/>
      </c>
      <c r="H195">
        <f>IF(VLOOKUP(A195,04_PROYECTOS!$A:$N,10,FALSE)="", IF(VLOOKUP(A195,04_PROYECTOS!$A:$N,4,FALSE)="Privado", INDEX(02B_ESCENARIOS!$B$4:$D$11, MATCH("DSO_PRIVADO_DEFAULT", 02B_ESCENARIOS!$A$4:$A$11, 0), MATCH("Conservador", 02B_ESCENARIOS!$B$3:$D$3, 0)), IF(VLOOKUP(A195,04_PROYECTOS!$A:$N,4,FALSE)="Publico_&lt;10M",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VLOOKUP(A195,04_PROYECTOS!$A:$N,10,FALSE))</f>
        <v/>
      </c>
      <c r="I195">
        <f>ROUNDUP(H195/30,0)</f>
        <v/>
      </c>
      <c r="J195">
        <f>EDATE(C195,I195)</f>
        <v/>
      </c>
      <c r="K195">
        <f>G195</f>
        <v/>
      </c>
    </row>
    <row r="196">
      <c r="E196">
        <f>D196*VLOOKUP(A196,04_PROYECTOS!$A:$N,5,FALSE)*(INDEX(02B_ESCENARIOS!$B$4:$D$11, MATCH("MULT_PRECIO", 02B_ESCENARIOS!$A$4:$A$11, 0), MATCH("Conservador", 02B_ESCENARIOS!$B$3:$D$3, 0)))*INDEX(02B_ESCENARIOS!$B$15:$D$19, MATCH(VLOOKUP(A196,04_PROYECTOS!$A:$N,9,FALSE), 02B_ESCENARIOS!$A$15:$A$19, 0), MATCH("Conservador", 02B_ESCENARIOS!$B$14:$D$14, 0))</f>
        <v/>
      </c>
      <c r="F196">
        <f>E196*VLOOKUP(A196,04_PROYECTOS!$A:$N,6,FALSE)</f>
        <v/>
      </c>
      <c r="G196">
        <f>E196+F196</f>
        <v/>
      </c>
      <c r="H196">
        <f>IF(VLOOKUP(A196,04_PROYECTOS!$A:$N,10,FALSE)="", IF(VLOOKUP(A196,04_PROYECTOS!$A:$N,4,FALSE)="Privado", INDEX(02B_ESCENARIOS!$B$4:$D$11, MATCH("DSO_PRIVADO_DEFAULT", 02B_ESCENARIOS!$A$4:$A$11, 0), MATCH("Conservador", 02B_ESCENARIOS!$B$3:$D$3, 0)), IF(VLOOKUP(A196,04_PROYECTOS!$A:$N,4,FALSE)="Publico_&lt;10M",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VLOOKUP(A196,04_PROYECTOS!$A:$N,10,FALSE))</f>
        <v/>
      </c>
      <c r="I196">
        <f>ROUNDUP(H196/30,0)</f>
        <v/>
      </c>
      <c r="J196">
        <f>EDATE(C196,I196)</f>
        <v/>
      </c>
      <c r="K196">
        <f>G196</f>
        <v/>
      </c>
    </row>
    <row r="197">
      <c r="E197">
        <f>D197*VLOOKUP(A197,04_PROYECTOS!$A:$N,5,FALSE)*(INDEX(02B_ESCENARIOS!$B$4:$D$11, MATCH("MULT_PRECIO", 02B_ESCENARIOS!$A$4:$A$11, 0), MATCH("Conservador", 02B_ESCENARIOS!$B$3:$D$3, 0)))*INDEX(02B_ESCENARIOS!$B$15:$D$19, MATCH(VLOOKUP(A197,04_PROYECTOS!$A:$N,9,FALSE), 02B_ESCENARIOS!$A$15:$A$19, 0), MATCH("Conservador", 02B_ESCENARIOS!$B$14:$D$14, 0))</f>
        <v/>
      </c>
      <c r="F197">
        <f>E197*VLOOKUP(A197,04_PROYECTOS!$A:$N,6,FALSE)</f>
        <v/>
      </c>
      <c r="G197">
        <f>E197+F197</f>
        <v/>
      </c>
      <c r="H197">
        <f>IF(VLOOKUP(A197,04_PROYECTOS!$A:$N,10,FALSE)="", IF(VLOOKUP(A197,04_PROYECTOS!$A:$N,4,FALSE)="Privado", INDEX(02B_ESCENARIOS!$B$4:$D$11, MATCH("DSO_PRIVADO_DEFAULT", 02B_ESCENARIOS!$A$4:$A$11, 0), MATCH("Conservador", 02B_ESCENARIOS!$B$3:$D$3, 0)), IF(VLOOKUP(A197,04_PROYECTOS!$A:$N,4,FALSE)="Publico_&lt;10M",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VLOOKUP(A197,04_PROYECTOS!$A:$N,10,FALSE))</f>
        <v/>
      </c>
      <c r="I197">
        <f>ROUNDUP(H197/30,0)</f>
        <v/>
      </c>
      <c r="J197">
        <f>EDATE(C197,I197)</f>
        <v/>
      </c>
      <c r="K197">
        <f>G197</f>
        <v/>
      </c>
    </row>
    <row r="198">
      <c r="E198">
        <f>D198*VLOOKUP(A198,04_PROYECTOS!$A:$N,5,FALSE)*(INDEX(02B_ESCENARIOS!$B$4:$D$11, MATCH("MULT_PRECIO", 02B_ESCENARIOS!$A$4:$A$11, 0), MATCH("Conservador", 02B_ESCENARIOS!$B$3:$D$3, 0)))*INDEX(02B_ESCENARIOS!$B$15:$D$19, MATCH(VLOOKUP(A198,04_PROYECTOS!$A:$N,9,FALSE), 02B_ESCENARIOS!$A$15:$A$19, 0), MATCH("Conservador", 02B_ESCENARIOS!$B$14:$D$14, 0))</f>
        <v/>
      </c>
      <c r="F198">
        <f>E198*VLOOKUP(A198,04_PROYECTOS!$A:$N,6,FALSE)</f>
        <v/>
      </c>
      <c r="G198">
        <f>E198+F198</f>
        <v/>
      </c>
      <c r="H198">
        <f>IF(VLOOKUP(A198,04_PROYECTOS!$A:$N,10,FALSE)="", IF(VLOOKUP(A198,04_PROYECTOS!$A:$N,4,FALSE)="Privado", INDEX(02B_ESCENARIOS!$B$4:$D$11, MATCH("DSO_PRIVADO_DEFAULT", 02B_ESCENARIOS!$A$4:$A$11, 0), MATCH("Conservador", 02B_ESCENARIOS!$B$3:$D$3, 0)), IF(VLOOKUP(A198,04_PROYECTOS!$A:$N,4,FALSE)="Publico_&lt;10M",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VLOOKUP(A198,04_PROYECTOS!$A:$N,10,FALSE))</f>
        <v/>
      </c>
      <c r="I198">
        <f>ROUNDUP(H198/30,0)</f>
        <v/>
      </c>
      <c r="J198">
        <f>EDATE(C198,I198)</f>
        <v/>
      </c>
      <c r="K198">
        <f>G198</f>
        <v/>
      </c>
    </row>
    <row r="199">
      <c r="E199">
        <f>D199*VLOOKUP(A199,04_PROYECTOS!$A:$N,5,FALSE)*(INDEX(02B_ESCENARIOS!$B$4:$D$11, MATCH("MULT_PRECIO", 02B_ESCENARIOS!$A$4:$A$11, 0), MATCH("Conservador", 02B_ESCENARIOS!$B$3:$D$3, 0)))*INDEX(02B_ESCENARIOS!$B$15:$D$19, MATCH(VLOOKUP(A199,04_PROYECTOS!$A:$N,9,FALSE), 02B_ESCENARIOS!$A$15:$A$19, 0), MATCH("Conservador", 02B_ESCENARIOS!$B$14:$D$14, 0))</f>
        <v/>
      </c>
      <c r="F199">
        <f>E199*VLOOKUP(A199,04_PROYECTOS!$A:$N,6,FALSE)</f>
        <v/>
      </c>
      <c r="G199">
        <f>E199+F199</f>
        <v/>
      </c>
      <c r="H199">
        <f>IF(VLOOKUP(A199,04_PROYECTOS!$A:$N,10,FALSE)="", IF(VLOOKUP(A199,04_PROYECTOS!$A:$N,4,FALSE)="Privado", INDEX(02B_ESCENARIOS!$B$4:$D$11, MATCH("DSO_PRIVADO_DEFAULT", 02B_ESCENARIOS!$A$4:$A$11, 0), MATCH("Conservador", 02B_ESCENARIOS!$B$3:$D$3, 0)), IF(VLOOKUP(A199,04_PROYECTOS!$A:$N,4,FALSE)="Publico_&lt;10M",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VLOOKUP(A199,04_PROYECTOS!$A:$N,10,FALSE))</f>
        <v/>
      </c>
      <c r="I199">
        <f>ROUNDUP(H199/30,0)</f>
        <v/>
      </c>
      <c r="J199">
        <f>EDATE(C199,I199)</f>
        <v/>
      </c>
      <c r="K199">
        <f>G199</f>
        <v/>
      </c>
    </row>
    <row r="200">
      <c r="E200">
        <f>D200*VLOOKUP(A200,04_PROYECTOS!$A:$N,5,FALSE)*(INDEX(02B_ESCENARIOS!$B$4:$D$11, MATCH("MULT_PRECIO", 02B_ESCENARIOS!$A$4:$A$11, 0), MATCH("Conservador", 02B_ESCENARIOS!$B$3:$D$3, 0)))*INDEX(02B_ESCENARIOS!$B$15:$D$19, MATCH(VLOOKUP(A200,04_PROYECTOS!$A:$N,9,FALSE), 02B_ESCENARIOS!$A$15:$A$19, 0), MATCH("Conservador", 02B_ESCENARIOS!$B$14:$D$14, 0))</f>
        <v/>
      </c>
      <c r="F200">
        <f>E200*VLOOKUP(A200,04_PROYECTOS!$A:$N,6,FALSE)</f>
        <v/>
      </c>
      <c r="G200">
        <f>E200+F200</f>
        <v/>
      </c>
      <c r="H200">
        <f>IF(VLOOKUP(A200,04_PROYECTOS!$A:$N,10,FALSE)="", IF(VLOOKUP(A200,04_PROYECTOS!$A:$N,4,FALSE)="Privado", INDEX(02B_ESCENARIOS!$B$4:$D$11, MATCH("DSO_PRIVADO_DEFAULT", 02B_ESCENARIOS!$A$4:$A$11, 0), MATCH("Conservador", 02B_ESCENARIOS!$B$3:$D$3, 0)), IF(VLOOKUP(A200,04_PROYECTOS!$A:$N,4,FALSE)="Publico_&lt;10M",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VLOOKUP(A200,04_PROYECTOS!$A:$N,10,FALSE))</f>
        <v/>
      </c>
      <c r="I200">
        <f>ROUNDUP(H200/30,0)</f>
        <v/>
      </c>
      <c r="J200">
        <f>EDATE(C200,I200)</f>
        <v/>
      </c>
      <c r="K200">
        <f>G200</f>
        <v/>
      </c>
    </row>
    <row r="201">
      <c r="E201">
        <f>D201*VLOOKUP(A201,04_PROYECTOS!$A:$N,5,FALSE)*(INDEX(02B_ESCENARIOS!$B$4:$D$11, MATCH("MULT_PRECIO", 02B_ESCENARIOS!$A$4:$A$11, 0), MATCH("Conservador", 02B_ESCENARIOS!$B$3:$D$3, 0)))*INDEX(02B_ESCENARIOS!$B$15:$D$19, MATCH(VLOOKUP(A201,04_PROYECTOS!$A:$N,9,FALSE), 02B_ESCENARIOS!$A$15:$A$19, 0), MATCH("Conservador", 02B_ESCENARIOS!$B$14:$D$14, 0))</f>
        <v/>
      </c>
      <c r="F201">
        <f>E201*VLOOKUP(A201,04_PROYECTOS!$A:$N,6,FALSE)</f>
        <v/>
      </c>
      <c r="G201">
        <f>E201+F201</f>
        <v/>
      </c>
      <c r="H201">
        <f>IF(VLOOKUP(A201,04_PROYECTOS!$A:$N,10,FALSE)="", IF(VLOOKUP(A201,04_PROYECTOS!$A:$N,4,FALSE)="Privado", INDEX(02B_ESCENARIOS!$B$4:$D$11, MATCH("DSO_PRIVADO_DEFAULT", 02B_ESCENARIOS!$A$4:$A$11, 0), MATCH("Conservador", 02B_ESCENARIOS!$B$3:$D$3, 0)), IF(VLOOKUP(A201,04_PROYECTOS!$A:$N,4,FALSE)="Publico_&lt;10M",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VLOOKUP(A201,04_PROYECTOS!$A:$N,10,FALSE))</f>
        <v/>
      </c>
      <c r="I201">
        <f>ROUNDUP(H201/30,0)</f>
        <v/>
      </c>
      <c r="J201">
        <f>EDATE(C201,I201)</f>
        <v/>
      </c>
      <c r="K201">
        <f>G201</f>
        <v/>
      </c>
    </row>
    <row r="202">
      <c r="E202">
        <f>D202*VLOOKUP(A202,04_PROYECTOS!$A:$N,5,FALSE)*(INDEX(02B_ESCENARIOS!$B$4:$D$11, MATCH("MULT_PRECIO", 02B_ESCENARIOS!$A$4:$A$11, 0), MATCH("Conservador", 02B_ESCENARIOS!$B$3:$D$3, 0)))*INDEX(02B_ESCENARIOS!$B$15:$D$19, MATCH(VLOOKUP(A202,04_PROYECTOS!$A:$N,9,FALSE), 02B_ESCENARIOS!$A$15:$A$19, 0), MATCH("Conservador", 02B_ESCENARIOS!$B$14:$D$14, 0))</f>
        <v/>
      </c>
      <c r="F202">
        <f>E202*VLOOKUP(A202,04_PROYECTOS!$A:$N,6,FALSE)</f>
        <v/>
      </c>
      <c r="G202">
        <f>E202+F202</f>
        <v/>
      </c>
      <c r="H202">
        <f>IF(VLOOKUP(A202,04_PROYECTOS!$A:$N,10,FALSE)="", IF(VLOOKUP(A202,04_PROYECTOS!$A:$N,4,FALSE)="Privado", INDEX(02B_ESCENARIOS!$B$4:$D$11, MATCH("DSO_PRIVADO_DEFAULT", 02B_ESCENARIOS!$A$4:$A$11, 0), MATCH("Conservador", 02B_ESCENARIOS!$B$3:$D$3, 0)), IF(VLOOKUP(A202,04_PROYECTOS!$A:$N,4,FALSE)="Publico_&lt;10M",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VLOOKUP(A202,04_PROYECTOS!$A:$N,10,FALSE))</f>
        <v/>
      </c>
      <c r="I202">
        <f>ROUNDUP(H202/30,0)</f>
        <v/>
      </c>
      <c r="J202">
        <f>EDATE(C202,I202)</f>
        <v/>
      </c>
      <c r="K202">
        <f>G202</f>
        <v/>
      </c>
    </row>
    <row r="203">
      <c r="E203">
        <f>D203*VLOOKUP(A203,04_PROYECTOS!$A:$N,5,FALSE)*(INDEX(02B_ESCENARIOS!$B$4:$D$11, MATCH("MULT_PRECIO", 02B_ESCENARIOS!$A$4:$A$11, 0), MATCH("Conservador", 02B_ESCENARIOS!$B$3:$D$3, 0)))*INDEX(02B_ESCENARIOS!$B$15:$D$19, MATCH(VLOOKUP(A203,04_PROYECTOS!$A:$N,9,FALSE), 02B_ESCENARIOS!$A$15:$A$19, 0), MATCH("Conservador", 02B_ESCENARIOS!$B$14:$D$14, 0))</f>
        <v/>
      </c>
      <c r="F203">
        <f>E203*VLOOKUP(A203,04_PROYECTOS!$A:$N,6,FALSE)</f>
        <v/>
      </c>
      <c r="G203">
        <f>E203+F203</f>
        <v/>
      </c>
      <c r="H203">
        <f>IF(VLOOKUP(A203,04_PROYECTOS!$A:$N,10,FALSE)="", IF(VLOOKUP(A203,04_PROYECTOS!$A:$N,4,FALSE)="Privado", INDEX(02B_ESCENARIOS!$B$4:$D$11, MATCH("DSO_PRIVADO_DEFAULT", 02B_ESCENARIOS!$A$4:$A$11, 0), MATCH("Conservador", 02B_ESCENARIOS!$B$3:$D$3, 0)), IF(VLOOKUP(A203,04_PROYECTOS!$A:$N,4,FALSE)="Publico_&lt;10M",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VLOOKUP(A203,04_PROYECTOS!$A:$N,10,FALSE))</f>
        <v/>
      </c>
      <c r="I203">
        <f>ROUNDUP(H203/30,0)</f>
        <v/>
      </c>
      <c r="J203">
        <f>EDATE(C203,I203)</f>
        <v/>
      </c>
      <c r="K203">
        <f>G203</f>
        <v/>
      </c>
    </row>
    <row r="204">
      <c r="E204">
        <f>D204*VLOOKUP(A204,04_PROYECTOS!$A:$N,5,FALSE)*(INDEX(02B_ESCENARIOS!$B$4:$D$11, MATCH("MULT_PRECIO", 02B_ESCENARIOS!$A$4:$A$11, 0), MATCH("Conservador", 02B_ESCENARIOS!$B$3:$D$3, 0)))*INDEX(02B_ESCENARIOS!$B$15:$D$19, MATCH(VLOOKUP(A204,04_PROYECTOS!$A:$N,9,FALSE), 02B_ESCENARIOS!$A$15:$A$19, 0), MATCH("Conservador", 02B_ESCENARIOS!$B$14:$D$14, 0))</f>
        <v/>
      </c>
      <c r="F204">
        <f>E204*VLOOKUP(A204,04_PROYECTOS!$A:$N,6,FALSE)</f>
        <v/>
      </c>
      <c r="G204">
        <f>E204+F204</f>
        <v/>
      </c>
      <c r="H204">
        <f>IF(VLOOKUP(A204,04_PROYECTOS!$A:$N,10,FALSE)="", IF(VLOOKUP(A204,04_PROYECTOS!$A:$N,4,FALSE)="Privado", INDEX(02B_ESCENARIOS!$B$4:$D$11, MATCH("DSO_PRIVADO_DEFAULT", 02B_ESCENARIOS!$A$4:$A$11, 0), MATCH("Conservador", 02B_ESCENARIOS!$B$3:$D$3, 0)), IF(VLOOKUP(A204,04_PROYECTOS!$A:$N,4,FALSE)="Publico_&lt;10M",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VLOOKUP(A204,04_PROYECTOS!$A:$N,10,FALSE))</f>
        <v/>
      </c>
      <c r="I204">
        <f>ROUNDUP(H204/30,0)</f>
        <v/>
      </c>
      <c r="J204">
        <f>EDATE(C204,I204)</f>
        <v/>
      </c>
      <c r="K204">
        <f>G204</f>
        <v/>
      </c>
    </row>
    <row r="205">
      <c r="E205">
        <f>D205*VLOOKUP(A205,04_PROYECTOS!$A:$N,5,FALSE)*(INDEX(02B_ESCENARIOS!$B$4:$D$11, MATCH("MULT_PRECIO", 02B_ESCENARIOS!$A$4:$A$11, 0), MATCH("Conservador", 02B_ESCENARIOS!$B$3:$D$3, 0)))*INDEX(02B_ESCENARIOS!$B$15:$D$19, MATCH(VLOOKUP(A205,04_PROYECTOS!$A:$N,9,FALSE), 02B_ESCENARIOS!$A$15:$A$19, 0), MATCH("Conservador", 02B_ESCENARIOS!$B$14:$D$14, 0))</f>
        <v/>
      </c>
      <c r="F205">
        <f>E205*VLOOKUP(A205,04_PROYECTOS!$A:$N,6,FALSE)</f>
        <v/>
      </c>
      <c r="G205">
        <f>E205+F205</f>
        <v/>
      </c>
      <c r="H205">
        <f>IF(VLOOKUP(A205,04_PROYECTOS!$A:$N,10,FALSE)="", IF(VLOOKUP(A205,04_PROYECTOS!$A:$N,4,FALSE)="Privado", INDEX(02B_ESCENARIOS!$B$4:$D$11, MATCH("DSO_PRIVADO_DEFAULT", 02B_ESCENARIOS!$A$4:$A$11, 0), MATCH("Conservador", 02B_ESCENARIOS!$B$3:$D$3, 0)), IF(VLOOKUP(A205,04_PROYECTOS!$A:$N,4,FALSE)="Publico_&lt;10M",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VLOOKUP(A205,04_PROYECTOS!$A:$N,10,FALSE))</f>
        <v/>
      </c>
      <c r="I205">
        <f>ROUNDUP(H205/30,0)</f>
        <v/>
      </c>
      <c r="J205">
        <f>EDATE(C205,I205)</f>
        <v/>
      </c>
      <c r="K205">
        <f>G205</f>
        <v/>
      </c>
    </row>
    <row r="206">
      <c r="E206">
        <f>D206*VLOOKUP(A206,04_PROYECTOS!$A:$N,5,FALSE)*(INDEX(02B_ESCENARIOS!$B$4:$D$11, MATCH("MULT_PRECIO", 02B_ESCENARIOS!$A$4:$A$11, 0), MATCH("Conservador", 02B_ESCENARIOS!$B$3:$D$3, 0)))*INDEX(02B_ESCENARIOS!$B$15:$D$19, MATCH(VLOOKUP(A206,04_PROYECTOS!$A:$N,9,FALSE), 02B_ESCENARIOS!$A$15:$A$19, 0), MATCH("Conservador", 02B_ESCENARIOS!$B$14:$D$14, 0))</f>
        <v/>
      </c>
      <c r="F206">
        <f>E206*VLOOKUP(A206,04_PROYECTOS!$A:$N,6,FALSE)</f>
        <v/>
      </c>
      <c r="G206">
        <f>E206+F206</f>
        <v/>
      </c>
      <c r="H206">
        <f>IF(VLOOKUP(A206,04_PROYECTOS!$A:$N,10,FALSE)="", IF(VLOOKUP(A206,04_PROYECTOS!$A:$N,4,FALSE)="Privado", INDEX(02B_ESCENARIOS!$B$4:$D$11, MATCH("DSO_PRIVADO_DEFAULT", 02B_ESCENARIOS!$A$4:$A$11, 0), MATCH("Conservador", 02B_ESCENARIOS!$B$3:$D$3, 0)), IF(VLOOKUP(A206,04_PROYECTOS!$A:$N,4,FALSE)="Publico_&lt;10M",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VLOOKUP(A206,04_PROYECTOS!$A:$N,10,FALSE))</f>
        <v/>
      </c>
      <c r="I206">
        <f>ROUNDUP(H206/30,0)</f>
        <v/>
      </c>
      <c r="J206">
        <f>EDATE(C206,I206)</f>
        <v/>
      </c>
      <c r="K206">
        <f>G206</f>
        <v/>
      </c>
    </row>
    <row r="207">
      <c r="E207">
        <f>D207*VLOOKUP(A207,04_PROYECTOS!$A:$N,5,FALSE)*(INDEX(02B_ESCENARIOS!$B$4:$D$11, MATCH("MULT_PRECIO", 02B_ESCENARIOS!$A$4:$A$11, 0), MATCH("Conservador", 02B_ESCENARIOS!$B$3:$D$3, 0)))*INDEX(02B_ESCENARIOS!$B$15:$D$19, MATCH(VLOOKUP(A207,04_PROYECTOS!$A:$N,9,FALSE), 02B_ESCENARIOS!$A$15:$A$19, 0), MATCH("Conservador", 02B_ESCENARIOS!$B$14:$D$14, 0))</f>
        <v/>
      </c>
      <c r="F207">
        <f>E207*VLOOKUP(A207,04_PROYECTOS!$A:$N,6,FALSE)</f>
        <v/>
      </c>
      <c r="G207">
        <f>E207+F207</f>
        <v/>
      </c>
      <c r="H207">
        <f>IF(VLOOKUP(A207,04_PROYECTOS!$A:$N,10,FALSE)="", IF(VLOOKUP(A207,04_PROYECTOS!$A:$N,4,FALSE)="Privado", INDEX(02B_ESCENARIOS!$B$4:$D$11, MATCH("DSO_PRIVADO_DEFAULT", 02B_ESCENARIOS!$A$4:$A$11, 0), MATCH("Conservador", 02B_ESCENARIOS!$B$3:$D$3, 0)), IF(VLOOKUP(A207,04_PROYECTOS!$A:$N,4,FALSE)="Publico_&lt;10M",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VLOOKUP(A207,04_PROYECTOS!$A:$N,10,FALSE))</f>
        <v/>
      </c>
      <c r="I207">
        <f>ROUNDUP(H207/30,0)</f>
        <v/>
      </c>
      <c r="J207">
        <f>EDATE(C207,I207)</f>
        <v/>
      </c>
      <c r="K207">
        <f>G207</f>
        <v/>
      </c>
    </row>
    <row r="208">
      <c r="E208">
        <f>D208*VLOOKUP(A208,04_PROYECTOS!$A:$N,5,FALSE)*(INDEX(02B_ESCENARIOS!$B$4:$D$11, MATCH("MULT_PRECIO", 02B_ESCENARIOS!$A$4:$A$11, 0), MATCH("Conservador", 02B_ESCENARIOS!$B$3:$D$3, 0)))*INDEX(02B_ESCENARIOS!$B$15:$D$19, MATCH(VLOOKUP(A208,04_PROYECTOS!$A:$N,9,FALSE), 02B_ESCENARIOS!$A$15:$A$19, 0), MATCH("Conservador", 02B_ESCENARIOS!$B$14:$D$14, 0))</f>
        <v/>
      </c>
      <c r="F208">
        <f>E208*VLOOKUP(A208,04_PROYECTOS!$A:$N,6,FALSE)</f>
        <v/>
      </c>
      <c r="G208">
        <f>E208+F208</f>
        <v/>
      </c>
      <c r="H208">
        <f>IF(VLOOKUP(A208,04_PROYECTOS!$A:$N,10,FALSE)="", IF(VLOOKUP(A208,04_PROYECTOS!$A:$N,4,FALSE)="Privado", INDEX(02B_ESCENARIOS!$B$4:$D$11, MATCH("DSO_PRIVADO_DEFAULT", 02B_ESCENARIOS!$A$4:$A$11, 0), MATCH("Conservador", 02B_ESCENARIOS!$B$3:$D$3, 0)), IF(VLOOKUP(A208,04_PROYECTOS!$A:$N,4,FALSE)="Publico_&lt;10M",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VLOOKUP(A208,04_PROYECTOS!$A:$N,10,FALSE))</f>
        <v/>
      </c>
      <c r="I208">
        <f>ROUNDUP(H208/30,0)</f>
        <v/>
      </c>
      <c r="J208">
        <f>EDATE(C208,I208)</f>
        <v/>
      </c>
      <c r="K208">
        <f>G208</f>
        <v/>
      </c>
    </row>
    <row r="209">
      <c r="E209">
        <f>D209*VLOOKUP(A209,04_PROYECTOS!$A:$N,5,FALSE)*(INDEX(02B_ESCENARIOS!$B$4:$D$11, MATCH("MULT_PRECIO", 02B_ESCENARIOS!$A$4:$A$11, 0), MATCH("Conservador", 02B_ESCENARIOS!$B$3:$D$3, 0)))*INDEX(02B_ESCENARIOS!$B$15:$D$19, MATCH(VLOOKUP(A209,04_PROYECTOS!$A:$N,9,FALSE), 02B_ESCENARIOS!$A$15:$A$19, 0), MATCH("Conservador", 02B_ESCENARIOS!$B$14:$D$14, 0))</f>
        <v/>
      </c>
      <c r="F209">
        <f>E209*VLOOKUP(A209,04_PROYECTOS!$A:$N,6,FALSE)</f>
        <v/>
      </c>
      <c r="G209">
        <f>E209+F209</f>
        <v/>
      </c>
      <c r="H209">
        <f>IF(VLOOKUP(A209,04_PROYECTOS!$A:$N,10,FALSE)="", IF(VLOOKUP(A209,04_PROYECTOS!$A:$N,4,FALSE)="Privado", INDEX(02B_ESCENARIOS!$B$4:$D$11, MATCH("DSO_PRIVADO_DEFAULT", 02B_ESCENARIOS!$A$4:$A$11, 0), MATCH("Conservador", 02B_ESCENARIOS!$B$3:$D$3, 0)), IF(VLOOKUP(A209,04_PROYECTOS!$A:$N,4,FALSE)="Publico_&lt;10M",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VLOOKUP(A209,04_PROYECTOS!$A:$N,10,FALSE))</f>
        <v/>
      </c>
      <c r="I209">
        <f>ROUNDUP(H209/30,0)</f>
        <v/>
      </c>
      <c r="J209">
        <f>EDATE(C209,I209)</f>
        <v/>
      </c>
      <c r="K209">
        <f>G209</f>
        <v/>
      </c>
    </row>
    <row r="210">
      <c r="E210">
        <f>D210*VLOOKUP(A210,04_PROYECTOS!$A:$N,5,FALSE)*(INDEX(02B_ESCENARIOS!$B$4:$D$11, MATCH("MULT_PRECIO", 02B_ESCENARIOS!$A$4:$A$11, 0), MATCH("Conservador", 02B_ESCENARIOS!$B$3:$D$3, 0)))*INDEX(02B_ESCENARIOS!$B$15:$D$19, MATCH(VLOOKUP(A210,04_PROYECTOS!$A:$N,9,FALSE), 02B_ESCENARIOS!$A$15:$A$19, 0), MATCH("Conservador", 02B_ESCENARIOS!$B$14:$D$14, 0))</f>
        <v/>
      </c>
      <c r="F210">
        <f>E210*VLOOKUP(A210,04_PROYECTOS!$A:$N,6,FALSE)</f>
        <v/>
      </c>
      <c r="G210">
        <f>E210+F210</f>
        <v/>
      </c>
      <c r="H210">
        <f>IF(VLOOKUP(A210,04_PROYECTOS!$A:$N,10,FALSE)="", IF(VLOOKUP(A210,04_PROYECTOS!$A:$N,4,FALSE)="Privado", INDEX(02B_ESCENARIOS!$B$4:$D$11, MATCH("DSO_PRIVADO_DEFAULT", 02B_ESCENARIOS!$A$4:$A$11, 0), MATCH("Conservador", 02B_ESCENARIOS!$B$3:$D$3, 0)), IF(VLOOKUP(A210,04_PROYECTOS!$A:$N,4,FALSE)="Publico_&lt;10M",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VLOOKUP(A210,04_PROYECTOS!$A:$N,10,FALSE))</f>
        <v/>
      </c>
      <c r="I210">
        <f>ROUNDUP(H210/30,0)</f>
        <v/>
      </c>
      <c r="J210">
        <f>EDATE(C210,I210)</f>
        <v/>
      </c>
      <c r="K210">
        <f>G210</f>
        <v/>
      </c>
    </row>
    <row r="211">
      <c r="E211">
        <f>D211*VLOOKUP(A211,04_PROYECTOS!$A:$N,5,FALSE)*(INDEX(02B_ESCENARIOS!$B$4:$D$11, MATCH("MULT_PRECIO", 02B_ESCENARIOS!$A$4:$A$11, 0), MATCH("Conservador", 02B_ESCENARIOS!$B$3:$D$3, 0)))*INDEX(02B_ESCENARIOS!$B$15:$D$19, MATCH(VLOOKUP(A211,04_PROYECTOS!$A:$N,9,FALSE), 02B_ESCENARIOS!$A$15:$A$19, 0), MATCH("Conservador", 02B_ESCENARIOS!$B$14:$D$14, 0))</f>
        <v/>
      </c>
      <c r="F211">
        <f>E211*VLOOKUP(A211,04_PROYECTOS!$A:$N,6,FALSE)</f>
        <v/>
      </c>
      <c r="G211">
        <f>E211+F211</f>
        <v/>
      </c>
      <c r="H211">
        <f>IF(VLOOKUP(A211,04_PROYECTOS!$A:$N,10,FALSE)="", IF(VLOOKUP(A211,04_PROYECTOS!$A:$N,4,FALSE)="Privado", INDEX(02B_ESCENARIOS!$B$4:$D$11, MATCH("DSO_PRIVADO_DEFAULT", 02B_ESCENARIOS!$A$4:$A$11, 0), MATCH("Conservador", 02B_ESCENARIOS!$B$3:$D$3, 0)), IF(VLOOKUP(A211,04_PROYECTOS!$A:$N,4,FALSE)="Publico_&lt;10M",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VLOOKUP(A211,04_PROYECTOS!$A:$N,10,FALSE))</f>
        <v/>
      </c>
      <c r="I211">
        <f>ROUNDUP(H211/30,0)</f>
        <v/>
      </c>
      <c r="J211">
        <f>EDATE(C211,I211)</f>
        <v/>
      </c>
      <c r="K211">
        <f>G211</f>
        <v/>
      </c>
    </row>
    <row r="212">
      <c r="E212">
        <f>D212*VLOOKUP(A212,04_PROYECTOS!$A:$N,5,FALSE)*(INDEX(02B_ESCENARIOS!$B$4:$D$11, MATCH("MULT_PRECIO", 02B_ESCENARIOS!$A$4:$A$11, 0), MATCH("Conservador", 02B_ESCENARIOS!$B$3:$D$3, 0)))*INDEX(02B_ESCENARIOS!$B$15:$D$19, MATCH(VLOOKUP(A212,04_PROYECTOS!$A:$N,9,FALSE), 02B_ESCENARIOS!$A$15:$A$19, 0), MATCH("Conservador", 02B_ESCENARIOS!$B$14:$D$14, 0))</f>
        <v/>
      </c>
      <c r="F212">
        <f>E212*VLOOKUP(A212,04_PROYECTOS!$A:$N,6,FALSE)</f>
        <v/>
      </c>
      <c r="G212">
        <f>E212+F212</f>
        <v/>
      </c>
      <c r="H212">
        <f>IF(VLOOKUP(A212,04_PROYECTOS!$A:$N,10,FALSE)="", IF(VLOOKUP(A212,04_PROYECTOS!$A:$N,4,FALSE)="Privado", INDEX(02B_ESCENARIOS!$B$4:$D$11, MATCH("DSO_PRIVADO_DEFAULT", 02B_ESCENARIOS!$A$4:$A$11, 0), MATCH("Conservador", 02B_ESCENARIOS!$B$3:$D$3, 0)), IF(VLOOKUP(A212,04_PROYECTOS!$A:$N,4,FALSE)="Publico_&lt;10M",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VLOOKUP(A212,04_PROYECTOS!$A:$N,10,FALSE))</f>
        <v/>
      </c>
      <c r="I212">
        <f>ROUNDUP(H212/30,0)</f>
        <v/>
      </c>
      <c r="J212">
        <f>EDATE(C212,I212)</f>
        <v/>
      </c>
      <c r="K212">
        <f>G212</f>
        <v/>
      </c>
    </row>
    <row r="213">
      <c r="E213">
        <f>D213*VLOOKUP(A213,04_PROYECTOS!$A:$N,5,FALSE)*(INDEX(02B_ESCENARIOS!$B$4:$D$11, MATCH("MULT_PRECIO", 02B_ESCENARIOS!$A$4:$A$11, 0), MATCH("Conservador", 02B_ESCENARIOS!$B$3:$D$3, 0)))*INDEX(02B_ESCENARIOS!$B$15:$D$19, MATCH(VLOOKUP(A213,04_PROYECTOS!$A:$N,9,FALSE), 02B_ESCENARIOS!$A$15:$A$19, 0), MATCH("Conservador", 02B_ESCENARIOS!$B$14:$D$14, 0))</f>
        <v/>
      </c>
      <c r="F213">
        <f>E213*VLOOKUP(A213,04_PROYECTOS!$A:$N,6,FALSE)</f>
        <v/>
      </c>
      <c r="G213">
        <f>E213+F213</f>
        <v/>
      </c>
      <c r="H213">
        <f>IF(VLOOKUP(A213,04_PROYECTOS!$A:$N,10,FALSE)="", IF(VLOOKUP(A213,04_PROYECTOS!$A:$N,4,FALSE)="Privado", INDEX(02B_ESCENARIOS!$B$4:$D$11, MATCH("DSO_PRIVADO_DEFAULT", 02B_ESCENARIOS!$A$4:$A$11, 0), MATCH("Conservador", 02B_ESCENARIOS!$B$3:$D$3, 0)), IF(VLOOKUP(A213,04_PROYECTOS!$A:$N,4,FALSE)="Publico_&lt;10M",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VLOOKUP(A213,04_PROYECTOS!$A:$N,10,FALSE))</f>
        <v/>
      </c>
      <c r="I213">
        <f>ROUNDUP(H213/30,0)</f>
        <v/>
      </c>
      <c r="J213">
        <f>EDATE(C213,I213)</f>
        <v/>
      </c>
      <c r="K213">
        <f>G213</f>
        <v/>
      </c>
    </row>
    <row r="214">
      <c r="E214">
        <f>D214*VLOOKUP(A214,04_PROYECTOS!$A:$N,5,FALSE)*(INDEX(02B_ESCENARIOS!$B$4:$D$11, MATCH("MULT_PRECIO", 02B_ESCENARIOS!$A$4:$A$11, 0), MATCH("Conservador", 02B_ESCENARIOS!$B$3:$D$3, 0)))*INDEX(02B_ESCENARIOS!$B$15:$D$19, MATCH(VLOOKUP(A214,04_PROYECTOS!$A:$N,9,FALSE), 02B_ESCENARIOS!$A$15:$A$19, 0), MATCH("Conservador", 02B_ESCENARIOS!$B$14:$D$14, 0))</f>
        <v/>
      </c>
      <c r="F214">
        <f>E214*VLOOKUP(A214,04_PROYECTOS!$A:$N,6,FALSE)</f>
        <v/>
      </c>
      <c r="G214">
        <f>E214+F214</f>
        <v/>
      </c>
      <c r="H214">
        <f>IF(VLOOKUP(A214,04_PROYECTOS!$A:$N,10,FALSE)="", IF(VLOOKUP(A214,04_PROYECTOS!$A:$N,4,FALSE)="Privado", INDEX(02B_ESCENARIOS!$B$4:$D$11, MATCH("DSO_PRIVADO_DEFAULT", 02B_ESCENARIOS!$A$4:$A$11, 0), MATCH("Conservador", 02B_ESCENARIOS!$B$3:$D$3, 0)), IF(VLOOKUP(A214,04_PROYECTOS!$A:$N,4,FALSE)="Publico_&lt;10M",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VLOOKUP(A214,04_PROYECTOS!$A:$N,10,FALSE))</f>
        <v/>
      </c>
      <c r="I214">
        <f>ROUNDUP(H214/30,0)</f>
        <v/>
      </c>
      <c r="J214">
        <f>EDATE(C214,I214)</f>
        <v/>
      </c>
      <c r="K214">
        <f>G214</f>
        <v/>
      </c>
    </row>
    <row r="215">
      <c r="E215">
        <f>D215*VLOOKUP(A215,04_PROYECTOS!$A:$N,5,FALSE)*(INDEX(02B_ESCENARIOS!$B$4:$D$11, MATCH("MULT_PRECIO", 02B_ESCENARIOS!$A$4:$A$11, 0), MATCH("Conservador", 02B_ESCENARIOS!$B$3:$D$3, 0)))*INDEX(02B_ESCENARIOS!$B$15:$D$19, MATCH(VLOOKUP(A215,04_PROYECTOS!$A:$N,9,FALSE), 02B_ESCENARIOS!$A$15:$A$19, 0), MATCH("Conservador", 02B_ESCENARIOS!$B$14:$D$14, 0))</f>
        <v/>
      </c>
      <c r="F215">
        <f>E215*VLOOKUP(A215,04_PROYECTOS!$A:$N,6,FALSE)</f>
        <v/>
      </c>
      <c r="G215">
        <f>E215+F215</f>
        <v/>
      </c>
      <c r="H215">
        <f>IF(VLOOKUP(A215,04_PROYECTOS!$A:$N,10,FALSE)="", IF(VLOOKUP(A215,04_PROYECTOS!$A:$N,4,FALSE)="Privado", INDEX(02B_ESCENARIOS!$B$4:$D$11, MATCH("DSO_PRIVADO_DEFAULT", 02B_ESCENARIOS!$A$4:$A$11, 0), MATCH("Conservador", 02B_ESCENARIOS!$B$3:$D$3, 0)), IF(VLOOKUP(A215,04_PROYECTOS!$A:$N,4,FALSE)="Publico_&lt;10M",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VLOOKUP(A215,04_PROYECTOS!$A:$N,10,FALSE))</f>
        <v/>
      </c>
      <c r="I215">
        <f>ROUNDUP(H215/30,0)</f>
        <v/>
      </c>
      <c r="J215">
        <f>EDATE(C215,I215)</f>
        <v/>
      </c>
      <c r="K215">
        <f>G215</f>
        <v/>
      </c>
    </row>
    <row r="216">
      <c r="E216">
        <f>D216*VLOOKUP(A216,04_PROYECTOS!$A:$N,5,FALSE)*(INDEX(02B_ESCENARIOS!$B$4:$D$11, MATCH("MULT_PRECIO", 02B_ESCENARIOS!$A$4:$A$11, 0), MATCH("Conservador", 02B_ESCENARIOS!$B$3:$D$3, 0)))*INDEX(02B_ESCENARIOS!$B$15:$D$19, MATCH(VLOOKUP(A216,04_PROYECTOS!$A:$N,9,FALSE), 02B_ESCENARIOS!$A$15:$A$19, 0), MATCH("Conservador", 02B_ESCENARIOS!$B$14:$D$14, 0))</f>
        <v/>
      </c>
      <c r="F216">
        <f>E216*VLOOKUP(A216,04_PROYECTOS!$A:$N,6,FALSE)</f>
        <v/>
      </c>
      <c r="G216">
        <f>E216+F216</f>
        <v/>
      </c>
      <c r="H216">
        <f>IF(VLOOKUP(A216,04_PROYECTOS!$A:$N,10,FALSE)="", IF(VLOOKUP(A216,04_PROYECTOS!$A:$N,4,FALSE)="Privado", INDEX(02B_ESCENARIOS!$B$4:$D$11, MATCH("DSO_PRIVADO_DEFAULT", 02B_ESCENARIOS!$A$4:$A$11, 0), MATCH("Conservador", 02B_ESCENARIOS!$B$3:$D$3, 0)), IF(VLOOKUP(A216,04_PROYECTOS!$A:$N,4,FALSE)="Publico_&lt;10M",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VLOOKUP(A216,04_PROYECTOS!$A:$N,10,FALSE))</f>
        <v/>
      </c>
      <c r="I216">
        <f>ROUNDUP(H216/30,0)</f>
        <v/>
      </c>
      <c r="J216">
        <f>EDATE(C216,I216)</f>
        <v/>
      </c>
      <c r="K216">
        <f>G216</f>
        <v/>
      </c>
    </row>
    <row r="217">
      <c r="E217">
        <f>D217*VLOOKUP(A217,04_PROYECTOS!$A:$N,5,FALSE)*(INDEX(02B_ESCENARIOS!$B$4:$D$11, MATCH("MULT_PRECIO", 02B_ESCENARIOS!$A$4:$A$11, 0), MATCH("Conservador", 02B_ESCENARIOS!$B$3:$D$3, 0)))*INDEX(02B_ESCENARIOS!$B$15:$D$19, MATCH(VLOOKUP(A217,04_PROYECTOS!$A:$N,9,FALSE), 02B_ESCENARIOS!$A$15:$A$19, 0), MATCH("Conservador", 02B_ESCENARIOS!$B$14:$D$14, 0))</f>
        <v/>
      </c>
      <c r="F217">
        <f>E217*VLOOKUP(A217,04_PROYECTOS!$A:$N,6,FALSE)</f>
        <v/>
      </c>
      <c r="G217">
        <f>E217+F217</f>
        <v/>
      </c>
      <c r="H217">
        <f>IF(VLOOKUP(A217,04_PROYECTOS!$A:$N,10,FALSE)="", IF(VLOOKUP(A217,04_PROYECTOS!$A:$N,4,FALSE)="Privado", INDEX(02B_ESCENARIOS!$B$4:$D$11, MATCH("DSO_PRIVADO_DEFAULT", 02B_ESCENARIOS!$A$4:$A$11, 0), MATCH("Conservador", 02B_ESCENARIOS!$B$3:$D$3, 0)), IF(VLOOKUP(A217,04_PROYECTOS!$A:$N,4,FALSE)="Publico_&lt;10M",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VLOOKUP(A217,04_PROYECTOS!$A:$N,10,FALSE))</f>
        <v/>
      </c>
      <c r="I217">
        <f>ROUNDUP(H217/30,0)</f>
        <v/>
      </c>
      <c r="J217">
        <f>EDATE(C217,I217)</f>
        <v/>
      </c>
      <c r="K217">
        <f>G217</f>
        <v/>
      </c>
    </row>
    <row r="218">
      <c r="E218">
        <f>D218*VLOOKUP(A218,04_PROYECTOS!$A:$N,5,FALSE)*(INDEX(02B_ESCENARIOS!$B$4:$D$11, MATCH("MULT_PRECIO", 02B_ESCENARIOS!$A$4:$A$11, 0), MATCH("Conservador", 02B_ESCENARIOS!$B$3:$D$3, 0)))*INDEX(02B_ESCENARIOS!$B$15:$D$19, MATCH(VLOOKUP(A218,04_PROYECTOS!$A:$N,9,FALSE), 02B_ESCENARIOS!$A$15:$A$19, 0), MATCH("Conservador", 02B_ESCENARIOS!$B$14:$D$14, 0))</f>
        <v/>
      </c>
      <c r="F218">
        <f>E218*VLOOKUP(A218,04_PROYECTOS!$A:$N,6,FALSE)</f>
        <v/>
      </c>
      <c r="G218">
        <f>E218+F218</f>
        <v/>
      </c>
      <c r="H218">
        <f>IF(VLOOKUP(A218,04_PROYECTOS!$A:$N,10,FALSE)="", IF(VLOOKUP(A218,04_PROYECTOS!$A:$N,4,FALSE)="Privado", INDEX(02B_ESCENARIOS!$B$4:$D$11, MATCH("DSO_PRIVADO_DEFAULT", 02B_ESCENARIOS!$A$4:$A$11, 0), MATCH("Conservador", 02B_ESCENARIOS!$B$3:$D$3, 0)), IF(VLOOKUP(A218,04_PROYECTOS!$A:$N,4,FALSE)="Publico_&lt;10M",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VLOOKUP(A218,04_PROYECTOS!$A:$N,10,FALSE))</f>
        <v/>
      </c>
      <c r="I218">
        <f>ROUNDUP(H218/30,0)</f>
        <v/>
      </c>
      <c r="J218">
        <f>EDATE(C218,I218)</f>
        <v/>
      </c>
      <c r="K218">
        <f>G218</f>
        <v/>
      </c>
    </row>
    <row r="219">
      <c r="E219">
        <f>D219*VLOOKUP(A219,04_PROYECTOS!$A:$N,5,FALSE)*(INDEX(02B_ESCENARIOS!$B$4:$D$11, MATCH("MULT_PRECIO", 02B_ESCENARIOS!$A$4:$A$11, 0), MATCH("Conservador", 02B_ESCENARIOS!$B$3:$D$3, 0)))*INDEX(02B_ESCENARIOS!$B$15:$D$19, MATCH(VLOOKUP(A219,04_PROYECTOS!$A:$N,9,FALSE), 02B_ESCENARIOS!$A$15:$A$19, 0), MATCH("Conservador", 02B_ESCENARIOS!$B$14:$D$14, 0))</f>
        <v/>
      </c>
      <c r="F219">
        <f>E219*VLOOKUP(A219,04_PROYECTOS!$A:$N,6,FALSE)</f>
        <v/>
      </c>
      <c r="G219">
        <f>E219+F219</f>
        <v/>
      </c>
      <c r="H219">
        <f>IF(VLOOKUP(A219,04_PROYECTOS!$A:$N,10,FALSE)="", IF(VLOOKUP(A219,04_PROYECTOS!$A:$N,4,FALSE)="Privado", INDEX(02B_ESCENARIOS!$B$4:$D$11, MATCH("DSO_PRIVADO_DEFAULT", 02B_ESCENARIOS!$A$4:$A$11, 0), MATCH("Conservador", 02B_ESCENARIOS!$B$3:$D$3, 0)), IF(VLOOKUP(A219,04_PROYECTOS!$A:$N,4,FALSE)="Publico_&lt;10M",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VLOOKUP(A219,04_PROYECTOS!$A:$N,10,FALSE))</f>
        <v/>
      </c>
      <c r="I219">
        <f>ROUNDUP(H219/30,0)</f>
        <v/>
      </c>
      <c r="J219">
        <f>EDATE(C219,I219)</f>
        <v/>
      </c>
      <c r="K219">
        <f>G219</f>
        <v/>
      </c>
    </row>
    <row r="220">
      <c r="E220">
        <f>D220*VLOOKUP(A220,04_PROYECTOS!$A:$N,5,FALSE)*(INDEX(02B_ESCENARIOS!$B$4:$D$11, MATCH("MULT_PRECIO", 02B_ESCENARIOS!$A$4:$A$11, 0), MATCH("Conservador", 02B_ESCENARIOS!$B$3:$D$3, 0)))*INDEX(02B_ESCENARIOS!$B$15:$D$19, MATCH(VLOOKUP(A220,04_PROYECTOS!$A:$N,9,FALSE), 02B_ESCENARIOS!$A$15:$A$19, 0), MATCH("Conservador", 02B_ESCENARIOS!$B$14:$D$14, 0))</f>
        <v/>
      </c>
      <c r="F220">
        <f>E220*VLOOKUP(A220,04_PROYECTOS!$A:$N,6,FALSE)</f>
        <v/>
      </c>
      <c r="G220">
        <f>E220+F220</f>
        <v/>
      </c>
      <c r="H220">
        <f>IF(VLOOKUP(A220,04_PROYECTOS!$A:$N,10,FALSE)="", IF(VLOOKUP(A220,04_PROYECTOS!$A:$N,4,FALSE)="Privado", INDEX(02B_ESCENARIOS!$B$4:$D$11, MATCH("DSO_PRIVADO_DEFAULT", 02B_ESCENARIOS!$A$4:$A$11, 0), MATCH("Conservador", 02B_ESCENARIOS!$B$3:$D$3, 0)), IF(VLOOKUP(A220,04_PROYECTOS!$A:$N,4,FALSE)="Publico_&lt;10M",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VLOOKUP(A220,04_PROYECTOS!$A:$N,10,FALSE))</f>
        <v/>
      </c>
      <c r="I220">
        <f>ROUNDUP(H220/30,0)</f>
        <v/>
      </c>
      <c r="J220">
        <f>EDATE(C220,I220)</f>
        <v/>
      </c>
      <c r="K220">
        <f>G220</f>
        <v/>
      </c>
    </row>
    <row r="221">
      <c r="E221">
        <f>D221*VLOOKUP(A221,04_PROYECTOS!$A:$N,5,FALSE)*(INDEX(02B_ESCENARIOS!$B$4:$D$11, MATCH("MULT_PRECIO", 02B_ESCENARIOS!$A$4:$A$11, 0), MATCH("Conservador", 02B_ESCENARIOS!$B$3:$D$3, 0)))*INDEX(02B_ESCENARIOS!$B$15:$D$19, MATCH(VLOOKUP(A221,04_PROYECTOS!$A:$N,9,FALSE), 02B_ESCENARIOS!$A$15:$A$19, 0), MATCH("Conservador", 02B_ESCENARIOS!$B$14:$D$14, 0))</f>
        <v/>
      </c>
      <c r="F221">
        <f>E221*VLOOKUP(A221,04_PROYECTOS!$A:$N,6,FALSE)</f>
        <v/>
      </c>
      <c r="G221">
        <f>E221+F221</f>
        <v/>
      </c>
      <c r="H221">
        <f>IF(VLOOKUP(A221,04_PROYECTOS!$A:$N,10,FALSE)="", IF(VLOOKUP(A221,04_PROYECTOS!$A:$N,4,FALSE)="Privado", INDEX(02B_ESCENARIOS!$B$4:$D$11, MATCH("DSO_PRIVADO_DEFAULT", 02B_ESCENARIOS!$A$4:$A$11, 0), MATCH("Conservador", 02B_ESCENARIOS!$B$3:$D$3, 0)), IF(VLOOKUP(A221,04_PROYECTOS!$A:$N,4,FALSE)="Publico_&lt;10M",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VLOOKUP(A221,04_PROYECTOS!$A:$N,10,FALSE))</f>
        <v/>
      </c>
      <c r="I221">
        <f>ROUNDUP(H221/30,0)</f>
        <v/>
      </c>
      <c r="J221">
        <f>EDATE(C221,I221)</f>
        <v/>
      </c>
      <c r="K221">
        <f>G221</f>
        <v/>
      </c>
    </row>
    <row r="222">
      <c r="E222">
        <f>D222*VLOOKUP(A222,04_PROYECTOS!$A:$N,5,FALSE)*(INDEX(02B_ESCENARIOS!$B$4:$D$11, MATCH("MULT_PRECIO", 02B_ESCENARIOS!$A$4:$A$11, 0), MATCH("Conservador", 02B_ESCENARIOS!$B$3:$D$3, 0)))*INDEX(02B_ESCENARIOS!$B$15:$D$19, MATCH(VLOOKUP(A222,04_PROYECTOS!$A:$N,9,FALSE), 02B_ESCENARIOS!$A$15:$A$19, 0), MATCH("Conservador", 02B_ESCENARIOS!$B$14:$D$14, 0))</f>
        <v/>
      </c>
      <c r="F222">
        <f>E222*VLOOKUP(A222,04_PROYECTOS!$A:$N,6,FALSE)</f>
        <v/>
      </c>
      <c r="G222">
        <f>E222+F222</f>
        <v/>
      </c>
      <c r="H222">
        <f>IF(VLOOKUP(A222,04_PROYECTOS!$A:$N,10,FALSE)="", IF(VLOOKUP(A222,04_PROYECTOS!$A:$N,4,FALSE)="Privado", INDEX(02B_ESCENARIOS!$B$4:$D$11, MATCH("DSO_PRIVADO_DEFAULT", 02B_ESCENARIOS!$A$4:$A$11, 0), MATCH("Conservador", 02B_ESCENARIOS!$B$3:$D$3, 0)), IF(VLOOKUP(A222,04_PROYECTOS!$A:$N,4,FALSE)="Publico_&lt;10M",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VLOOKUP(A222,04_PROYECTOS!$A:$N,10,FALSE))</f>
        <v/>
      </c>
      <c r="I222">
        <f>ROUNDUP(H222/30,0)</f>
        <v/>
      </c>
      <c r="J222">
        <f>EDATE(C222,I222)</f>
        <v/>
      </c>
      <c r="K222">
        <f>G222</f>
        <v/>
      </c>
    </row>
    <row r="223">
      <c r="E223">
        <f>D223*VLOOKUP(A223,04_PROYECTOS!$A:$N,5,FALSE)*(INDEX(02B_ESCENARIOS!$B$4:$D$11, MATCH("MULT_PRECIO", 02B_ESCENARIOS!$A$4:$A$11, 0), MATCH("Conservador", 02B_ESCENARIOS!$B$3:$D$3, 0)))*INDEX(02B_ESCENARIOS!$B$15:$D$19, MATCH(VLOOKUP(A223,04_PROYECTOS!$A:$N,9,FALSE), 02B_ESCENARIOS!$A$15:$A$19, 0), MATCH("Conservador", 02B_ESCENARIOS!$B$14:$D$14, 0))</f>
        <v/>
      </c>
      <c r="F223">
        <f>E223*VLOOKUP(A223,04_PROYECTOS!$A:$N,6,FALSE)</f>
        <v/>
      </c>
      <c r="G223">
        <f>E223+F223</f>
        <v/>
      </c>
      <c r="H223">
        <f>IF(VLOOKUP(A223,04_PROYECTOS!$A:$N,10,FALSE)="", IF(VLOOKUP(A223,04_PROYECTOS!$A:$N,4,FALSE)="Privado", INDEX(02B_ESCENARIOS!$B$4:$D$11, MATCH("DSO_PRIVADO_DEFAULT", 02B_ESCENARIOS!$A$4:$A$11, 0), MATCH("Conservador", 02B_ESCENARIOS!$B$3:$D$3, 0)), IF(VLOOKUP(A223,04_PROYECTOS!$A:$N,4,FALSE)="Publico_&lt;10M",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VLOOKUP(A223,04_PROYECTOS!$A:$N,10,FALSE))</f>
        <v/>
      </c>
      <c r="I223">
        <f>ROUNDUP(H223/30,0)</f>
        <v/>
      </c>
      <c r="J223">
        <f>EDATE(C223,I223)</f>
        <v/>
      </c>
      <c r="K223">
        <f>G223</f>
        <v/>
      </c>
    </row>
    <row r="224">
      <c r="E224">
        <f>D224*VLOOKUP(A224,04_PROYECTOS!$A:$N,5,FALSE)*(INDEX(02B_ESCENARIOS!$B$4:$D$11, MATCH("MULT_PRECIO", 02B_ESCENARIOS!$A$4:$A$11, 0), MATCH("Conservador", 02B_ESCENARIOS!$B$3:$D$3, 0)))*INDEX(02B_ESCENARIOS!$B$15:$D$19, MATCH(VLOOKUP(A224,04_PROYECTOS!$A:$N,9,FALSE), 02B_ESCENARIOS!$A$15:$A$19, 0), MATCH("Conservador", 02B_ESCENARIOS!$B$14:$D$14, 0))</f>
        <v/>
      </c>
      <c r="F224">
        <f>E224*VLOOKUP(A224,04_PROYECTOS!$A:$N,6,FALSE)</f>
        <v/>
      </c>
      <c r="G224">
        <f>E224+F224</f>
        <v/>
      </c>
      <c r="H224">
        <f>IF(VLOOKUP(A224,04_PROYECTOS!$A:$N,10,FALSE)="", IF(VLOOKUP(A224,04_PROYECTOS!$A:$N,4,FALSE)="Privado", INDEX(02B_ESCENARIOS!$B$4:$D$11, MATCH("DSO_PRIVADO_DEFAULT", 02B_ESCENARIOS!$A$4:$A$11, 0), MATCH("Conservador", 02B_ESCENARIOS!$B$3:$D$3, 0)), IF(VLOOKUP(A224,04_PROYECTOS!$A:$N,4,FALSE)="Publico_&lt;10M",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VLOOKUP(A224,04_PROYECTOS!$A:$N,10,FALSE))</f>
        <v/>
      </c>
      <c r="I224">
        <f>ROUNDUP(H224/30,0)</f>
        <v/>
      </c>
      <c r="J224">
        <f>EDATE(C224,I224)</f>
        <v/>
      </c>
      <c r="K224">
        <f>G224</f>
        <v/>
      </c>
    </row>
    <row r="225">
      <c r="E225">
        <f>D225*VLOOKUP(A225,04_PROYECTOS!$A:$N,5,FALSE)*(INDEX(02B_ESCENARIOS!$B$4:$D$11, MATCH("MULT_PRECIO", 02B_ESCENARIOS!$A$4:$A$11, 0), MATCH("Conservador", 02B_ESCENARIOS!$B$3:$D$3, 0)))*INDEX(02B_ESCENARIOS!$B$15:$D$19, MATCH(VLOOKUP(A225,04_PROYECTOS!$A:$N,9,FALSE), 02B_ESCENARIOS!$A$15:$A$19, 0), MATCH("Conservador", 02B_ESCENARIOS!$B$14:$D$14, 0))</f>
        <v/>
      </c>
      <c r="F225">
        <f>E225*VLOOKUP(A225,04_PROYECTOS!$A:$N,6,FALSE)</f>
        <v/>
      </c>
      <c r="G225">
        <f>E225+F225</f>
        <v/>
      </c>
      <c r="H225">
        <f>IF(VLOOKUP(A225,04_PROYECTOS!$A:$N,10,FALSE)="", IF(VLOOKUP(A225,04_PROYECTOS!$A:$N,4,FALSE)="Privado", INDEX(02B_ESCENARIOS!$B$4:$D$11, MATCH("DSO_PRIVADO_DEFAULT", 02B_ESCENARIOS!$A$4:$A$11, 0), MATCH("Conservador", 02B_ESCENARIOS!$B$3:$D$3, 0)), IF(VLOOKUP(A225,04_PROYECTOS!$A:$N,4,FALSE)="Publico_&lt;10M",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VLOOKUP(A225,04_PROYECTOS!$A:$N,10,FALSE))</f>
        <v/>
      </c>
      <c r="I225">
        <f>ROUNDUP(H225/30,0)</f>
        <v/>
      </c>
      <c r="J225">
        <f>EDATE(C225,I225)</f>
        <v/>
      </c>
      <c r="K225">
        <f>G225</f>
        <v/>
      </c>
    </row>
    <row r="226">
      <c r="E226">
        <f>D226*VLOOKUP(A226,04_PROYECTOS!$A:$N,5,FALSE)*(INDEX(02B_ESCENARIOS!$B$4:$D$11, MATCH("MULT_PRECIO", 02B_ESCENARIOS!$A$4:$A$11, 0), MATCH("Conservador", 02B_ESCENARIOS!$B$3:$D$3, 0)))*INDEX(02B_ESCENARIOS!$B$15:$D$19, MATCH(VLOOKUP(A226,04_PROYECTOS!$A:$N,9,FALSE), 02B_ESCENARIOS!$A$15:$A$19, 0), MATCH("Conservador", 02B_ESCENARIOS!$B$14:$D$14, 0))</f>
        <v/>
      </c>
      <c r="F226">
        <f>E226*VLOOKUP(A226,04_PROYECTOS!$A:$N,6,FALSE)</f>
        <v/>
      </c>
      <c r="G226">
        <f>E226+F226</f>
        <v/>
      </c>
      <c r="H226">
        <f>IF(VLOOKUP(A226,04_PROYECTOS!$A:$N,10,FALSE)="", IF(VLOOKUP(A226,04_PROYECTOS!$A:$N,4,FALSE)="Privado", INDEX(02B_ESCENARIOS!$B$4:$D$11, MATCH("DSO_PRIVADO_DEFAULT", 02B_ESCENARIOS!$A$4:$A$11, 0), MATCH("Conservador", 02B_ESCENARIOS!$B$3:$D$3, 0)), IF(VLOOKUP(A226,04_PROYECTOS!$A:$N,4,FALSE)="Publico_&lt;10M",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VLOOKUP(A226,04_PROYECTOS!$A:$N,10,FALSE))</f>
        <v/>
      </c>
      <c r="I226">
        <f>ROUNDUP(H226/30,0)</f>
        <v/>
      </c>
      <c r="J226">
        <f>EDATE(C226,I226)</f>
        <v/>
      </c>
      <c r="K226">
        <f>G226</f>
        <v/>
      </c>
    </row>
    <row r="227">
      <c r="E227">
        <f>D227*VLOOKUP(A227,04_PROYECTOS!$A:$N,5,FALSE)*(INDEX(02B_ESCENARIOS!$B$4:$D$11, MATCH("MULT_PRECIO", 02B_ESCENARIOS!$A$4:$A$11, 0), MATCH("Conservador", 02B_ESCENARIOS!$B$3:$D$3, 0)))*INDEX(02B_ESCENARIOS!$B$15:$D$19, MATCH(VLOOKUP(A227,04_PROYECTOS!$A:$N,9,FALSE), 02B_ESCENARIOS!$A$15:$A$19, 0), MATCH("Conservador", 02B_ESCENARIOS!$B$14:$D$14, 0))</f>
        <v/>
      </c>
      <c r="F227">
        <f>E227*VLOOKUP(A227,04_PROYECTOS!$A:$N,6,FALSE)</f>
        <v/>
      </c>
      <c r="G227">
        <f>E227+F227</f>
        <v/>
      </c>
      <c r="H227">
        <f>IF(VLOOKUP(A227,04_PROYECTOS!$A:$N,10,FALSE)="", IF(VLOOKUP(A227,04_PROYECTOS!$A:$N,4,FALSE)="Privado", INDEX(02B_ESCENARIOS!$B$4:$D$11, MATCH("DSO_PRIVADO_DEFAULT", 02B_ESCENARIOS!$A$4:$A$11, 0), MATCH("Conservador", 02B_ESCENARIOS!$B$3:$D$3, 0)), IF(VLOOKUP(A227,04_PROYECTOS!$A:$N,4,FALSE)="Publico_&lt;10M",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VLOOKUP(A227,04_PROYECTOS!$A:$N,10,FALSE))</f>
        <v/>
      </c>
      <c r="I227">
        <f>ROUNDUP(H227/30,0)</f>
        <v/>
      </c>
      <c r="J227">
        <f>EDATE(C227,I227)</f>
        <v/>
      </c>
      <c r="K227">
        <f>G227</f>
        <v/>
      </c>
    </row>
    <row r="228">
      <c r="E228">
        <f>D228*VLOOKUP(A228,04_PROYECTOS!$A:$N,5,FALSE)*(INDEX(02B_ESCENARIOS!$B$4:$D$11, MATCH("MULT_PRECIO", 02B_ESCENARIOS!$A$4:$A$11, 0), MATCH("Conservador", 02B_ESCENARIOS!$B$3:$D$3, 0)))*INDEX(02B_ESCENARIOS!$B$15:$D$19, MATCH(VLOOKUP(A228,04_PROYECTOS!$A:$N,9,FALSE), 02B_ESCENARIOS!$A$15:$A$19, 0), MATCH("Conservador", 02B_ESCENARIOS!$B$14:$D$14, 0))</f>
        <v/>
      </c>
      <c r="F228">
        <f>E228*VLOOKUP(A228,04_PROYECTOS!$A:$N,6,FALSE)</f>
        <v/>
      </c>
      <c r="G228">
        <f>E228+F228</f>
        <v/>
      </c>
      <c r="H228">
        <f>IF(VLOOKUP(A228,04_PROYECTOS!$A:$N,10,FALSE)="", IF(VLOOKUP(A228,04_PROYECTOS!$A:$N,4,FALSE)="Privado", INDEX(02B_ESCENARIOS!$B$4:$D$11, MATCH("DSO_PRIVADO_DEFAULT", 02B_ESCENARIOS!$A$4:$A$11, 0), MATCH("Conservador", 02B_ESCENARIOS!$B$3:$D$3, 0)), IF(VLOOKUP(A228,04_PROYECTOS!$A:$N,4,FALSE)="Publico_&lt;10M",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VLOOKUP(A228,04_PROYECTOS!$A:$N,10,FALSE))</f>
        <v/>
      </c>
      <c r="I228">
        <f>ROUNDUP(H228/30,0)</f>
        <v/>
      </c>
      <c r="J228">
        <f>EDATE(C228,I228)</f>
        <v/>
      </c>
      <c r="K228">
        <f>G228</f>
        <v/>
      </c>
    </row>
    <row r="229">
      <c r="E229">
        <f>D229*VLOOKUP(A229,04_PROYECTOS!$A:$N,5,FALSE)*(INDEX(02B_ESCENARIOS!$B$4:$D$11, MATCH("MULT_PRECIO", 02B_ESCENARIOS!$A$4:$A$11, 0), MATCH("Conservador", 02B_ESCENARIOS!$B$3:$D$3, 0)))*INDEX(02B_ESCENARIOS!$B$15:$D$19, MATCH(VLOOKUP(A229,04_PROYECTOS!$A:$N,9,FALSE), 02B_ESCENARIOS!$A$15:$A$19, 0), MATCH("Conservador", 02B_ESCENARIOS!$B$14:$D$14, 0))</f>
        <v/>
      </c>
      <c r="F229">
        <f>E229*VLOOKUP(A229,04_PROYECTOS!$A:$N,6,FALSE)</f>
        <v/>
      </c>
      <c r="G229">
        <f>E229+F229</f>
        <v/>
      </c>
      <c r="H229">
        <f>IF(VLOOKUP(A229,04_PROYECTOS!$A:$N,10,FALSE)="", IF(VLOOKUP(A229,04_PROYECTOS!$A:$N,4,FALSE)="Privado", INDEX(02B_ESCENARIOS!$B$4:$D$11, MATCH("DSO_PRIVADO_DEFAULT", 02B_ESCENARIOS!$A$4:$A$11, 0), MATCH("Conservador", 02B_ESCENARIOS!$B$3:$D$3, 0)), IF(VLOOKUP(A229,04_PROYECTOS!$A:$N,4,FALSE)="Publico_&lt;10M",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VLOOKUP(A229,04_PROYECTOS!$A:$N,10,FALSE))</f>
        <v/>
      </c>
      <c r="I229">
        <f>ROUNDUP(H229/30,0)</f>
        <v/>
      </c>
      <c r="J229">
        <f>EDATE(C229,I229)</f>
        <v/>
      </c>
      <c r="K229">
        <f>G229</f>
        <v/>
      </c>
    </row>
    <row r="230">
      <c r="E230">
        <f>D230*VLOOKUP(A230,04_PROYECTOS!$A:$N,5,FALSE)*(INDEX(02B_ESCENARIOS!$B$4:$D$11, MATCH("MULT_PRECIO", 02B_ESCENARIOS!$A$4:$A$11, 0), MATCH("Conservador", 02B_ESCENARIOS!$B$3:$D$3, 0)))*INDEX(02B_ESCENARIOS!$B$15:$D$19, MATCH(VLOOKUP(A230,04_PROYECTOS!$A:$N,9,FALSE), 02B_ESCENARIOS!$A$15:$A$19, 0), MATCH("Conservador", 02B_ESCENARIOS!$B$14:$D$14, 0))</f>
        <v/>
      </c>
      <c r="F230">
        <f>E230*VLOOKUP(A230,04_PROYECTOS!$A:$N,6,FALSE)</f>
        <v/>
      </c>
      <c r="G230">
        <f>E230+F230</f>
        <v/>
      </c>
      <c r="H230">
        <f>IF(VLOOKUP(A230,04_PROYECTOS!$A:$N,10,FALSE)="", IF(VLOOKUP(A230,04_PROYECTOS!$A:$N,4,FALSE)="Privado", INDEX(02B_ESCENARIOS!$B$4:$D$11, MATCH("DSO_PRIVADO_DEFAULT", 02B_ESCENARIOS!$A$4:$A$11, 0), MATCH("Conservador", 02B_ESCENARIOS!$B$3:$D$3, 0)), IF(VLOOKUP(A230,04_PROYECTOS!$A:$N,4,FALSE)="Publico_&lt;10M",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VLOOKUP(A230,04_PROYECTOS!$A:$N,10,FALSE))</f>
        <v/>
      </c>
      <c r="I230">
        <f>ROUNDUP(H230/30,0)</f>
        <v/>
      </c>
      <c r="J230">
        <f>EDATE(C230,I230)</f>
        <v/>
      </c>
      <c r="K230">
        <f>G230</f>
        <v/>
      </c>
    </row>
    <row r="231">
      <c r="E231">
        <f>D231*VLOOKUP(A231,04_PROYECTOS!$A:$N,5,FALSE)*(INDEX(02B_ESCENARIOS!$B$4:$D$11, MATCH("MULT_PRECIO", 02B_ESCENARIOS!$A$4:$A$11, 0), MATCH("Conservador", 02B_ESCENARIOS!$B$3:$D$3, 0)))*INDEX(02B_ESCENARIOS!$B$15:$D$19, MATCH(VLOOKUP(A231,04_PROYECTOS!$A:$N,9,FALSE), 02B_ESCENARIOS!$A$15:$A$19, 0), MATCH("Conservador", 02B_ESCENARIOS!$B$14:$D$14, 0))</f>
        <v/>
      </c>
      <c r="F231">
        <f>E231*VLOOKUP(A231,04_PROYECTOS!$A:$N,6,FALSE)</f>
        <v/>
      </c>
      <c r="G231">
        <f>E231+F231</f>
        <v/>
      </c>
      <c r="H231">
        <f>IF(VLOOKUP(A231,04_PROYECTOS!$A:$N,10,FALSE)="", IF(VLOOKUP(A231,04_PROYECTOS!$A:$N,4,FALSE)="Privado", INDEX(02B_ESCENARIOS!$B$4:$D$11, MATCH("DSO_PRIVADO_DEFAULT", 02B_ESCENARIOS!$A$4:$A$11, 0), MATCH("Conservador", 02B_ESCENARIOS!$B$3:$D$3, 0)), IF(VLOOKUP(A231,04_PROYECTOS!$A:$N,4,FALSE)="Publico_&lt;10M",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VLOOKUP(A231,04_PROYECTOS!$A:$N,10,FALSE))</f>
        <v/>
      </c>
      <c r="I231">
        <f>ROUNDUP(H231/30,0)</f>
        <v/>
      </c>
      <c r="J231">
        <f>EDATE(C231,I231)</f>
        <v/>
      </c>
      <c r="K231">
        <f>G231</f>
        <v/>
      </c>
    </row>
    <row r="232">
      <c r="E232">
        <f>D232*VLOOKUP(A232,04_PROYECTOS!$A:$N,5,FALSE)*(INDEX(02B_ESCENARIOS!$B$4:$D$11, MATCH("MULT_PRECIO", 02B_ESCENARIOS!$A$4:$A$11, 0), MATCH("Conservador", 02B_ESCENARIOS!$B$3:$D$3, 0)))*INDEX(02B_ESCENARIOS!$B$15:$D$19, MATCH(VLOOKUP(A232,04_PROYECTOS!$A:$N,9,FALSE), 02B_ESCENARIOS!$A$15:$A$19, 0), MATCH("Conservador", 02B_ESCENARIOS!$B$14:$D$14, 0))</f>
        <v/>
      </c>
      <c r="F232">
        <f>E232*VLOOKUP(A232,04_PROYECTOS!$A:$N,6,FALSE)</f>
        <v/>
      </c>
      <c r="G232">
        <f>E232+F232</f>
        <v/>
      </c>
      <c r="H232">
        <f>IF(VLOOKUP(A232,04_PROYECTOS!$A:$N,10,FALSE)="", IF(VLOOKUP(A232,04_PROYECTOS!$A:$N,4,FALSE)="Privado", INDEX(02B_ESCENARIOS!$B$4:$D$11, MATCH("DSO_PRIVADO_DEFAULT", 02B_ESCENARIOS!$A$4:$A$11, 0), MATCH("Conservador", 02B_ESCENARIOS!$B$3:$D$3, 0)), IF(VLOOKUP(A232,04_PROYECTOS!$A:$N,4,FALSE)="Publico_&lt;10M",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VLOOKUP(A232,04_PROYECTOS!$A:$N,10,FALSE))</f>
        <v/>
      </c>
      <c r="I232">
        <f>ROUNDUP(H232/30,0)</f>
        <v/>
      </c>
      <c r="J232">
        <f>EDATE(C232,I232)</f>
        <v/>
      </c>
      <c r="K232">
        <f>G232</f>
        <v/>
      </c>
    </row>
    <row r="233">
      <c r="E233">
        <f>D233*VLOOKUP(A233,04_PROYECTOS!$A:$N,5,FALSE)*(INDEX(02B_ESCENARIOS!$B$4:$D$11, MATCH("MULT_PRECIO", 02B_ESCENARIOS!$A$4:$A$11, 0), MATCH("Conservador", 02B_ESCENARIOS!$B$3:$D$3, 0)))*INDEX(02B_ESCENARIOS!$B$15:$D$19, MATCH(VLOOKUP(A233,04_PROYECTOS!$A:$N,9,FALSE), 02B_ESCENARIOS!$A$15:$A$19, 0), MATCH("Conservador", 02B_ESCENARIOS!$B$14:$D$14, 0))</f>
        <v/>
      </c>
      <c r="F233">
        <f>E233*VLOOKUP(A233,04_PROYECTOS!$A:$N,6,FALSE)</f>
        <v/>
      </c>
      <c r="G233">
        <f>E233+F233</f>
        <v/>
      </c>
      <c r="H233">
        <f>IF(VLOOKUP(A233,04_PROYECTOS!$A:$N,10,FALSE)="", IF(VLOOKUP(A233,04_PROYECTOS!$A:$N,4,FALSE)="Privado", INDEX(02B_ESCENARIOS!$B$4:$D$11, MATCH("DSO_PRIVADO_DEFAULT", 02B_ESCENARIOS!$A$4:$A$11, 0), MATCH("Conservador", 02B_ESCENARIOS!$B$3:$D$3, 0)), IF(VLOOKUP(A233,04_PROYECTOS!$A:$N,4,FALSE)="Publico_&lt;10M",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VLOOKUP(A233,04_PROYECTOS!$A:$N,10,FALSE))</f>
        <v/>
      </c>
      <c r="I233">
        <f>ROUNDUP(H233/30,0)</f>
        <v/>
      </c>
      <c r="J233">
        <f>EDATE(C233,I233)</f>
        <v/>
      </c>
      <c r="K233">
        <f>G233</f>
        <v/>
      </c>
    </row>
    <row r="234">
      <c r="E234">
        <f>D234*VLOOKUP(A234,04_PROYECTOS!$A:$N,5,FALSE)*(INDEX(02B_ESCENARIOS!$B$4:$D$11, MATCH("MULT_PRECIO", 02B_ESCENARIOS!$A$4:$A$11, 0), MATCH("Conservador", 02B_ESCENARIOS!$B$3:$D$3, 0)))*INDEX(02B_ESCENARIOS!$B$15:$D$19, MATCH(VLOOKUP(A234,04_PROYECTOS!$A:$N,9,FALSE), 02B_ESCENARIOS!$A$15:$A$19, 0), MATCH("Conservador", 02B_ESCENARIOS!$B$14:$D$14, 0))</f>
        <v/>
      </c>
      <c r="F234">
        <f>E234*VLOOKUP(A234,04_PROYECTOS!$A:$N,6,FALSE)</f>
        <v/>
      </c>
      <c r="G234">
        <f>E234+F234</f>
        <v/>
      </c>
      <c r="H234">
        <f>IF(VLOOKUP(A234,04_PROYECTOS!$A:$N,10,FALSE)="", IF(VLOOKUP(A234,04_PROYECTOS!$A:$N,4,FALSE)="Privado", INDEX(02B_ESCENARIOS!$B$4:$D$11, MATCH("DSO_PRIVADO_DEFAULT", 02B_ESCENARIOS!$A$4:$A$11, 0), MATCH("Conservador", 02B_ESCENARIOS!$B$3:$D$3, 0)), IF(VLOOKUP(A234,04_PROYECTOS!$A:$N,4,FALSE)="Publico_&lt;10M",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VLOOKUP(A234,04_PROYECTOS!$A:$N,10,FALSE))</f>
        <v/>
      </c>
      <c r="I234">
        <f>ROUNDUP(H234/30,0)</f>
        <v/>
      </c>
      <c r="J234">
        <f>EDATE(C234,I234)</f>
        <v/>
      </c>
      <c r="K234">
        <f>G234</f>
        <v/>
      </c>
    </row>
    <row r="235">
      <c r="E235">
        <f>D235*VLOOKUP(A235,04_PROYECTOS!$A:$N,5,FALSE)*(INDEX(02B_ESCENARIOS!$B$4:$D$11, MATCH("MULT_PRECIO", 02B_ESCENARIOS!$A$4:$A$11, 0), MATCH("Conservador", 02B_ESCENARIOS!$B$3:$D$3, 0)))*INDEX(02B_ESCENARIOS!$B$15:$D$19, MATCH(VLOOKUP(A235,04_PROYECTOS!$A:$N,9,FALSE), 02B_ESCENARIOS!$A$15:$A$19, 0), MATCH("Conservador", 02B_ESCENARIOS!$B$14:$D$14, 0))</f>
        <v/>
      </c>
      <c r="F235">
        <f>E235*VLOOKUP(A235,04_PROYECTOS!$A:$N,6,FALSE)</f>
        <v/>
      </c>
      <c r="G235">
        <f>E235+F235</f>
        <v/>
      </c>
      <c r="H235">
        <f>IF(VLOOKUP(A235,04_PROYECTOS!$A:$N,10,FALSE)="", IF(VLOOKUP(A235,04_PROYECTOS!$A:$N,4,FALSE)="Privado", INDEX(02B_ESCENARIOS!$B$4:$D$11, MATCH("DSO_PRIVADO_DEFAULT", 02B_ESCENARIOS!$A$4:$A$11, 0), MATCH("Conservador", 02B_ESCENARIOS!$B$3:$D$3, 0)), IF(VLOOKUP(A235,04_PROYECTOS!$A:$N,4,FALSE)="Publico_&lt;10M",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VLOOKUP(A235,04_PROYECTOS!$A:$N,10,FALSE))</f>
        <v/>
      </c>
      <c r="I235">
        <f>ROUNDUP(H235/30,0)</f>
        <v/>
      </c>
      <c r="J235">
        <f>EDATE(C235,I235)</f>
        <v/>
      </c>
      <c r="K235">
        <f>G235</f>
        <v/>
      </c>
    </row>
    <row r="236">
      <c r="E236">
        <f>D236*VLOOKUP(A236,04_PROYECTOS!$A:$N,5,FALSE)*(INDEX(02B_ESCENARIOS!$B$4:$D$11, MATCH("MULT_PRECIO", 02B_ESCENARIOS!$A$4:$A$11, 0), MATCH("Conservador", 02B_ESCENARIOS!$B$3:$D$3, 0)))*INDEX(02B_ESCENARIOS!$B$15:$D$19, MATCH(VLOOKUP(A236,04_PROYECTOS!$A:$N,9,FALSE), 02B_ESCENARIOS!$A$15:$A$19, 0), MATCH("Conservador", 02B_ESCENARIOS!$B$14:$D$14, 0))</f>
        <v/>
      </c>
      <c r="F236">
        <f>E236*VLOOKUP(A236,04_PROYECTOS!$A:$N,6,FALSE)</f>
        <v/>
      </c>
      <c r="G236">
        <f>E236+F236</f>
        <v/>
      </c>
      <c r="H236">
        <f>IF(VLOOKUP(A236,04_PROYECTOS!$A:$N,10,FALSE)="", IF(VLOOKUP(A236,04_PROYECTOS!$A:$N,4,FALSE)="Privado", INDEX(02B_ESCENARIOS!$B$4:$D$11, MATCH("DSO_PRIVADO_DEFAULT", 02B_ESCENARIOS!$A$4:$A$11, 0), MATCH("Conservador", 02B_ESCENARIOS!$B$3:$D$3, 0)), IF(VLOOKUP(A236,04_PROYECTOS!$A:$N,4,FALSE)="Publico_&lt;10M",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VLOOKUP(A236,04_PROYECTOS!$A:$N,10,FALSE))</f>
        <v/>
      </c>
      <c r="I236">
        <f>ROUNDUP(H236/30,0)</f>
        <v/>
      </c>
      <c r="J236">
        <f>EDATE(C236,I236)</f>
        <v/>
      </c>
      <c r="K236">
        <f>G236</f>
        <v/>
      </c>
    </row>
    <row r="237">
      <c r="E237">
        <f>D237*VLOOKUP(A237,04_PROYECTOS!$A:$N,5,FALSE)*(INDEX(02B_ESCENARIOS!$B$4:$D$11, MATCH("MULT_PRECIO", 02B_ESCENARIOS!$A$4:$A$11, 0), MATCH("Conservador", 02B_ESCENARIOS!$B$3:$D$3, 0)))*INDEX(02B_ESCENARIOS!$B$15:$D$19, MATCH(VLOOKUP(A237,04_PROYECTOS!$A:$N,9,FALSE), 02B_ESCENARIOS!$A$15:$A$19, 0), MATCH("Conservador", 02B_ESCENARIOS!$B$14:$D$14, 0))</f>
        <v/>
      </c>
      <c r="F237">
        <f>E237*VLOOKUP(A237,04_PROYECTOS!$A:$N,6,FALSE)</f>
        <v/>
      </c>
      <c r="G237">
        <f>E237+F237</f>
        <v/>
      </c>
      <c r="H237">
        <f>IF(VLOOKUP(A237,04_PROYECTOS!$A:$N,10,FALSE)="", IF(VLOOKUP(A237,04_PROYECTOS!$A:$N,4,FALSE)="Privado", INDEX(02B_ESCENARIOS!$B$4:$D$11, MATCH("DSO_PRIVADO_DEFAULT", 02B_ESCENARIOS!$A$4:$A$11, 0), MATCH("Conservador", 02B_ESCENARIOS!$B$3:$D$3, 0)), IF(VLOOKUP(A237,04_PROYECTOS!$A:$N,4,FALSE)="Publico_&lt;10M",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VLOOKUP(A237,04_PROYECTOS!$A:$N,10,FALSE))</f>
        <v/>
      </c>
      <c r="I237">
        <f>ROUNDUP(H237/30,0)</f>
        <v/>
      </c>
      <c r="J237">
        <f>EDATE(C237,I237)</f>
        <v/>
      </c>
      <c r="K237">
        <f>G237</f>
        <v/>
      </c>
    </row>
    <row r="238">
      <c r="E238">
        <f>D238*VLOOKUP(A238,04_PROYECTOS!$A:$N,5,FALSE)*(INDEX(02B_ESCENARIOS!$B$4:$D$11, MATCH("MULT_PRECIO", 02B_ESCENARIOS!$A$4:$A$11, 0), MATCH("Conservador", 02B_ESCENARIOS!$B$3:$D$3, 0)))*INDEX(02B_ESCENARIOS!$B$15:$D$19, MATCH(VLOOKUP(A238,04_PROYECTOS!$A:$N,9,FALSE), 02B_ESCENARIOS!$A$15:$A$19, 0), MATCH("Conservador", 02B_ESCENARIOS!$B$14:$D$14, 0))</f>
        <v/>
      </c>
      <c r="F238">
        <f>E238*VLOOKUP(A238,04_PROYECTOS!$A:$N,6,FALSE)</f>
        <v/>
      </c>
      <c r="G238">
        <f>E238+F238</f>
        <v/>
      </c>
      <c r="H238">
        <f>IF(VLOOKUP(A238,04_PROYECTOS!$A:$N,10,FALSE)="", IF(VLOOKUP(A238,04_PROYECTOS!$A:$N,4,FALSE)="Privado", INDEX(02B_ESCENARIOS!$B$4:$D$11, MATCH("DSO_PRIVADO_DEFAULT", 02B_ESCENARIOS!$A$4:$A$11, 0), MATCH("Conservador", 02B_ESCENARIOS!$B$3:$D$3, 0)), IF(VLOOKUP(A238,04_PROYECTOS!$A:$N,4,FALSE)="Publico_&lt;10M",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VLOOKUP(A238,04_PROYECTOS!$A:$N,10,FALSE))</f>
        <v/>
      </c>
      <c r="I238">
        <f>ROUNDUP(H238/30,0)</f>
        <v/>
      </c>
      <c r="J238">
        <f>EDATE(C238,I238)</f>
        <v/>
      </c>
      <c r="K238">
        <f>G238</f>
        <v/>
      </c>
    </row>
    <row r="239">
      <c r="E239">
        <f>D239*VLOOKUP(A239,04_PROYECTOS!$A:$N,5,FALSE)*(INDEX(02B_ESCENARIOS!$B$4:$D$11, MATCH("MULT_PRECIO", 02B_ESCENARIOS!$A$4:$A$11, 0), MATCH("Conservador", 02B_ESCENARIOS!$B$3:$D$3, 0)))*INDEX(02B_ESCENARIOS!$B$15:$D$19, MATCH(VLOOKUP(A239,04_PROYECTOS!$A:$N,9,FALSE), 02B_ESCENARIOS!$A$15:$A$19, 0), MATCH("Conservador", 02B_ESCENARIOS!$B$14:$D$14, 0))</f>
        <v/>
      </c>
      <c r="F239">
        <f>E239*VLOOKUP(A239,04_PROYECTOS!$A:$N,6,FALSE)</f>
        <v/>
      </c>
      <c r="G239">
        <f>E239+F239</f>
        <v/>
      </c>
      <c r="H239">
        <f>IF(VLOOKUP(A239,04_PROYECTOS!$A:$N,10,FALSE)="", IF(VLOOKUP(A239,04_PROYECTOS!$A:$N,4,FALSE)="Privado", INDEX(02B_ESCENARIOS!$B$4:$D$11, MATCH("DSO_PRIVADO_DEFAULT", 02B_ESCENARIOS!$A$4:$A$11, 0), MATCH("Conservador", 02B_ESCENARIOS!$B$3:$D$3, 0)), IF(VLOOKUP(A239,04_PROYECTOS!$A:$N,4,FALSE)="Publico_&lt;10M",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VLOOKUP(A239,04_PROYECTOS!$A:$N,10,FALSE))</f>
        <v/>
      </c>
      <c r="I239">
        <f>ROUNDUP(H239/30,0)</f>
        <v/>
      </c>
      <c r="J239">
        <f>EDATE(C239,I239)</f>
        <v/>
      </c>
      <c r="K239">
        <f>G239</f>
        <v/>
      </c>
    </row>
    <row r="240">
      <c r="E240">
        <f>D240*VLOOKUP(A240,04_PROYECTOS!$A:$N,5,FALSE)*(INDEX(02B_ESCENARIOS!$B$4:$D$11, MATCH("MULT_PRECIO", 02B_ESCENARIOS!$A$4:$A$11, 0), MATCH("Conservador", 02B_ESCENARIOS!$B$3:$D$3, 0)))*INDEX(02B_ESCENARIOS!$B$15:$D$19, MATCH(VLOOKUP(A240,04_PROYECTOS!$A:$N,9,FALSE), 02B_ESCENARIOS!$A$15:$A$19, 0), MATCH("Conservador", 02B_ESCENARIOS!$B$14:$D$14, 0))</f>
        <v/>
      </c>
      <c r="F240">
        <f>E240*VLOOKUP(A240,04_PROYECTOS!$A:$N,6,FALSE)</f>
        <v/>
      </c>
      <c r="G240">
        <f>E240+F240</f>
        <v/>
      </c>
      <c r="H240">
        <f>IF(VLOOKUP(A240,04_PROYECTOS!$A:$N,10,FALSE)="", IF(VLOOKUP(A240,04_PROYECTOS!$A:$N,4,FALSE)="Privado", INDEX(02B_ESCENARIOS!$B$4:$D$11, MATCH("DSO_PRIVADO_DEFAULT", 02B_ESCENARIOS!$A$4:$A$11, 0), MATCH("Conservador", 02B_ESCENARIOS!$B$3:$D$3, 0)), IF(VLOOKUP(A240,04_PROYECTOS!$A:$N,4,FALSE)="Publico_&lt;10M",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VLOOKUP(A240,04_PROYECTOS!$A:$N,10,FALSE))</f>
        <v/>
      </c>
      <c r="I240">
        <f>ROUNDUP(H240/30,0)</f>
        <v/>
      </c>
      <c r="J240">
        <f>EDATE(C240,I240)</f>
        <v/>
      </c>
      <c r="K240">
        <f>G240</f>
        <v/>
      </c>
    </row>
    <row r="241">
      <c r="E241">
        <f>D241*VLOOKUP(A241,04_PROYECTOS!$A:$N,5,FALSE)*(INDEX(02B_ESCENARIOS!$B$4:$D$11, MATCH("MULT_PRECIO", 02B_ESCENARIOS!$A$4:$A$11, 0), MATCH("Conservador", 02B_ESCENARIOS!$B$3:$D$3, 0)))*INDEX(02B_ESCENARIOS!$B$15:$D$19, MATCH(VLOOKUP(A241,04_PROYECTOS!$A:$N,9,FALSE), 02B_ESCENARIOS!$A$15:$A$19, 0), MATCH("Conservador", 02B_ESCENARIOS!$B$14:$D$14, 0))</f>
        <v/>
      </c>
      <c r="F241">
        <f>E241*VLOOKUP(A241,04_PROYECTOS!$A:$N,6,FALSE)</f>
        <v/>
      </c>
      <c r="G241">
        <f>E241+F241</f>
        <v/>
      </c>
      <c r="H241">
        <f>IF(VLOOKUP(A241,04_PROYECTOS!$A:$N,10,FALSE)="", IF(VLOOKUP(A241,04_PROYECTOS!$A:$N,4,FALSE)="Privado", INDEX(02B_ESCENARIOS!$B$4:$D$11, MATCH("DSO_PRIVADO_DEFAULT", 02B_ESCENARIOS!$A$4:$A$11, 0), MATCH("Conservador", 02B_ESCENARIOS!$B$3:$D$3, 0)), IF(VLOOKUP(A241,04_PROYECTOS!$A:$N,4,FALSE)="Publico_&lt;10M",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VLOOKUP(A241,04_PROYECTOS!$A:$N,10,FALSE))</f>
        <v/>
      </c>
      <c r="I241">
        <f>ROUNDUP(H241/30,0)</f>
        <v/>
      </c>
      <c r="J241">
        <f>EDATE(C241,I241)</f>
        <v/>
      </c>
      <c r="K241">
        <f>G241</f>
        <v/>
      </c>
    </row>
    <row r="242">
      <c r="E242">
        <f>D242*VLOOKUP(A242,04_PROYECTOS!$A:$N,5,FALSE)*(INDEX(02B_ESCENARIOS!$B$4:$D$11, MATCH("MULT_PRECIO", 02B_ESCENARIOS!$A$4:$A$11, 0), MATCH("Conservador", 02B_ESCENARIOS!$B$3:$D$3, 0)))*INDEX(02B_ESCENARIOS!$B$15:$D$19, MATCH(VLOOKUP(A242,04_PROYECTOS!$A:$N,9,FALSE), 02B_ESCENARIOS!$A$15:$A$19, 0), MATCH("Conservador", 02B_ESCENARIOS!$B$14:$D$14, 0))</f>
        <v/>
      </c>
      <c r="F242">
        <f>E242*VLOOKUP(A242,04_PROYECTOS!$A:$N,6,FALSE)</f>
        <v/>
      </c>
      <c r="G242">
        <f>E242+F242</f>
        <v/>
      </c>
      <c r="H242">
        <f>IF(VLOOKUP(A242,04_PROYECTOS!$A:$N,10,FALSE)="", IF(VLOOKUP(A242,04_PROYECTOS!$A:$N,4,FALSE)="Privado", INDEX(02B_ESCENARIOS!$B$4:$D$11, MATCH("DSO_PRIVADO_DEFAULT", 02B_ESCENARIOS!$A$4:$A$11, 0), MATCH("Conservador", 02B_ESCENARIOS!$B$3:$D$3, 0)), IF(VLOOKUP(A242,04_PROYECTOS!$A:$N,4,FALSE)="Publico_&lt;10M",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VLOOKUP(A242,04_PROYECTOS!$A:$N,10,FALSE))</f>
        <v/>
      </c>
      <c r="I242">
        <f>ROUNDUP(H242/30,0)</f>
        <v/>
      </c>
      <c r="J242">
        <f>EDATE(C242,I242)</f>
        <v/>
      </c>
      <c r="K242">
        <f>G242</f>
        <v/>
      </c>
    </row>
    <row r="243">
      <c r="E243">
        <f>D243*VLOOKUP(A243,04_PROYECTOS!$A:$N,5,FALSE)*(INDEX(02B_ESCENARIOS!$B$4:$D$11, MATCH("MULT_PRECIO", 02B_ESCENARIOS!$A$4:$A$11, 0), MATCH("Conservador", 02B_ESCENARIOS!$B$3:$D$3, 0)))*INDEX(02B_ESCENARIOS!$B$15:$D$19, MATCH(VLOOKUP(A243,04_PROYECTOS!$A:$N,9,FALSE), 02B_ESCENARIOS!$A$15:$A$19, 0), MATCH("Conservador", 02B_ESCENARIOS!$B$14:$D$14, 0))</f>
        <v/>
      </c>
      <c r="F243">
        <f>E243*VLOOKUP(A243,04_PROYECTOS!$A:$N,6,FALSE)</f>
        <v/>
      </c>
      <c r="G243">
        <f>E243+F243</f>
        <v/>
      </c>
      <c r="H243">
        <f>IF(VLOOKUP(A243,04_PROYECTOS!$A:$N,10,FALSE)="", IF(VLOOKUP(A243,04_PROYECTOS!$A:$N,4,FALSE)="Privado", INDEX(02B_ESCENARIOS!$B$4:$D$11, MATCH("DSO_PRIVADO_DEFAULT", 02B_ESCENARIOS!$A$4:$A$11, 0), MATCH("Conservador", 02B_ESCENARIOS!$B$3:$D$3, 0)), IF(VLOOKUP(A243,04_PROYECTOS!$A:$N,4,FALSE)="Publico_&lt;10M",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VLOOKUP(A243,04_PROYECTOS!$A:$N,10,FALSE))</f>
        <v/>
      </c>
      <c r="I243">
        <f>ROUNDUP(H243/30,0)</f>
        <v/>
      </c>
      <c r="J243">
        <f>EDATE(C243,I243)</f>
        <v/>
      </c>
      <c r="K243">
        <f>G243</f>
        <v/>
      </c>
    </row>
    <row r="244">
      <c r="E244">
        <f>D244*VLOOKUP(A244,04_PROYECTOS!$A:$N,5,FALSE)*(INDEX(02B_ESCENARIOS!$B$4:$D$11, MATCH("MULT_PRECIO", 02B_ESCENARIOS!$A$4:$A$11, 0), MATCH("Conservador", 02B_ESCENARIOS!$B$3:$D$3, 0)))*INDEX(02B_ESCENARIOS!$B$15:$D$19, MATCH(VLOOKUP(A244,04_PROYECTOS!$A:$N,9,FALSE), 02B_ESCENARIOS!$A$15:$A$19, 0), MATCH("Conservador", 02B_ESCENARIOS!$B$14:$D$14, 0))</f>
        <v/>
      </c>
      <c r="F244">
        <f>E244*VLOOKUP(A244,04_PROYECTOS!$A:$N,6,FALSE)</f>
        <v/>
      </c>
      <c r="G244">
        <f>E244+F244</f>
        <v/>
      </c>
      <c r="H244">
        <f>IF(VLOOKUP(A244,04_PROYECTOS!$A:$N,10,FALSE)="", IF(VLOOKUP(A244,04_PROYECTOS!$A:$N,4,FALSE)="Privado", INDEX(02B_ESCENARIOS!$B$4:$D$11, MATCH("DSO_PRIVADO_DEFAULT", 02B_ESCENARIOS!$A$4:$A$11, 0), MATCH("Conservador", 02B_ESCENARIOS!$B$3:$D$3, 0)), IF(VLOOKUP(A244,04_PROYECTOS!$A:$N,4,FALSE)="Publico_&lt;10M",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VLOOKUP(A244,04_PROYECTOS!$A:$N,10,FALSE))</f>
        <v/>
      </c>
      <c r="I244">
        <f>ROUNDUP(H244/30,0)</f>
        <v/>
      </c>
      <c r="J244">
        <f>EDATE(C244,I244)</f>
        <v/>
      </c>
      <c r="K244">
        <f>G244</f>
        <v/>
      </c>
    </row>
    <row r="245">
      <c r="E245">
        <f>D245*VLOOKUP(A245,04_PROYECTOS!$A:$N,5,FALSE)*(INDEX(02B_ESCENARIOS!$B$4:$D$11, MATCH("MULT_PRECIO", 02B_ESCENARIOS!$A$4:$A$11, 0), MATCH("Conservador", 02B_ESCENARIOS!$B$3:$D$3, 0)))*INDEX(02B_ESCENARIOS!$B$15:$D$19, MATCH(VLOOKUP(A245,04_PROYECTOS!$A:$N,9,FALSE), 02B_ESCENARIOS!$A$15:$A$19, 0), MATCH("Conservador", 02B_ESCENARIOS!$B$14:$D$14, 0))</f>
        <v/>
      </c>
      <c r="F245">
        <f>E245*VLOOKUP(A245,04_PROYECTOS!$A:$N,6,FALSE)</f>
        <v/>
      </c>
      <c r="G245">
        <f>E245+F245</f>
        <v/>
      </c>
      <c r="H245">
        <f>IF(VLOOKUP(A245,04_PROYECTOS!$A:$N,10,FALSE)="", IF(VLOOKUP(A245,04_PROYECTOS!$A:$N,4,FALSE)="Privado", INDEX(02B_ESCENARIOS!$B$4:$D$11, MATCH("DSO_PRIVADO_DEFAULT", 02B_ESCENARIOS!$A$4:$A$11, 0), MATCH("Conservador", 02B_ESCENARIOS!$B$3:$D$3, 0)), IF(VLOOKUP(A245,04_PROYECTOS!$A:$N,4,FALSE)="Publico_&lt;10M",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VLOOKUP(A245,04_PROYECTOS!$A:$N,10,FALSE))</f>
        <v/>
      </c>
      <c r="I245">
        <f>ROUNDUP(H245/30,0)</f>
        <v/>
      </c>
      <c r="J245">
        <f>EDATE(C245,I245)</f>
        <v/>
      </c>
      <c r="K245">
        <f>G245</f>
        <v/>
      </c>
    </row>
    <row r="246">
      <c r="E246">
        <f>D246*VLOOKUP(A246,04_PROYECTOS!$A:$N,5,FALSE)*(INDEX(02B_ESCENARIOS!$B$4:$D$11, MATCH("MULT_PRECIO", 02B_ESCENARIOS!$A$4:$A$11, 0), MATCH("Conservador", 02B_ESCENARIOS!$B$3:$D$3, 0)))*INDEX(02B_ESCENARIOS!$B$15:$D$19, MATCH(VLOOKUP(A246,04_PROYECTOS!$A:$N,9,FALSE), 02B_ESCENARIOS!$A$15:$A$19, 0), MATCH("Conservador", 02B_ESCENARIOS!$B$14:$D$14, 0))</f>
        <v/>
      </c>
      <c r="F246">
        <f>E246*VLOOKUP(A246,04_PROYECTOS!$A:$N,6,FALSE)</f>
        <v/>
      </c>
      <c r="G246">
        <f>E246+F246</f>
        <v/>
      </c>
      <c r="H246">
        <f>IF(VLOOKUP(A246,04_PROYECTOS!$A:$N,10,FALSE)="", IF(VLOOKUP(A246,04_PROYECTOS!$A:$N,4,FALSE)="Privado", INDEX(02B_ESCENARIOS!$B$4:$D$11, MATCH("DSO_PRIVADO_DEFAULT", 02B_ESCENARIOS!$A$4:$A$11, 0), MATCH("Conservador", 02B_ESCENARIOS!$B$3:$D$3, 0)), IF(VLOOKUP(A246,04_PROYECTOS!$A:$N,4,FALSE)="Publico_&lt;10M",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VLOOKUP(A246,04_PROYECTOS!$A:$N,10,FALSE))</f>
        <v/>
      </c>
      <c r="I246">
        <f>ROUNDUP(H246/30,0)</f>
        <v/>
      </c>
      <c r="J246">
        <f>EDATE(C246,I246)</f>
        <v/>
      </c>
      <c r="K246">
        <f>G246</f>
        <v/>
      </c>
    </row>
    <row r="247">
      <c r="E247">
        <f>D247*VLOOKUP(A247,04_PROYECTOS!$A:$N,5,FALSE)*(INDEX(02B_ESCENARIOS!$B$4:$D$11, MATCH("MULT_PRECIO", 02B_ESCENARIOS!$A$4:$A$11, 0), MATCH("Conservador", 02B_ESCENARIOS!$B$3:$D$3, 0)))*INDEX(02B_ESCENARIOS!$B$15:$D$19, MATCH(VLOOKUP(A247,04_PROYECTOS!$A:$N,9,FALSE), 02B_ESCENARIOS!$A$15:$A$19, 0), MATCH("Conservador", 02B_ESCENARIOS!$B$14:$D$14, 0))</f>
        <v/>
      </c>
      <c r="F247">
        <f>E247*VLOOKUP(A247,04_PROYECTOS!$A:$N,6,FALSE)</f>
        <v/>
      </c>
      <c r="G247">
        <f>E247+F247</f>
        <v/>
      </c>
      <c r="H247">
        <f>IF(VLOOKUP(A247,04_PROYECTOS!$A:$N,10,FALSE)="", IF(VLOOKUP(A247,04_PROYECTOS!$A:$N,4,FALSE)="Privado", INDEX(02B_ESCENARIOS!$B$4:$D$11, MATCH("DSO_PRIVADO_DEFAULT", 02B_ESCENARIOS!$A$4:$A$11, 0), MATCH("Conservador", 02B_ESCENARIOS!$B$3:$D$3, 0)), IF(VLOOKUP(A247,04_PROYECTOS!$A:$N,4,FALSE)="Publico_&lt;10M",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VLOOKUP(A247,04_PROYECTOS!$A:$N,10,FALSE))</f>
        <v/>
      </c>
      <c r="I247">
        <f>ROUNDUP(H247/30,0)</f>
        <v/>
      </c>
      <c r="J247">
        <f>EDATE(C247,I247)</f>
        <v/>
      </c>
      <c r="K247">
        <f>G247</f>
        <v/>
      </c>
    </row>
    <row r="248">
      <c r="E248">
        <f>D248*VLOOKUP(A248,04_PROYECTOS!$A:$N,5,FALSE)*(INDEX(02B_ESCENARIOS!$B$4:$D$11, MATCH("MULT_PRECIO", 02B_ESCENARIOS!$A$4:$A$11, 0), MATCH("Conservador", 02B_ESCENARIOS!$B$3:$D$3, 0)))*INDEX(02B_ESCENARIOS!$B$15:$D$19, MATCH(VLOOKUP(A248,04_PROYECTOS!$A:$N,9,FALSE), 02B_ESCENARIOS!$A$15:$A$19, 0), MATCH("Conservador", 02B_ESCENARIOS!$B$14:$D$14, 0))</f>
        <v/>
      </c>
      <c r="F248">
        <f>E248*VLOOKUP(A248,04_PROYECTOS!$A:$N,6,FALSE)</f>
        <v/>
      </c>
      <c r="G248">
        <f>E248+F248</f>
        <v/>
      </c>
      <c r="H248">
        <f>IF(VLOOKUP(A248,04_PROYECTOS!$A:$N,10,FALSE)="", IF(VLOOKUP(A248,04_PROYECTOS!$A:$N,4,FALSE)="Privado", INDEX(02B_ESCENARIOS!$B$4:$D$11, MATCH("DSO_PRIVADO_DEFAULT", 02B_ESCENARIOS!$A$4:$A$11, 0), MATCH("Conservador", 02B_ESCENARIOS!$B$3:$D$3, 0)), IF(VLOOKUP(A248,04_PROYECTOS!$A:$N,4,FALSE)="Publico_&lt;10M",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VLOOKUP(A248,04_PROYECTOS!$A:$N,10,FALSE))</f>
        <v/>
      </c>
      <c r="I248">
        <f>ROUNDUP(H248/30,0)</f>
        <v/>
      </c>
      <c r="J248">
        <f>EDATE(C248,I248)</f>
        <v/>
      </c>
      <c r="K248">
        <f>G248</f>
        <v/>
      </c>
    </row>
    <row r="249">
      <c r="E249">
        <f>D249*VLOOKUP(A249,04_PROYECTOS!$A:$N,5,FALSE)*(INDEX(02B_ESCENARIOS!$B$4:$D$11, MATCH("MULT_PRECIO", 02B_ESCENARIOS!$A$4:$A$11, 0), MATCH("Conservador", 02B_ESCENARIOS!$B$3:$D$3, 0)))*INDEX(02B_ESCENARIOS!$B$15:$D$19, MATCH(VLOOKUP(A249,04_PROYECTOS!$A:$N,9,FALSE), 02B_ESCENARIOS!$A$15:$A$19, 0), MATCH("Conservador", 02B_ESCENARIOS!$B$14:$D$14, 0))</f>
        <v/>
      </c>
      <c r="F249">
        <f>E249*VLOOKUP(A249,04_PROYECTOS!$A:$N,6,FALSE)</f>
        <v/>
      </c>
      <c r="G249">
        <f>E249+F249</f>
        <v/>
      </c>
      <c r="H249">
        <f>IF(VLOOKUP(A249,04_PROYECTOS!$A:$N,10,FALSE)="", IF(VLOOKUP(A249,04_PROYECTOS!$A:$N,4,FALSE)="Privado", INDEX(02B_ESCENARIOS!$B$4:$D$11, MATCH("DSO_PRIVADO_DEFAULT", 02B_ESCENARIOS!$A$4:$A$11, 0), MATCH("Conservador", 02B_ESCENARIOS!$B$3:$D$3, 0)), IF(VLOOKUP(A249,04_PROYECTOS!$A:$N,4,FALSE)="Publico_&lt;10M",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VLOOKUP(A249,04_PROYECTOS!$A:$N,10,FALSE))</f>
        <v/>
      </c>
      <c r="I249">
        <f>ROUNDUP(H249/30,0)</f>
        <v/>
      </c>
      <c r="J249">
        <f>EDATE(C249,I249)</f>
        <v/>
      </c>
      <c r="K249">
        <f>G249</f>
        <v/>
      </c>
    </row>
    <row r="250">
      <c r="E250">
        <f>D250*VLOOKUP(A250,04_PROYECTOS!$A:$N,5,FALSE)*(INDEX(02B_ESCENARIOS!$B$4:$D$11, MATCH("MULT_PRECIO", 02B_ESCENARIOS!$A$4:$A$11, 0), MATCH("Conservador", 02B_ESCENARIOS!$B$3:$D$3, 0)))*INDEX(02B_ESCENARIOS!$B$15:$D$19, MATCH(VLOOKUP(A250,04_PROYECTOS!$A:$N,9,FALSE), 02B_ESCENARIOS!$A$15:$A$19, 0), MATCH("Conservador", 02B_ESCENARIOS!$B$14:$D$14, 0))</f>
        <v/>
      </c>
      <c r="F250">
        <f>E250*VLOOKUP(A250,04_PROYECTOS!$A:$N,6,FALSE)</f>
        <v/>
      </c>
      <c r="G250">
        <f>E250+F250</f>
        <v/>
      </c>
      <c r="H250">
        <f>IF(VLOOKUP(A250,04_PROYECTOS!$A:$N,10,FALSE)="", IF(VLOOKUP(A250,04_PROYECTOS!$A:$N,4,FALSE)="Privado", INDEX(02B_ESCENARIOS!$B$4:$D$11, MATCH("DSO_PRIVADO_DEFAULT", 02B_ESCENARIOS!$A$4:$A$11, 0), MATCH("Conservador", 02B_ESCENARIOS!$B$3:$D$3, 0)), IF(VLOOKUP(A250,04_PROYECTOS!$A:$N,4,FALSE)="Publico_&lt;10M",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VLOOKUP(A250,04_PROYECTOS!$A:$N,10,FALSE))</f>
        <v/>
      </c>
      <c r="I250">
        <f>ROUNDUP(H250/30,0)</f>
        <v/>
      </c>
      <c r="J250">
        <f>EDATE(C250,I250)</f>
        <v/>
      </c>
      <c r="K250">
        <f>G250</f>
        <v/>
      </c>
    </row>
    <row r="251">
      <c r="E251">
        <f>D251*VLOOKUP(A251,04_PROYECTOS!$A:$N,5,FALSE)*(INDEX(02B_ESCENARIOS!$B$4:$D$11, MATCH("MULT_PRECIO", 02B_ESCENARIOS!$A$4:$A$11, 0), MATCH("Conservador", 02B_ESCENARIOS!$B$3:$D$3, 0)))*INDEX(02B_ESCENARIOS!$B$15:$D$19, MATCH(VLOOKUP(A251,04_PROYECTOS!$A:$N,9,FALSE), 02B_ESCENARIOS!$A$15:$A$19, 0), MATCH("Conservador", 02B_ESCENARIOS!$B$14:$D$14, 0))</f>
        <v/>
      </c>
      <c r="F251">
        <f>E251*VLOOKUP(A251,04_PROYECTOS!$A:$N,6,FALSE)</f>
        <v/>
      </c>
      <c r="G251">
        <f>E251+F251</f>
        <v/>
      </c>
      <c r="H251">
        <f>IF(VLOOKUP(A251,04_PROYECTOS!$A:$N,10,FALSE)="", IF(VLOOKUP(A251,04_PROYECTOS!$A:$N,4,FALSE)="Privado", INDEX(02B_ESCENARIOS!$B$4:$D$11, MATCH("DSO_PRIVADO_DEFAULT", 02B_ESCENARIOS!$A$4:$A$11, 0), MATCH("Conservador", 02B_ESCENARIOS!$B$3:$D$3, 0)), IF(VLOOKUP(A251,04_PROYECTOS!$A:$N,4,FALSE)="Publico_&lt;10M",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VLOOKUP(A251,04_PROYECTOS!$A:$N,10,FALSE))</f>
        <v/>
      </c>
      <c r="I251">
        <f>ROUNDUP(H251/30,0)</f>
        <v/>
      </c>
      <c r="J251">
        <f>EDATE(C251,I251)</f>
        <v/>
      </c>
      <c r="K251">
        <f>G251</f>
        <v/>
      </c>
    </row>
    <row r="252">
      <c r="E252">
        <f>D252*VLOOKUP(A252,04_PROYECTOS!$A:$N,5,FALSE)*(INDEX(02B_ESCENARIOS!$B$4:$D$11, MATCH("MULT_PRECIO", 02B_ESCENARIOS!$A$4:$A$11, 0), MATCH("Conservador", 02B_ESCENARIOS!$B$3:$D$3, 0)))*INDEX(02B_ESCENARIOS!$B$15:$D$19, MATCH(VLOOKUP(A252,04_PROYECTOS!$A:$N,9,FALSE), 02B_ESCENARIOS!$A$15:$A$19, 0), MATCH("Conservador", 02B_ESCENARIOS!$B$14:$D$14, 0))</f>
        <v/>
      </c>
      <c r="F252">
        <f>E252*VLOOKUP(A252,04_PROYECTOS!$A:$N,6,FALSE)</f>
        <v/>
      </c>
      <c r="G252">
        <f>E252+F252</f>
        <v/>
      </c>
      <c r="H252">
        <f>IF(VLOOKUP(A252,04_PROYECTOS!$A:$N,10,FALSE)="", IF(VLOOKUP(A252,04_PROYECTOS!$A:$N,4,FALSE)="Privado", INDEX(02B_ESCENARIOS!$B$4:$D$11, MATCH("DSO_PRIVADO_DEFAULT", 02B_ESCENARIOS!$A$4:$A$11, 0), MATCH("Conservador", 02B_ESCENARIOS!$B$3:$D$3, 0)), IF(VLOOKUP(A252,04_PROYECTOS!$A:$N,4,FALSE)="Publico_&lt;10M",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VLOOKUP(A252,04_PROYECTOS!$A:$N,10,FALSE))</f>
        <v/>
      </c>
      <c r="I252">
        <f>ROUNDUP(H252/30,0)</f>
        <v/>
      </c>
      <c r="J252">
        <f>EDATE(C252,I252)</f>
        <v/>
      </c>
      <c r="K252">
        <f>G252</f>
        <v/>
      </c>
    </row>
    <row r="253">
      <c r="E253">
        <f>D253*VLOOKUP(A253,04_PROYECTOS!$A:$N,5,FALSE)*(INDEX(02B_ESCENARIOS!$B$4:$D$11, MATCH("MULT_PRECIO", 02B_ESCENARIOS!$A$4:$A$11, 0), MATCH("Conservador", 02B_ESCENARIOS!$B$3:$D$3, 0)))*INDEX(02B_ESCENARIOS!$B$15:$D$19, MATCH(VLOOKUP(A253,04_PROYECTOS!$A:$N,9,FALSE), 02B_ESCENARIOS!$A$15:$A$19, 0), MATCH("Conservador", 02B_ESCENARIOS!$B$14:$D$14, 0))</f>
        <v/>
      </c>
      <c r="F253">
        <f>E253*VLOOKUP(A253,04_PROYECTOS!$A:$N,6,FALSE)</f>
        <v/>
      </c>
      <c r="G253">
        <f>E253+F253</f>
        <v/>
      </c>
      <c r="H253">
        <f>IF(VLOOKUP(A253,04_PROYECTOS!$A:$N,10,FALSE)="", IF(VLOOKUP(A253,04_PROYECTOS!$A:$N,4,FALSE)="Privado", INDEX(02B_ESCENARIOS!$B$4:$D$11, MATCH("DSO_PRIVADO_DEFAULT", 02B_ESCENARIOS!$A$4:$A$11, 0), MATCH("Conservador", 02B_ESCENARIOS!$B$3:$D$3, 0)), IF(VLOOKUP(A253,04_PROYECTOS!$A:$N,4,FALSE)="Publico_&lt;10M",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VLOOKUP(A253,04_PROYECTOS!$A:$N,10,FALSE))</f>
        <v/>
      </c>
      <c r="I253">
        <f>ROUNDUP(H253/30,0)</f>
        <v/>
      </c>
      <c r="J253">
        <f>EDATE(C253,I253)</f>
        <v/>
      </c>
      <c r="K253">
        <f>G253</f>
        <v/>
      </c>
    </row>
    <row r="254">
      <c r="E254">
        <f>D254*VLOOKUP(A254,04_PROYECTOS!$A:$N,5,FALSE)*(INDEX(02B_ESCENARIOS!$B$4:$D$11, MATCH("MULT_PRECIO", 02B_ESCENARIOS!$A$4:$A$11, 0), MATCH("Conservador", 02B_ESCENARIOS!$B$3:$D$3, 0)))*INDEX(02B_ESCENARIOS!$B$15:$D$19, MATCH(VLOOKUP(A254,04_PROYECTOS!$A:$N,9,FALSE), 02B_ESCENARIOS!$A$15:$A$19, 0), MATCH("Conservador", 02B_ESCENARIOS!$B$14:$D$14, 0))</f>
        <v/>
      </c>
      <c r="F254">
        <f>E254*VLOOKUP(A254,04_PROYECTOS!$A:$N,6,FALSE)</f>
        <v/>
      </c>
      <c r="G254">
        <f>E254+F254</f>
        <v/>
      </c>
      <c r="H254">
        <f>IF(VLOOKUP(A254,04_PROYECTOS!$A:$N,10,FALSE)="", IF(VLOOKUP(A254,04_PROYECTOS!$A:$N,4,FALSE)="Privado", INDEX(02B_ESCENARIOS!$B$4:$D$11, MATCH("DSO_PRIVADO_DEFAULT", 02B_ESCENARIOS!$A$4:$A$11, 0), MATCH("Conservador", 02B_ESCENARIOS!$B$3:$D$3, 0)), IF(VLOOKUP(A254,04_PROYECTOS!$A:$N,4,FALSE)="Publico_&lt;10M",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VLOOKUP(A254,04_PROYECTOS!$A:$N,10,FALSE))</f>
        <v/>
      </c>
      <c r="I254">
        <f>ROUNDUP(H254/30,0)</f>
        <v/>
      </c>
      <c r="J254">
        <f>EDATE(C254,I254)</f>
        <v/>
      </c>
      <c r="K254">
        <f>G254</f>
        <v/>
      </c>
    </row>
    <row r="255">
      <c r="E255">
        <f>D255*VLOOKUP(A255,04_PROYECTOS!$A:$N,5,FALSE)*(INDEX(02B_ESCENARIOS!$B$4:$D$11, MATCH("MULT_PRECIO", 02B_ESCENARIOS!$A$4:$A$11, 0), MATCH("Conservador", 02B_ESCENARIOS!$B$3:$D$3, 0)))*INDEX(02B_ESCENARIOS!$B$15:$D$19, MATCH(VLOOKUP(A255,04_PROYECTOS!$A:$N,9,FALSE), 02B_ESCENARIOS!$A$15:$A$19, 0), MATCH("Conservador", 02B_ESCENARIOS!$B$14:$D$14, 0))</f>
        <v/>
      </c>
      <c r="F255">
        <f>E255*VLOOKUP(A255,04_PROYECTOS!$A:$N,6,FALSE)</f>
        <v/>
      </c>
      <c r="G255">
        <f>E255+F255</f>
        <v/>
      </c>
      <c r="H255">
        <f>IF(VLOOKUP(A255,04_PROYECTOS!$A:$N,10,FALSE)="", IF(VLOOKUP(A255,04_PROYECTOS!$A:$N,4,FALSE)="Privado", INDEX(02B_ESCENARIOS!$B$4:$D$11, MATCH("DSO_PRIVADO_DEFAULT", 02B_ESCENARIOS!$A$4:$A$11, 0), MATCH("Conservador", 02B_ESCENARIOS!$B$3:$D$3, 0)), IF(VLOOKUP(A255,04_PROYECTOS!$A:$N,4,FALSE)="Publico_&lt;10M",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VLOOKUP(A255,04_PROYECTOS!$A:$N,10,FALSE))</f>
        <v/>
      </c>
      <c r="I255">
        <f>ROUNDUP(H255/30,0)</f>
        <v/>
      </c>
      <c r="J255">
        <f>EDATE(C255,I255)</f>
        <v/>
      </c>
      <c r="K255">
        <f>G255</f>
        <v/>
      </c>
    </row>
    <row r="256">
      <c r="E256">
        <f>D256*VLOOKUP(A256,04_PROYECTOS!$A:$N,5,FALSE)*(INDEX(02B_ESCENARIOS!$B$4:$D$11, MATCH("MULT_PRECIO", 02B_ESCENARIOS!$A$4:$A$11, 0), MATCH("Conservador", 02B_ESCENARIOS!$B$3:$D$3, 0)))*INDEX(02B_ESCENARIOS!$B$15:$D$19, MATCH(VLOOKUP(A256,04_PROYECTOS!$A:$N,9,FALSE), 02B_ESCENARIOS!$A$15:$A$19, 0), MATCH("Conservador", 02B_ESCENARIOS!$B$14:$D$14, 0))</f>
        <v/>
      </c>
      <c r="F256">
        <f>E256*VLOOKUP(A256,04_PROYECTOS!$A:$N,6,FALSE)</f>
        <v/>
      </c>
      <c r="G256">
        <f>E256+F256</f>
        <v/>
      </c>
      <c r="H256">
        <f>IF(VLOOKUP(A256,04_PROYECTOS!$A:$N,10,FALSE)="", IF(VLOOKUP(A256,04_PROYECTOS!$A:$N,4,FALSE)="Privado", INDEX(02B_ESCENARIOS!$B$4:$D$11, MATCH("DSO_PRIVADO_DEFAULT", 02B_ESCENARIOS!$A$4:$A$11, 0), MATCH("Conservador", 02B_ESCENARIOS!$B$3:$D$3, 0)), IF(VLOOKUP(A256,04_PROYECTOS!$A:$N,4,FALSE)="Publico_&lt;10M",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VLOOKUP(A256,04_PROYECTOS!$A:$N,10,FALSE))</f>
        <v/>
      </c>
      <c r="I256">
        <f>ROUNDUP(H256/30,0)</f>
        <v/>
      </c>
      <c r="J256">
        <f>EDATE(C256,I256)</f>
        <v/>
      </c>
      <c r="K256">
        <f>G256</f>
        <v/>
      </c>
    </row>
    <row r="257">
      <c r="E257">
        <f>D257*VLOOKUP(A257,04_PROYECTOS!$A:$N,5,FALSE)*(INDEX(02B_ESCENARIOS!$B$4:$D$11, MATCH("MULT_PRECIO", 02B_ESCENARIOS!$A$4:$A$11, 0), MATCH("Conservador", 02B_ESCENARIOS!$B$3:$D$3, 0)))*INDEX(02B_ESCENARIOS!$B$15:$D$19, MATCH(VLOOKUP(A257,04_PROYECTOS!$A:$N,9,FALSE), 02B_ESCENARIOS!$A$15:$A$19, 0), MATCH("Conservador", 02B_ESCENARIOS!$B$14:$D$14, 0))</f>
        <v/>
      </c>
      <c r="F257">
        <f>E257*VLOOKUP(A257,04_PROYECTOS!$A:$N,6,FALSE)</f>
        <v/>
      </c>
      <c r="G257">
        <f>E257+F257</f>
        <v/>
      </c>
      <c r="H257">
        <f>IF(VLOOKUP(A257,04_PROYECTOS!$A:$N,10,FALSE)="", IF(VLOOKUP(A257,04_PROYECTOS!$A:$N,4,FALSE)="Privado", INDEX(02B_ESCENARIOS!$B$4:$D$11, MATCH("DSO_PRIVADO_DEFAULT", 02B_ESCENARIOS!$A$4:$A$11, 0), MATCH("Conservador", 02B_ESCENARIOS!$B$3:$D$3, 0)), IF(VLOOKUP(A257,04_PROYECTOS!$A:$N,4,FALSE)="Publico_&lt;10M",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VLOOKUP(A257,04_PROYECTOS!$A:$N,10,FALSE))</f>
        <v/>
      </c>
      <c r="I257">
        <f>ROUNDUP(H257/30,0)</f>
        <v/>
      </c>
      <c r="J257">
        <f>EDATE(C257,I257)</f>
        <v/>
      </c>
      <c r="K257">
        <f>G257</f>
        <v/>
      </c>
    </row>
    <row r="258">
      <c r="E258">
        <f>D258*VLOOKUP(A258,04_PROYECTOS!$A:$N,5,FALSE)*(INDEX(02B_ESCENARIOS!$B$4:$D$11, MATCH("MULT_PRECIO", 02B_ESCENARIOS!$A$4:$A$11, 0), MATCH("Conservador", 02B_ESCENARIOS!$B$3:$D$3, 0)))*INDEX(02B_ESCENARIOS!$B$15:$D$19, MATCH(VLOOKUP(A258,04_PROYECTOS!$A:$N,9,FALSE), 02B_ESCENARIOS!$A$15:$A$19, 0), MATCH("Conservador", 02B_ESCENARIOS!$B$14:$D$14, 0))</f>
        <v/>
      </c>
      <c r="F258">
        <f>E258*VLOOKUP(A258,04_PROYECTOS!$A:$N,6,FALSE)</f>
        <v/>
      </c>
      <c r="G258">
        <f>E258+F258</f>
        <v/>
      </c>
      <c r="H258">
        <f>IF(VLOOKUP(A258,04_PROYECTOS!$A:$N,10,FALSE)="", IF(VLOOKUP(A258,04_PROYECTOS!$A:$N,4,FALSE)="Privado", INDEX(02B_ESCENARIOS!$B$4:$D$11, MATCH("DSO_PRIVADO_DEFAULT", 02B_ESCENARIOS!$A$4:$A$11, 0), MATCH("Conservador", 02B_ESCENARIOS!$B$3:$D$3, 0)), IF(VLOOKUP(A258,04_PROYECTOS!$A:$N,4,FALSE)="Publico_&lt;10M",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VLOOKUP(A258,04_PROYECTOS!$A:$N,10,FALSE))</f>
        <v/>
      </c>
      <c r="I258">
        <f>ROUNDUP(H258/30,0)</f>
        <v/>
      </c>
      <c r="J258">
        <f>EDATE(C258,I258)</f>
        <v/>
      </c>
      <c r="K258">
        <f>G258</f>
        <v/>
      </c>
    </row>
    <row r="259">
      <c r="E259">
        <f>D259*VLOOKUP(A259,04_PROYECTOS!$A:$N,5,FALSE)*(INDEX(02B_ESCENARIOS!$B$4:$D$11, MATCH("MULT_PRECIO", 02B_ESCENARIOS!$A$4:$A$11, 0), MATCH("Conservador", 02B_ESCENARIOS!$B$3:$D$3, 0)))*INDEX(02B_ESCENARIOS!$B$15:$D$19, MATCH(VLOOKUP(A259,04_PROYECTOS!$A:$N,9,FALSE), 02B_ESCENARIOS!$A$15:$A$19, 0), MATCH("Conservador", 02B_ESCENARIOS!$B$14:$D$14, 0))</f>
        <v/>
      </c>
      <c r="F259">
        <f>E259*VLOOKUP(A259,04_PROYECTOS!$A:$N,6,FALSE)</f>
        <v/>
      </c>
      <c r="G259">
        <f>E259+F259</f>
        <v/>
      </c>
      <c r="H259">
        <f>IF(VLOOKUP(A259,04_PROYECTOS!$A:$N,10,FALSE)="", IF(VLOOKUP(A259,04_PROYECTOS!$A:$N,4,FALSE)="Privado", INDEX(02B_ESCENARIOS!$B$4:$D$11, MATCH("DSO_PRIVADO_DEFAULT", 02B_ESCENARIOS!$A$4:$A$11, 0), MATCH("Conservador", 02B_ESCENARIOS!$B$3:$D$3, 0)), IF(VLOOKUP(A259,04_PROYECTOS!$A:$N,4,FALSE)="Publico_&lt;10M",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VLOOKUP(A259,04_PROYECTOS!$A:$N,10,FALSE))</f>
        <v/>
      </c>
      <c r="I259">
        <f>ROUNDUP(H259/30,0)</f>
        <v/>
      </c>
      <c r="J259">
        <f>EDATE(C259,I259)</f>
        <v/>
      </c>
      <c r="K259">
        <f>G259</f>
        <v/>
      </c>
    </row>
    <row r="260">
      <c r="E260">
        <f>D260*VLOOKUP(A260,04_PROYECTOS!$A:$N,5,FALSE)*(INDEX(02B_ESCENARIOS!$B$4:$D$11, MATCH("MULT_PRECIO", 02B_ESCENARIOS!$A$4:$A$11, 0), MATCH("Conservador", 02B_ESCENARIOS!$B$3:$D$3, 0)))*INDEX(02B_ESCENARIOS!$B$15:$D$19, MATCH(VLOOKUP(A260,04_PROYECTOS!$A:$N,9,FALSE), 02B_ESCENARIOS!$A$15:$A$19, 0), MATCH("Conservador", 02B_ESCENARIOS!$B$14:$D$14, 0))</f>
        <v/>
      </c>
      <c r="F260">
        <f>E260*VLOOKUP(A260,04_PROYECTOS!$A:$N,6,FALSE)</f>
        <v/>
      </c>
      <c r="G260">
        <f>E260+F260</f>
        <v/>
      </c>
      <c r="H260">
        <f>IF(VLOOKUP(A260,04_PROYECTOS!$A:$N,10,FALSE)="", IF(VLOOKUP(A260,04_PROYECTOS!$A:$N,4,FALSE)="Privado", INDEX(02B_ESCENARIOS!$B$4:$D$11, MATCH("DSO_PRIVADO_DEFAULT", 02B_ESCENARIOS!$A$4:$A$11, 0), MATCH("Conservador", 02B_ESCENARIOS!$B$3:$D$3, 0)), IF(VLOOKUP(A260,04_PROYECTOS!$A:$N,4,FALSE)="Publico_&lt;10M",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VLOOKUP(A260,04_PROYECTOS!$A:$N,10,FALSE))</f>
        <v/>
      </c>
      <c r="I260">
        <f>ROUNDUP(H260/30,0)</f>
        <v/>
      </c>
      <c r="J260">
        <f>EDATE(C260,I260)</f>
        <v/>
      </c>
      <c r="K260">
        <f>G260</f>
        <v/>
      </c>
    </row>
    <row r="261">
      <c r="E261">
        <f>D261*VLOOKUP(A261,04_PROYECTOS!$A:$N,5,FALSE)*(INDEX(02B_ESCENARIOS!$B$4:$D$11, MATCH("MULT_PRECIO", 02B_ESCENARIOS!$A$4:$A$11, 0), MATCH("Conservador", 02B_ESCENARIOS!$B$3:$D$3, 0)))*INDEX(02B_ESCENARIOS!$B$15:$D$19, MATCH(VLOOKUP(A261,04_PROYECTOS!$A:$N,9,FALSE), 02B_ESCENARIOS!$A$15:$A$19, 0), MATCH("Conservador", 02B_ESCENARIOS!$B$14:$D$14, 0))</f>
        <v/>
      </c>
      <c r="F261">
        <f>E261*VLOOKUP(A261,04_PROYECTOS!$A:$N,6,FALSE)</f>
        <v/>
      </c>
      <c r="G261">
        <f>E261+F261</f>
        <v/>
      </c>
      <c r="H261">
        <f>IF(VLOOKUP(A261,04_PROYECTOS!$A:$N,10,FALSE)="", IF(VLOOKUP(A261,04_PROYECTOS!$A:$N,4,FALSE)="Privado", INDEX(02B_ESCENARIOS!$B$4:$D$11, MATCH("DSO_PRIVADO_DEFAULT", 02B_ESCENARIOS!$A$4:$A$11, 0), MATCH("Conservador", 02B_ESCENARIOS!$B$3:$D$3, 0)), IF(VLOOKUP(A261,04_PROYECTOS!$A:$N,4,FALSE)="Publico_&lt;10M",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VLOOKUP(A261,04_PROYECTOS!$A:$N,10,FALSE))</f>
        <v/>
      </c>
      <c r="I261">
        <f>ROUNDUP(H261/30,0)</f>
        <v/>
      </c>
      <c r="J261">
        <f>EDATE(C261,I261)</f>
        <v/>
      </c>
      <c r="K261">
        <f>G261</f>
        <v/>
      </c>
    </row>
    <row r="262">
      <c r="E262">
        <f>D262*VLOOKUP(A262,04_PROYECTOS!$A:$N,5,FALSE)*(INDEX(02B_ESCENARIOS!$B$4:$D$11, MATCH("MULT_PRECIO", 02B_ESCENARIOS!$A$4:$A$11, 0), MATCH("Conservador", 02B_ESCENARIOS!$B$3:$D$3, 0)))*INDEX(02B_ESCENARIOS!$B$15:$D$19, MATCH(VLOOKUP(A262,04_PROYECTOS!$A:$N,9,FALSE), 02B_ESCENARIOS!$A$15:$A$19, 0), MATCH("Conservador", 02B_ESCENARIOS!$B$14:$D$14, 0))</f>
        <v/>
      </c>
      <c r="F262">
        <f>E262*VLOOKUP(A262,04_PROYECTOS!$A:$N,6,FALSE)</f>
        <v/>
      </c>
      <c r="G262">
        <f>E262+F262</f>
        <v/>
      </c>
      <c r="H262">
        <f>IF(VLOOKUP(A262,04_PROYECTOS!$A:$N,10,FALSE)="", IF(VLOOKUP(A262,04_PROYECTOS!$A:$N,4,FALSE)="Privado", INDEX(02B_ESCENARIOS!$B$4:$D$11, MATCH("DSO_PRIVADO_DEFAULT", 02B_ESCENARIOS!$A$4:$A$11, 0), MATCH("Conservador", 02B_ESCENARIOS!$B$3:$D$3, 0)), IF(VLOOKUP(A262,04_PROYECTOS!$A:$N,4,FALSE)="Publico_&lt;10M",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VLOOKUP(A262,04_PROYECTOS!$A:$N,10,FALSE))</f>
        <v/>
      </c>
      <c r="I262">
        <f>ROUNDUP(H262/30,0)</f>
        <v/>
      </c>
      <c r="J262">
        <f>EDATE(C262,I262)</f>
        <v/>
      </c>
      <c r="K262">
        <f>G262</f>
        <v/>
      </c>
    </row>
    <row r="263">
      <c r="E263">
        <f>D263*VLOOKUP(A263,04_PROYECTOS!$A:$N,5,FALSE)*(INDEX(02B_ESCENARIOS!$B$4:$D$11, MATCH("MULT_PRECIO", 02B_ESCENARIOS!$A$4:$A$11, 0), MATCH("Conservador", 02B_ESCENARIOS!$B$3:$D$3, 0)))*INDEX(02B_ESCENARIOS!$B$15:$D$19, MATCH(VLOOKUP(A263,04_PROYECTOS!$A:$N,9,FALSE), 02B_ESCENARIOS!$A$15:$A$19, 0), MATCH("Conservador", 02B_ESCENARIOS!$B$14:$D$14, 0))</f>
        <v/>
      </c>
      <c r="F263">
        <f>E263*VLOOKUP(A263,04_PROYECTOS!$A:$N,6,FALSE)</f>
        <v/>
      </c>
      <c r="G263">
        <f>E263+F263</f>
        <v/>
      </c>
      <c r="H263">
        <f>IF(VLOOKUP(A263,04_PROYECTOS!$A:$N,10,FALSE)="", IF(VLOOKUP(A263,04_PROYECTOS!$A:$N,4,FALSE)="Privado", INDEX(02B_ESCENARIOS!$B$4:$D$11, MATCH("DSO_PRIVADO_DEFAULT", 02B_ESCENARIOS!$A$4:$A$11, 0), MATCH("Conservador", 02B_ESCENARIOS!$B$3:$D$3, 0)), IF(VLOOKUP(A263,04_PROYECTOS!$A:$N,4,FALSE)="Publico_&lt;10M",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VLOOKUP(A263,04_PROYECTOS!$A:$N,10,FALSE))</f>
        <v/>
      </c>
      <c r="I263">
        <f>ROUNDUP(H263/30,0)</f>
        <v/>
      </c>
      <c r="J263">
        <f>EDATE(C263,I263)</f>
        <v/>
      </c>
      <c r="K263">
        <f>G263</f>
        <v/>
      </c>
    </row>
    <row r="264">
      <c r="E264">
        <f>D264*VLOOKUP(A264,04_PROYECTOS!$A:$N,5,FALSE)*(INDEX(02B_ESCENARIOS!$B$4:$D$11, MATCH("MULT_PRECIO", 02B_ESCENARIOS!$A$4:$A$11, 0), MATCH("Conservador", 02B_ESCENARIOS!$B$3:$D$3, 0)))*INDEX(02B_ESCENARIOS!$B$15:$D$19, MATCH(VLOOKUP(A264,04_PROYECTOS!$A:$N,9,FALSE), 02B_ESCENARIOS!$A$15:$A$19, 0), MATCH("Conservador", 02B_ESCENARIOS!$B$14:$D$14, 0))</f>
        <v/>
      </c>
      <c r="F264">
        <f>E264*VLOOKUP(A264,04_PROYECTOS!$A:$N,6,FALSE)</f>
        <v/>
      </c>
      <c r="G264">
        <f>E264+F264</f>
        <v/>
      </c>
      <c r="H264">
        <f>IF(VLOOKUP(A264,04_PROYECTOS!$A:$N,10,FALSE)="", IF(VLOOKUP(A264,04_PROYECTOS!$A:$N,4,FALSE)="Privado", INDEX(02B_ESCENARIOS!$B$4:$D$11, MATCH("DSO_PRIVADO_DEFAULT", 02B_ESCENARIOS!$A$4:$A$11, 0), MATCH("Conservador", 02B_ESCENARIOS!$B$3:$D$3, 0)), IF(VLOOKUP(A264,04_PROYECTOS!$A:$N,4,FALSE)="Publico_&lt;10M",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VLOOKUP(A264,04_PROYECTOS!$A:$N,10,FALSE))</f>
        <v/>
      </c>
      <c r="I264">
        <f>ROUNDUP(H264/30,0)</f>
        <v/>
      </c>
      <c r="J264">
        <f>EDATE(C264,I264)</f>
        <v/>
      </c>
      <c r="K264">
        <f>G264</f>
        <v/>
      </c>
    </row>
    <row r="265">
      <c r="E265">
        <f>D265*VLOOKUP(A265,04_PROYECTOS!$A:$N,5,FALSE)*(INDEX(02B_ESCENARIOS!$B$4:$D$11, MATCH("MULT_PRECIO", 02B_ESCENARIOS!$A$4:$A$11, 0), MATCH("Conservador", 02B_ESCENARIOS!$B$3:$D$3, 0)))*INDEX(02B_ESCENARIOS!$B$15:$D$19, MATCH(VLOOKUP(A265,04_PROYECTOS!$A:$N,9,FALSE), 02B_ESCENARIOS!$A$15:$A$19, 0), MATCH("Conservador", 02B_ESCENARIOS!$B$14:$D$14, 0))</f>
        <v/>
      </c>
      <c r="F265">
        <f>E265*VLOOKUP(A265,04_PROYECTOS!$A:$N,6,FALSE)</f>
        <v/>
      </c>
      <c r="G265">
        <f>E265+F265</f>
        <v/>
      </c>
      <c r="H265">
        <f>IF(VLOOKUP(A265,04_PROYECTOS!$A:$N,10,FALSE)="", IF(VLOOKUP(A265,04_PROYECTOS!$A:$N,4,FALSE)="Privado", INDEX(02B_ESCENARIOS!$B$4:$D$11, MATCH("DSO_PRIVADO_DEFAULT", 02B_ESCENARIOS!$A$4:$A$11, 0), MATCH("Conservador", 02B_ESCENARIOS!$B$3:$D$3, 0)), IF(VLOOKUP(A265,04_PROYECTOS!$A:$N,4,FALSE)="Publico_&lt;10M",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VLOOKUP(A265,04_PROYECTOS!$A:$N,10,FALSE))</f>
        <v/>
      </c>
      <c r="I265">
        <f>ROUNDUP(H265/30,0)</f>
        <v/>
      </c>
      <c r="J265">
        <f>EDATE(C265,I265)</f>
        <v/>
      </c>
      <c r="K265">
        <f>G265</f>
        <v/>
      </c>
    </row>
    <row r="266">
      <c r="E266">
        <f>D266*VLOOKUP(A266,04_PROYECTOS!$A:$N,5,FALSE)*(INDEX(02B_ESCENARIOS!$B$4:$D$11, MATCH("MULT_PRECIO", 02B_ESCENARIOS!$A$4:$A$11, 0), MATCH("Conservador", 02B_ESCENARIOS!$B$3:$D$3, 0)))*INDEX(02B_ESCENARIOS!$B$15:$D$19, MATCH(VLOOKUP(A266,04_PROYECTOS!$A:$N,9,FALSE), 02B_ESCENARIOS!$A$15:$A$19, 0), MATCH("Conservador", 02B_ESCENARIOS!$B$14:$D$14, 0))</f>
        <v/>
      </c>
      <c r="F266">
        <f>E266*VLOOKUP(A266,04_PROYECTOS!$A:$N,6,FALSE)</f>
        <v/>
      </c>
      <c r="G266">
        <f>E266+F266</f>
        <v/>
      </c>
      <c r="H266">
        <f>IF(VLOOKUP(A266,04_PROYECTOS!$A:$N,10,FALSE)="", IF(VLOOKUP(A266,04_PROYECTOS!$A:$N,4,FALSE)="Privado", INDEX(02B_ESCENARIOS!$B$4:$D$11, MATCH("DSO_PRIVADO_DEFAULT", 02B_ESCENARIOS!$A$4:$A$11, 0), MATCH("Conservador", 02B_ESCENARIOS!$B$3:$D$3, 0)), IF(VLOOKUP(A266,04_PROYECTOS!$A:$N,4,FALSE)="Publico_&lt;10M",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VLOOKUP(A266,04_PROYECTOS!$A:$N,10,FALSE))</f>
        <v/>
      </c>
      <c r="I266">
        <f>ROUNDUP(H266/30,0)</f>
        <v/>
      </c>
      <c r="J266">
        <f>EDATE(C266,I266)</f>
        <v/>
      </c>
      <c r="K266">
        <f>G266</f>
        <v/>
      </c>
    </row>
    <row r="267">
      <c r="E267">
        <f>D267*VLOOKUP(A267,04_PROYECTOS!$A:$N,5,FALSE)*(INDEX(02B_ESCENARIOS!$B$4:$D$11, MATCH("MULT_PRECIO", 02B_ESCENARIOS!$A$4:$A$11, 0), MATCH("Conservador", 02B_ESCENARIOS!$B$3:$D$3, 0)))*INDEX(02B_ESCENARIOS!$B$15:$D$19, MATCH(VLOOKUP(A267,04_PROYECTOS!$A:$N,9,FALSE), 02B_ESCENARIOS!$A$15:$A$19, 0), MATCH("Conservador", 02B_ESCENARIOS!$B$14:$D$14, 0))</f>
        <v/>
      </c>
      <c r="F267">
        <f>E267*VLOOKUP(A267,04_PROYECTOS!$A:$N,6,FALSE)</f>
        <v/>
      </c>
      <c r="G267">
        <f>E267+F267</f>
        <v/>
      </c>
      <c r="H267">
        <f>IF(VLOOKUP(A267,04_PROYECTOS!$A:$N,10,FALSE)="", IF(VLOOKUP(A267,04_PROYECTOS!$A:$N,4,FALSE)="Privado", INDEX(02B_ESCENARIOS!$B$4:$D$11, MATCH("DSO_PRIVADO_DEFAULT", 02B_ESCENARIOS!$A$4:$A$11, 0), MATCH("Conservador", 02B_ESCENARIOS!$B$3:$D$3, 0)), IF(VLOOKUP(A267,04_PROYECTOS!$A:$N,4,FALSE)="Publico_&lt;10M",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VLOOKUP(A267,04_PROYECTOS!$A:$N,10,FALSE))</f>
        <v/>
      </c>
      <c r="I267">
        <f>ROUNDUP(H267/30,0)</f>
        <v/>
      </c>
      <c r="J267">
        <f>EDATE(C267,I267)</f>
        <v/>
      </c>
      <c r="K267">
        <f>G267</f>
        <v/>
      </c>
    </row>
    <row r="268">
      <c r="E268">
        <f>D268*VLOOKUP(A268,04_PROYECTOS!$A:$N,5,FALSE)*(INDEX(02B_ESCENARIOS!$B$4:$D$11, MATCH("MULT_PRECIO", 02B_ESCENARIOS!$A$4:$A$11, 0), MATCH("Conservador", 02B_ESCENARIOS!$B$3:$D$3, 0)))*INDEX(02B_ESCENARIOS!$B$15:$D$19, MATCH(VLOOKUP(A268,04_PROYECTOS!$A:$N,9,FALSE), 02B_ESCENARIOS!$A$15:$A$19, 0), MATCH("Conservador", 02B_ESCENARIOS!$B$14:$D$14, 0))</f>
        <v/>
      </c>
      <c r="F268">
        <f>E268*VLOOKUP(A268,04_PROYECTOS!$A:$N,6,FALSE)</f>
        <v/>
      </c>
      <c r="G268">
        <f>E268+F268</f>
        <v/>
      </c>
      <c r="H268">
        <f>IF(VLOOKUP(A268,04_PROYECTOS!$A:$N,10,FALSE)="", IF(VLOOKUP(A268,04_PROYECTOS!$A:$N,4,FALSE)="Privado", INDEX(02B_ESCENARIOS!$B$4:$D$11, MATCH("DSO_PRIVADO_DEFAULT", 02B_ESCENARIOS!$A$4:$A$11, 0), MATCH("Conservador", 02B_ESCENARIOS!$B$3:$D$3, 0)), IF(VLOOKUP(A268,04_PROYECTOS!$A:$N,4,FALSE)="Publico_&lt;10M",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VLOOKUP(A268,04_PROYECTOS!$A:$N,10,FALSE))</f>
        <v/>
      </c>
      <c r="I268">
        <f>ROUNDUP(H268/30,0)</f>
        <v/>
      </c>
      <c r="J268">
        <f>EDATE(C268,I268)</f>
        <v/>
      </c>
      <c r="K268">
        <f>G268</f>
        <v/>
      </c>
    </row>
    <row r="269">
      <c r="E269">
        <f>D269*VLOOKUP(A269,04_PROYECTOS!$A:$N,5,FALSE)*(INDEX(02B_ESCENARIOS!$B$4:$D$11, MATCH("MULT_PRECIO", 02B_ESCENARIOS!$A$4:$A$11, 0), MATCH("Conservador", 02B_ESCENARIOS!$B$3:$D$3, 0)))*INDEX(02B_ESCENARIOS!$B$15:$D$19, MATCH(VLOOKUP(A269,04_PROYECTOS!$A:$N,9,FALSE), 02B_ESCENARIOS!$A$15:$A$19, 0), MATCH("Conservador", 02B_ESCENARIOS!$B$14:$D$14, 0))</f>
        <v/>
      </c>
      <c r="F269">
        <f>E269*VLOOKUP(A269,04_PROYECTOS!$A:$N,6,FALSE)</f>
        <v/>
      </c>
      <c r="G269">
        <f>E269+F269</f>
        <v/>
      </c>
      <c r="H269">
        <f>IF(VLOOKUP(A269,04_PROYECTOS!$A:$N,10,FALSE)="", IF(VLOOKUP(A269,04_PROYECTOS!$A:$N,4,FALSE)="Privado", INDEX(02B_ESCENARIOS!$B$4:$D$11, MATCH("DSO_PRIVADO_DEFAULT", 02B_ESCENARIOS!$A$4:$A$11, 0), MATCH("Conservador", 02B_ESCENARIOS!$B$3:$D$3, 0)), IF(VLOOKUP(A269,04_PROYECTOS!$A:$N,4,FALSE)="Publico_&lt;10M",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VLOOKUP(A269,04_PROYECTOS!$A:$N,10,FALSE))</f>
        <v/>
      </c>
      <c r="I269">
        <f>ROUNDUP(H269/30,0)</f>
        <v/>
      </c>
      <c r="J269">
        <f>EDATE(C269,I269)</f>
        <v/>
      </c>
      <c r="K269">
        <f>G269</f>
        <v/>
      </c>
    </row>
    <row r="270">
      <c r="E270">
        <f>D270*VLOOKUP(A270,04_PROYECTOS!$A:$N,5,FALSE)*(INDEX(02B_ESCENARIOS!$B$4:$D$11, MATCH("MULT_PRECIO", 02B_ESCENARIOS!$A$4:$A$11, 0), MATCH("Conservador", 02B_ESCENARIOS!$B$3:$D$3, 0)))*INDEX(02B_ESCENARIOS!$B$15:$D$19, MATCH(VLOOKUP(A270,04_PROYECTOS!$A:$N,9,FALSE), 02B_ESCENARIOS!$A$15:$A$19, 0), MATCH("Conservador", 02B_ESCENARIOS!$B$14:$D$14, 0))</f>
        <v/>
      </c>
      <c r="F270">
        <f>E270*VLOOKUP(A270,04_PROYECTOS!$A:$N,6,FALSE)</f>
        <v/>
      </c>
      <c r="G270">
        <f>E270+F270</f>
        <v/>
      </c>
      <c r="H270">
        <f>IF(VLOOKUP(A270,04_PROYECTOS!$A:$N,10,FALSE)="", IF(VLOOKUP(A270,04_PROYECTOS!$A:$N,4,FALSE)="Privado", INDEX(02B_ESCENARIOS!$B$4:$D$11, MATCH("DSO_PRIVADO_DEFAULT", 02B_ESCENARIOS!$A$4:$A$11, 0), MATCH("Conservador", 02B_ESCENARIOS!$B$3:$D$3, 0)), IF(VLOOKUP(A270,04_PROYECTOS!$A:$N,4,FALSE)="Publico_&lt;10M",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VLOOKUP(A270,04_PROYECTOS!$A:$N,10,FALSE))</f>
        <v/>
      </c>
      <c r="I270">
        <f>ROUNDUP(H270/30,0)</f>
        <v/>
      </c>
      <c r="J270">
        <f>EDATE(C270,I270)</f>
        <v/>
      </c>
      <c r="K270">
        <f>G270</f>
        <v/>
      </c>
    </row>
    <row r="271">
      <c r="E271">
        <f>D271*VLOOKUP(A271,04_PROYECTOS!$A:$N,5,FALSE)*(INDEX(02B_ESCENARIOS!$B$4:$D$11, MATCH("MULT_PRECIO", 02B_ESCENARIOS!$A$4:$A$11, 0), MATCH("Conservador", 02B_ESCENARIOS!$B$3:$D$3, 0)))*INDEX(02B_ESCENARIOS!$B$15:$D$19, MATCH(VLOOKUP(A271,04_PROYECTOS!$A:$N,9,FALSE), 02B_ESCENARIOS!$A$15:$A$19, 0), MATCH("Conservador", 02B_ESCENARIOS!$B$14:$D$14, 0))</f>
        <v/>
      </c>
      <c r="F271">
        <f>E271*VLOOKUP(A271,04_PROYECTOS!$A:$N,6,FALSE)</f>
        <v/>
      </c>
      <c r="G271">
        <f>E271+F271</f>
        <v/>
      </c>
      <c r="H271">
        <f>IF(VLOOKUP(A271,04_PROYECTOS!$A:$N,10,FALSE)="", IF(VLOOKUP(A271,04_PROYECTOS!$A:$N,4,FALSE)="Privado", INDEX(02B_ESCENARIOS!$B$4:$D$11, MATCH("DSO_PRIVADO_DEFAULT", 02B_ESCENARIOS!$A$4:$A$11, 0), MATCH("Conservador", 02B_ESCENARIOS!$B$3:$D$3, 0)), IF(VLOOKUP(A271,04_PROYECTOS!$A:$N,4,FALSE)="Publico_&lt;10M",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VLOOKUP(A271,04_PROYECTOS!$A:$N,10,FALSE))</f>
        <v/>
      </c>
      <c r="I271">
        <f>ROUNDUP(H271/30,0)</f>
        <v/>
      </c>
      <c r="J271">
        <f>EDATE(C271,I271)</f>
        <v/>
      </c>
      <c r="K271">
        <f>G271</f>
        <v/>
      </c>
    </row>
    <row r="272">
      <c r="E272">
        <f>D272*VLOOKUP(A272,04_PROYECTOS!$A:$N,5,FALSE)*(INDEX(02B_ESCENARIOS!$B$4:$D$11, MATCH("MULT_PRECIO", 02B_ESCENARIOS!$A$4:$A$11, 0), MATCH("Conservador", 02B_ESCENARIOS!$B$3:$D$3, 0)))*INDEX(02B_ESCENARIOS!$B$15:$D$19, MATCH(VLOOKUP(A272,04_PROYECTOS!$A:$N,9,FALSE), 02B_ESCENARIOS!$A$15:$A$19, 0), MATCH("Conservador", 02B_ESCENARIOS!$B$14:$D$14, 0))</f>
        <v/>
      </c>
      <c r="F272">
        <f>E272*VLOOKUP(A272,04_PROYECTOS!$A:$N,6,FALSE)</f>
        <v/>
      </c>
      <c r="G272">
        <f>E272+F272</f>
        <v/>
      </c>
      <c r="H272">
        <f>IF(VLOOKUP(A272,04_PROYECTOS!$A:$N,10,FALSE)="", IF(VLOOKUP(A272,04_PROYECTOS!$A:$N,4,FALSE)="Privado", INDEX(02B_ESCENARIOS!$B$4:$D$11, MATCH("DSO_PRIVADO_DEFAULT", 02B_ESCENARIOS!$A$4:$A$11, 0), MATCH("Conservador", 02B_ESCENARIOS!$B$3:$D$3, 0)), IF(VLOOKUP(A272,04_PROYECTOS!$A:$N,4,FALSE)="Publico_&lt;10M",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VLOOKUP(A272,04_PROYECTOS!$A:$N,10,FALSE))</f>
        <v/>
      </c>
      <c r="I272">
        <f>ROUNDUP(H272/30,0)</f>
        <v/>
      </c>
      <c r="J272">
        <f>EDATE(C272,I272)</f>
        <v/>
      </c>
      <c r="K272">
        <f>G272</f>
        <v/>
      </c>
    </row>
    <row r="273">
      <c r="E273">
        <f>D273*VLOOKUP(A273,04_PROYECTOS!$A:$N,5,FALSE)*(INDEX(02B_ESCENARIOS!$B$4:$D$11, MATCH("MULT_PRECIO", 02B_ESCENARIOS!$A$4:$A$11, 0), MATCH("Conservador", 02B_ESCENARIOS!$B$3:$D$3, 0)))*INDEX(02B_ESCENARIOS!$B$15:$D$19, MATCH(VLOOKUP(A273,04_PROYECTOS!$A:$N,9,FALSE), 02B_ESCENARIOS!$A$15:$A$19, 0), MATCH("Conservador", 02B_ESCENARIOS!$B$14:$D$14, 0))</f>
        <v/>
      </c>
      <c r="F273">
        <f>E273*VLOOKUP(A273,04_PROYECTOS!$A:$N,6,FALSE)</f>
        <v/>
      </c>
      <c r="G273">
        <f>E273+F273</f>
        <v/>
      </c>
      <c r="H273">
        <f>IF(VLOOKUP(A273,04_PROYECTOS!$A:$N,10,FALSE)="", IF(VLOOKUP(A273,04_PROYECTOS!$A:$N,4,FALSE)="Privado", INDEX(02B_ESCENARIOS!$B$4:$D$11, MATCH("DSO_PRIVADO_DEFAULT", 02B_ESCENARIOS!$A$4:$A$11, 0), MATCH("Conservador", 02B_ESCENARIOS!$B$3:$D$3, 0)), IF(VLOOKUP(A273,04_PROYECTOS!$A:$N,4,FALSE)="Publico_&lt;10M",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VLOOKUP(A273,04_PROYECTOS!$A:$N,10,FALSE))</f>
        <v/>
      </c>
      <c r="I273">
        <f>ROUNDUP(H273/30,0)</f>
        <v/>
      </c>
      <c r="J273">
        <f>EDATE(C273,I273)</f>
        <v/>
      </c>
      <c r="K273">
        <f>G273</f>
        <v/>
      </c>
    </row>
    <row r="274">
      <c r="E274">
        <f>D274*VLOOKUP(A274,04_PROYECTOS!$A:$N,5,FALSE)*(INDEX(02B_ESCENARIOS!$B$4:$D$11, MATCH("MULT_PRECIO", 02B_ESCENARIOS!$A$4:$A$11, 0), MATCH("Conservador", 02B_ESCENARIOS!$B$3:$D$3, 0)))*INDEX(02B_ESCENARIOS!$B$15:$D$19, MATCH(VLOOKUP(A274,04_PROYECTOS!$A:$N,9,FALSE), 02B_ESCENARIOS!$A$15:$A$19, 0), MATCH("Conservador", 02B_ESCENARIOS!$B$14:$D$14, 0))</f>
        <v/>
      </c>
      <c r="F274">
        <f>E274*VLOOKUP(A274,04_PROYECTOS!$A:$N,6,FALSE)</f>
        <v/>
      </c>
      <c r="G274">
        <f>E274+F274</f>
        <v/>
      </c>
      <c r="H274">
        <f>IF(VLOOKUP(A274,04_PROYECTOS!$A:$N,10,FALSE)="", IF(VLOOKUP(A274,04_PROYECTOS!$A:$N,4,FALSE)="Privado", INDEX(02B_ESCENARIOS!$B$4:$D$11, MATCH("DSO_PRIVADO_DEFAULT", 02B_ESCENARIOS!$A$4:$A$11, 0), MATCH("Conservador", 02B_ESCENARIOS!$B$3:$D$3, 0)), IF(VLOOKUP(A274,04_PROYECTOS!$A:$N,4,FALSE)="Publico_&lt;10M",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VLOOKUP(A274,04_PROYECTOS!$A:$N,10,FALSE))</f>
        <v/>
      </c>
      <c r="I274">
        <f>ROUNDUP(H274/30,0)</f>
        <v/>
      </c>
      <c r="J274">
        <f>EDATE(C274,I274)</f>
        <v/>
      </c>
      <c r="K274">
        <f>G274</f>
        <v/>
      </c>
    </row>
    <row r="275">
      <c r="E275">
        <f>D275*VLOOKUP(A275,04_PROYECTOS!$A:$N,5,FALSE)*(INDEX(02B_ESCENARIOS!$B$4:$D$11, MATCH("MULT_PRECIO", 02B_ESCENARIOS!$A$4:$A$11, 0), MATCH("Conservador", 02B_ESCENARIOS!$B$3:$D$3, 0)))*INDEX(02B_ESCENARIOS!$B$15:$D$19, MATCH(VLOOKUP(A275,04_PROYECTOS!$A:$N,9,FALSE), 02B_ESCENARIOS!$A$15:$A$19, 0), MATCH("Conservador", 02B_ESCENARIOS!$B$14:$D$14, 0))</f>
        <v/>
      </c>
      <c r="F275">
        <f>E275*VLOOKUP(A275,04_PROYECTOS!$A:$N,6,FALSE)</f>
        <v/>
      </c>
      <c r="G275">
        <f>E275+F275</f>
        <v/>
      </c>
      <c r="H275">
        <f>IF(VLOOKUP(A275,04_PROYECTOS!$A:$N,10,FALSE)="", IF(VLOOKUP(A275,04_PROYECTOS!$A:$N,4,FALSE)="Privado", INDEX(02B_ESCENARIOS!$B$4:$D$11, MATCH("DSO_PRIVADO_DEFAULT", 02B_ESCENARIOS!$A$4:$A$11, 0), MATCH("Conservador", 02B_ESCENARIOS!$B$3:$D$3, 0)), IF(VLOOKUP(A275,04_PROYECTOS!$A:$N,4,FALSE)="Publico_&lt;10M",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VLOOKUP(A275,04_PROYECTOS!$A:$N,10,FALSE))</f>
        <v/>
      </c>
      <c r="I275">
        <f>ROUNDUP(H275/30,0)</f>
        <v/>
      </c>
      <c r="J275">
        <f>EDATE(C275,I275)</f>
        <v/>
      </c>
      <c r="K275">
        <f>G275</f>
        <v/>
      </c>
    </row>
    <row r="276">
      <c r="E276">
        <f>D276*VLOOKUP(A276,04_PROYECTOS!$A:$N,5,FALSE)*(INDEX(02B_ESCENARIOS!$B$4:$D$11, MATCH("MULT_PRECIO", 02B_ESCENARIOS!$A$4:$A$11, 0), MATCH("Conservador", 02B_ESCENARIOS!$B$3:$D$3, 0)))*INDEX(02B_ESCENARIOS!$B$15:$D$19, MATCH(VLOOKUP(A276,04_PROYECTOS!$A:$N,9,FALSE), 02B_ESCENARIOS!$A$15:$A$19, 0), MATCH("Conservador", 02B_ESCENARIOS!$B$14:$D$14, 0))</f>
        <v/>
      </c>
      <c r="F276">
        <f>E276*VLOOKUP(A276,04_PROYECTOS!$A:$N,6,FALSE)</f>
        <v/>
      </c>
      <c r="G276">
        <f>E276+F276</f>
        <v/>
      </c>
      <c r="H276">
        <f>IF(VLOOKUP(A276,04_PROYECTOS!$A:$N,10,FALSE)="", IF(VLOOKUP(A276,04_PROYECTOS!$A:$N,4,FALSE)="Privado", INDEX(02B_ESCENARIOS!$B$4:$D$11, MATCH("DSO_PRIVADO_DEFAULT", 02B_ESCENARIOS!$A$4:$A$11, 0), MATCH("Conservador", 02B_ESCENARIOS!$B$3:$D$3, 0)), IF(VLOOKUP(A276,04_PROYECTOS!$A:$N,4,FALSE)="Publico_&lt;10M",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VLOOKUP(A276,04_PROYECTOS!$A:$N,10,FALSE))</f>
        <v/>
      </c>
      <c r="I276">
        <f>ROUNDUP(H276/30,0)</f>
        <v/>
      </c>
      <c r="J276">
        <f>EDATE(C276,I276)</f>
        <v/>
      </c>
      <c r="K276">
        <f>G276</f>
        <v/>
      </c>
    </row>
    <row r="277">
      <c r="E277">
        <f>D277*VLOOKUP(A277,04_PROYECTOS!$A:$N,5,FALSE)*(INDEX(02B_ESCENARIOS!$B$4:$D$11, MATCH("MULT_PRECIO", 02B_ESCENARIOS!$A$4:$A$11, 0), MATCH("Conservador", 02B_ESCENARIOS!$B$3:$D$3, 0)))*INDEX(02B_ESCENARIOS!$B$15:$D$19, MATCH(VLOOKUP(A277,04_PROYECTOS!$A:$N,9,FALSE), 02B_ESCENARIOS!$A$15:$A$19, 0), MATCH("Conservador", 02B_ESCENARIOS!$B$14:$D$14, 0))</f>
        <v/>
      </c>
      <c r="F277">
        <f>E277*VLOOKUP(A277,04_PROYECTOS!$A:$N,6,FALSE)</f>
        <v/>
      </c>
      <c r="G277">
        <f>E277+F277</f>
        <v/>
      </c>
      <c r="H277">
        <f>IF(VLOOKUP(A277,04_PROYECTOS!$A:$N,10,FALSE)="", IF(VLOOKUP(A277,04_PROYECTOS!$A:$N,4,FALSE)="Privado", INDEX(02B_ESCENARIOS!$B$4:$D$11, MATCH("DSO_PRIVADO_DEFAULT", 02B_ESCENARIOS!$A$4:$A$11, 0), MATCH("Conservador", 02B_ESCENARIOS!$B$3:$D$3, 0)), IF(VLOOKUP(A277,04_PROYECTOS!$A:$N,4,FALSE)="Publico_&lt;10M",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VLOOKUP(A277,04_PROYECTOS!$A:$N,10,FALSE))</f>
        <v/>
      </c>
      <c r="I277">
        <f>ROUNDUP(H277/30,0)</f>
        <v/>
      </c>
      <c r="J277">
        <f>EDATE(C277,I277)</f>
        <v/>
      </c>
      <c r="K277">
        <f>G277</f>
        <v/>
      </c>
    </row>
    <row r="278">
      <c r="E278">
        <f>D278*VLOOKUP(A278,04_PROYECTOS!$A:$N,5,FALSE)*(INDEX(02B_ESCENARIOS!$B$4:$D$11, MATCH("MULT_PRECIO", 02B_ESCENARIOS!$A$4:$A$11, 0), MATCH("Conservador", 02B_ESCENARIOS!$B$3:$D$3, 0)))*INDEX(02B_ESCENARIOS!$B$15:$D$19, MATCH(VLOOKUP(A278,04_PROYECTOS!$A:$N,9,FALSE), 02B_ESCENARIOS!$A$15:$A$19, 0), MATCH("Conservador", 02B_ESCENARIOS!$B$14:$D$14, 0))</f>
        <v/>
      </c>
      <c r="F278">
        <f>E278*VLOOKUP(A278,04_PROYECTOS!$A:$N,6,FALSE)</f>
        <v/>
      </c>
      <c r="G278">
        <f>E278+F278</f>
        <v/>
      </c>
      <c r="H278">
        <f>IF(VLOOKUP(A278,04_PROYECTOS!$A:$N,10,FALSE)="", IF(VLOOKUP(A278,04_PROYECTOS!$A:$N,4,FALSE)="Privado", INDEX(02B_ESCENARIOS!$B$4:$D$11, MATCH("DSO_PRIVADO_DEFAULT", 02B_ESCENARIOS!$A$4:$A$11, 0), MATCH("Conservador", 02B_ESCENARIOS!$B$3:$D$3, 0)), IF(VLOOKUP(A278,04_PROYECTOS!$A:$N,4,FALSE)="Publico_&lt;10M",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VLOOKUP(A278,04_PROYECTOS!$A:$N,10,FALSE))</f>
        <v/>
      </c>
      <c r="I278">
        <f>ROUNDUP(H278/30,0)</f>
        <v/>
      </c>
      <c r="J278">
        <f>EDATE(C278,I278)</f>
        <v/>
      </c>
      <c r="K278">
        <f>G278</f>
        <v/>
      </c>
    </row>
    <row r="279">
      <c r="E279">
        <f>D279*VLOOKUP(A279,04_PROYECTOS!$A:$N,5,FALSE)*(INDEX(02B_ESCENARIOS!$B$4:$D$11, MATCH("MULT_PRECIO", 02B_ESCENARIOS!$A$4:$A$11, 0), MATCH("Conservador", 02B_ESCENARIOS!$B$3:$D$3, 0)))*INDEX(02B_ESCENARIOS!$B$15:$D$19, MATCH(VLOOKUP(A279,04_PROYECTOS!$A:$N,9,FALSE), 02B_ESCENARIOS!$A$15:$A$19, 0), MATCH("Conservador", 02B_ESCENARIOS!$B$14:$D$14, 0))</f>
        <v/>
      </c>
      <c r="F279">
        <f>E279*VLOOKUP(A279,04_PROYECTOS!$A:$N,6,FALSE)</f>
        <v/>
      </c>
      <c r="G279">
        <f>E279+F279</f>
        <v/>
      </c>
      <c r="H279">
        <f>IF(VLOOKUP(A279,04_PROYECTOS!$A:$N,10,FALSE)="", IF(VLOOKUP(A279,04_PROYECTOS!$A:$N,4,FALSE)="Privado", INDEX(02B_ESCENARIOS!$B$4:$D$11, MATCH("DSO_PRIVADO_DEFAULT", 02B_ESCENARIOS!$A$4:$A$11, 0), MATCH("Conservador", 02B_ESCENARIOS!$B$3:$D$3, 0)), IF(VLOOKUP(A279,04_PROYECTOS!$A:$N,4,FALSE)="Publico_&lt;10M",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VLOOKUP(A279,04_PROYECTOS!$A:$N,10,FALSE))</f>
        <v/>
      </c>
      <c r="I279">
        <f>ROUNDUP(H279/30,0)</f>
        <v/>
      </c>
      <c r="J279">
        <f>EDATE(C279,I279)</f>
        <v/>
      </c>
      <c r="K279">
        <f>G279</f>
        <v/>
      </c>
    </row>
    <row r="280">
      <c r="E280">
        <f>D280*VLOOKUP(A280,04_PROYECTOS!$A:$N,5,FALSE)*(INDEX(02B_ESCENARIOS!$B$4:$D$11, MATCH("MULT_PRECIO", 02B_ESCENARIOS!$A$4:$A$11, 0), MATCH("Conservador", 02B_ESCENARIOS!$B$3:$D$3, 0)))*INDEX(02B_ESCENARIOS!$B$15:$D$19, MATCH(VLOOKUP(A280,04_PROYECTOS!$A:$N,9,FALSE), 02B_ESCENARIOS!$A$15:$A$19, 0), MATCH("Conservador", 02B_ESCENARIOS!$B$14:$D$14, 0))</f>
        <v/>
      </c>
      <c r="F280">
        <f>E280*VLOOKUP(A280,04_PROYECTOS!$A:$N,6,FALSE)</f>
        <v/>
      </c>
      <c r="G280">
        <f>E280+F280</f>
        <v/>
      </c>
      <c r="H280">
        <f>IF(VLOOKUP(A280,04_PROYECTOS!$A:$N,10,FALSE)="", IF(VLOOKUP(A280,04_PROYECTOS!$A:$N,4,FALSE)="Privado", INDEX(02B_ESCENARIOS!$B$4:$D$11, MATCH("DSO_PRIVADO_DEFAULT", 02B_ESCENARIOS!$A$4:$A$11, 0), MATCH("Conservador", 02B_ESCENARIOS!$B$3:$D$3, 0)), IF(VLOOKUP(A280,04_PROYECTOS!$A:$N,4,FALSE)="Publico_&lt;10M",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VLOOKUP(A280,04_PROYECTOS!$A:$N,10,FALSE))</f>
        <v/>
      </c>
      <c r="I280">
        <f>ROUNDUP(H280/30,0)</f>
        <v/>
      </c>
      <c r="J280">
        <f>EDATE(C280,I280)</f>
        <v/>
      </c>
      <c r="K280">
        <f>G280</f>
        <v/>
      </c>
    </row>
    <row r="281">
      <c r="E281">
        <f>D281*VLOOKUP(A281,04_PROYECTOS!$A:$N,5,FALSE)*(INDEX(02B_ESCENARIOS!$B$4:$D$11, MATCH("MULT_PRECIO", 02B_ESCENARIOS!$A$4:$A$11, 0), MATCH("Conservador", 02B_ESCENARIOS!$B$3:$D$3, 0)))*INDEX(02B_ESCENARIOS!$B$15:$D$19, MATCH(VLOOKUP(A281,04_PROYECTOS!$A:$N,9,FALSE), 02B_ESCENARIOS!$A$15:$A$19, 0), MATCH("Conservador", 02B_ESCENARIOS!$B$14:$D$14, 0))</f>
        <v/>
      </c>
      <c r="F281">
        <f>E281*VLOOKUP(A281,04_PROYECTOS!$A:$N,6,FALSE)</f>
        <v/>
      </c>
      <c r="G281">
        <f>E281+F281</f>
        <v/>
      </c>
      <c r="H281">
        <f>IF(VLOOKUP(A281,04_PROYECTOS!$A:$N,10,FALSE)="", IF(VLOOKUP(A281,04_PROYECTOS!$A:$N,4,FALSE)="Privado", INDEX(02B_ESCENARIOS!$B$4:$D$11, MATCH("DSO_PRIVADO_DEFAULT", 02B_ESCENARIOS!$A$4:$A$11, 0), MATCH("Conservador", 02B_ESCENARIOS!$B$3:$D$3, 0)), IF(VLOOKUP(A281,04_PROYECTOS!$A:$N,4,FALSE)="Publico_&lt;10M",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VLOOKUP(A281,04_PROYECTOS!$A:$N,10,FALSE))</f>
        <v/>
      </c>
      <c r="I281">
        <f>ROUNDUP(H281/30,0)</f>
        <v/>
      </c>
      <c r="J281">
        <f>EDATE(C281,I281)</f>
        <v/>
      </c>
      <c r="K281">
        <f>G281</f>
        <v/>
      </c>
    </row>
    <row r="282">
      <c r="E282">
        <f>D282*VLOOKUP(A282,04_PROYECTOS!$A:$N,5,FALSE)*(INDEX(02B_ESCENARIOS!$B$4:$D$11, MATCH("MULT_PRECIO", 02B_ESCENARIOS!$A$4:$A$11, 0), MATCH("Conservador", 02B_ESCENARIOS!$B$3:$D$3, 0)))*INDEX(02B_ESCENARIOS!$B$15:$D$19, MATCH(VLOOKUP(A282,04_PROYECTOS!$A:$N,9,FALSE), 02B_ESCENARIOS!$A$15:$A$19, 0), MATCH("Conservador", 02B_ESCENARIOS!$B$14:$D$14, 0))</f>
        <v/>
      </c>
      <c r="F282">
        <f>E282*VLOOKUP(A282,04_PROYECTOS!$A:$N,6,FALSE)</f>
        <v/>
      </c>
      <c r="G282">
        <f>E282+F282</f>
        <v/>
      </c>
      <c r="H282">
        <f>IF(VLOOKUP(A282,04_PROYECTOS!$A:$N,10,FALSE)="", IF(VLOOKUP(A282,04_PROYECTOS!$A:$N,4,FALSE)="Privado", INDEX(02B_ESCENARIOS!$B$4:$D$11, MATCH("DSO_PRIVADO_DEFAULT", 02B_ESCENARIOS!$A$4:$A$11, 0), MATCH("Conservador", 02B_ESCENARIOS!$B$3:$D$3, 0)), IF(VLOOKUP(A282,04_PROYECTOS!$A:$N,4,FALSE)="Publico_&lt;10M",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VLOOKUP(A282,04_PROYECTOS!$A:$N,10,FALSE))</f>
        <v/>
      </c>
      <c r="I282">
        <f>ROUNDUP(H282/30,0)</f>
        <v/>
      </c>
      <c r="J282">
        <f>EDATE(C282,I282)</f>
        <v/>
      </c>
      <c r="K282">
        <f>G282</f>
        <v/>
      </c>
    </row>
    <row r="283">
      <c r="E283">
        <f>D283*VLOOKUP(A283,04_PROYECTOS!$A:$N,5,FALSE)*(INDEX(02B_ESCENARIOS!$B$4:$D$11, MATCH("MULT_PRECIO", 02B_ESCENARIOS!$A$4:$A$11, 0), MATCH("Conservador", 02B_ESCENARIOS!$B$3:$D$3, 0)))*INDEX(02B_ESCENARIOS!$B$15:$D$19, MATCH(VLOOKUP(A283,04_PROYECTOS!$A:$N,9,FALSE), 02B_ESCENARIOS!$A$15:$A$19, 0), MATCH("Conservador", 02B_ESCENARIOS!$B$14:$D$14, 0))</f>
        <v/>
      </c>
      <c r="F283">
        <f>E283*VLOOKUP(A283,04_PROYECTOS!$A:$N,6,FALSE)</f>
        <v/>
      </c>
      <c r="G283">
        <f>E283+F283</f>
        <v/>
      </c>
      <c r="H283">
        <f>IF(VLOOKUP(A283,04_PROYECTOS!$A:$N,10,FALSE)="", IF(VLOOKUP(A283,04_PROYECTOS!$A:$N,4,FALSE)="Privado", INDEX(02B_ESCENARIOS!$B$4:$D$11, MATCH("DSO_PRIVADO_DEFAULT", 02B_ESCENARIOS!$A$4:$A$11, 0), MATCH("Conservador", 02B_ESCENARIOS!$B$3:$D$3, 0)), IF(VLOOKUP(A283,04_PROYECTOS!$A:$N,4,FALSE)="Publico_&lt;10M",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VLOOKUP(A283,04_PROYECTOS!$A:$N,10,FALSE))</f>
        <v/>
      </c>
      <c r="I283">
        <f>ROUNDUP(H283/30,0)</f>
        <v/>
      </c>
      <c r="J283">
        <f>EDATE(C283,I283)</f>
        <v/>
      </c>
      <c r="K283">
        <f>G283</f>
        <v/>
      </c>
    </row>
    <row r="284">
      <c r="E284">
        <f>D284*VLOOKUP(A284,04_PROYECTOS!$A:$N,5,FALSE)*(INDEX(02B_ESCENARIOS!$B$4:$D$11, MATCH("MULT_PRECIO", 02B_ESCENARIOS!$A$4:$A$11, 0), MATCH("Conservador", 02B_ESCENARIOS!$B$3:$D$3, 0)))*INDEX(02B_ESCENARIOS!$B$15:$D$19, MATCH(VLOOKUP(A284,04_PROYECTOS!$A:$N,9,FALSE), 02B_ESCENARIOS!$A$15:$A$19, 0), MATCH("Conservador", 02B_ESCENARIOS!$B$14:$D$14, 0))</f>
        <v/>
      </c>
      <c r="F284">
        <f>E284*VLOOKUP(A284,04_PROYECTOS!$A:$N,6,FALSE)</f>
        <v/>
      </c>
      <c r="G284">
        <f>E284+F284</f>
        <v/>
      </c>
      <c r="H284">
        <f>IF(VLOOKUP(A284,04_PROYECTOS!$A:$N,10,FALSE)="", IF(VLOOKUP(A284,04_PROYECTOS!$A:$N,4,FALSE)="Privado", INDEX(02B_ESCENARIOS!$B$4:$D$11, MATCH("DSO_PRIVADO_DEFAULT", 02B_ESCENARIOS!$A$4:$A$11, 0), MATCH("Conservador", 02B_ESCENARIOS!$B$3:$D$3, 0)), IF(VLOOKUP(A284,04_PROYECTOS!$A:$N,4,FALSE)="Publico_&lt;10M",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VLOOKUP(A284,04_PROYECTOS!$A:$N,10,FALSE))</f>
        <v/>
      </c>
      <c r="I284">
        <f>ROUNDUP(H284/30,0)</f>
        <v/>
      </c>
      <c r="J284">
        <f>EDATE(C284,I284)</f>
        <v/>
      </c>
      <c r="K284">
        <f>G284</f>
        <v/>
      </c>
    </row>
    <row r="285">
      <c r="E285">
        <f>D285*VLOOKUP(A285,04_PROYECTOS!$A:$N,5,FALSE)*(INDEX(02B_ESCENARIOS!$B$4:$D$11, MATCH("MULT_PRECIO", 02B_ESCENARIOS!$A$4:$A$11, 0), MATCH("Conservador", 02B_ESCENARIOS!$B$3:$D$3, 0)))*INDEX(02B_ESCENARIOS!$B$15:$D$19, MATCH(VLOOKUP(A285,04_PROYECTOS!$A:$N,9,FALSE), 02B_ESCENARIOS!$A$15:$A$19, 0), MATCH("Conservador", 02B_ESCENARIOS!$B$14:$D$14, 0))</f>
        <v/>
      </c>
      <c r="F285">
        <f>E285*VLOOKUP(A285,04_PROYECTOS!$A:$N,6,FALSE)</f>
        <v/>
      </c>
      <c r="G285">
        <f>E285+F285</f>
        <v/>
      </c>
      <c r="H285">
        <f>IF(VLOOKUP(A285,04_PROYECTOS!$A:$N,10,FALSE)="", IF(VLOOKUP(A285,04_PROYECTOS!$A:$N,4,FALSE)="Privado", INDEX(02B_ESCENARIOS!$B$4:$D$11, MATCH("DSO_PRIVADO_DEFAULT", 02B_ESCENARIOS!$A$4:$A$11, 0), MATCH("Conservador", 02B_ESCENARIOS!$B$3:$D$3, 0)), IF(VLOOKUP(A285,04_PROYECTOS!$A:$N,4,FALSE)="Publico_&lt;10M",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VLOOKUP(A285,04_PROYECTOS!$A:$N,10,FALSE))</f>
        <v/>
      </c>
      <c r="I285">
        <f>ROUNDUP(H285/30,0)</f>
        <v/>
      </c>
      <c r="J285">
        <f>EDATE(C285,I285)</f>
        <v/>
      </c>
      <c r="K285">
        <f>G285</f>
        <v/>
      </c>
    </row>
    <row r="286">
      <c r="E286">
        <f>D286*VLOOKUP(A286,04_PROYECTOS!$A:$N,5,FALSE)*(INDEX(02B_ESCENARIOS!$B$4:$D$11, MATCH("MULT_PRECIO", 02B_ESCENARIOS!$A$4:$A$11, 0), MATCH("Conservador", 02B_ESCENARIOS!$B$3:$D$3, 0)))*INDEX(02B_ESCENARIOS!$B$15:$D$19, MATCH(VLOOKUP(A286,04_PROYECTOS!$A:$N,9,FALSE), 02B_ESCENARIOS!$A$15:$A$19, 0), MATCH("Conservador", 02B_ESCENARIOS!$B$14:$D$14, 0))</f>
        <v/>
      </c>
      <c r="F286">
        <f>E286*VLOOKUP(A286,04_PROYECTOS!$A:$N,6,FALSE)</f>
        <v/>
      </c>
      <c r="G286">
        <f>E286+F286</f>
        <v/>
      </c>
      <c r="H286">
        <f>IF(VLOOKUP(A286,04_PROYECTOS!$A:$N,10,FALSE)="", IF(VLOOKUP(A286,04_PROYECTOS!$A:$N,4,FALSE)="Privado", INDEX(02B_ESCENARIOS!$B$4:$D$11, MATCH("DSO_PRIVADO_DEFAULT", 02B_ESCENARIOS!$A$4:$A$11, 0), MATCH("Conservador", 02B_ESCENARIOS!$B$3:$D$3, 0)), IF(VLOOKUP(A286,04_PROYECTOS!$A:$N,4,FALSE)="Publico_&lt;10M",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VLOOKUP(A286,04_PROYECTOS!$A:$N,10,FALSE))</f>
        <v/>
      </c>
      <c r="I286">
        <f>ROUNDUP(H286/30,0)</f>
        <v/>
      </c>
      <c r="J286">
        <f>EDATE(C286,I286)</f>
        <v/>
      </c>
      <c r="K286">
        <f>G286</f>
        <v/>
      </c>
    </row>
    <row r="287">
      <c r="E287">
        <f>D287*VLOOKUP(A287,04_PROYECTOS!$A:$N,5,FALSE)*(INDEX(02B_ESCENARIOS!$B$4:$D$11, MATCH("MULT_PRECIO", 02B_ESCENARIOS!$A$4:$A$11, 0), MATCH("Conservador", 02B_ESCENARIOS!$B$3:$D$3, 0)))*INDEX(02B_ESCENARIOS!$B$15:$D$19, MATCH(VLOOKUP(A287,04_PROYECTOS!$A:$N,9,FALSE), 02B_ESCENARIOS!$A$15:$A$19, 0), MATCH("Conservador", 02B_ESCENARIOS!$B$14:$D$14, 0))</f>
        <v/>
      </c>
      <c r="F287">
        <f>E287*VLOOKUP(A287,04_PROYECTOS!$A:$N,6,FALSE)</f>
        <v/>
      </c>
      <c r="G287">
        <f>E287+F287</f>
        <v/>
      </c>
      <c r="H287">
        <f>IF(VLOOKUP(A287,04_PROYECTOS!$A:$N,10,FALSE)="", IF(VLOOKUP(A287,04_PROYECTOS!$A:$N,4,FALSE)="Privado", INDEX(02B_ESCENARIOS!$B$4:$D$11, MATCH("DSO_PRIVADO_DEFAULT", 02B_ESCENARIOS!$A$4:$A$11, 0), MATCH("Conservador", 02B_ESCENARIOS!$B$3:$D$3, 0)), IF(VLOOKUP(A287,04_PROYECTOS!$A:$N,4,FALSE)="Publico_&lt;10M",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VLOOKUP(A287,04_PROYECTOS!$A:$N,10,FALSE))</f>
        <v/>
      </c>
      <c r="I287">
        <f>ROUNDUP(H287/30,0)</f>
        <v/>
      </c>
      <c r="J287">
        <f>EDATE(C287,I287)</f>
        <v/>
      </c>
      <c r="K287">
        <f>G287</f>
        <v/>
      </c>
    </row>
    <row r="288">
      <c r="E288">
        <f>D288*VLOOKUP(A288,04_PROYECTOS!$A:$N,5,FALSE)*(INDEX(02B_ESCENARIOS!$B$4:$D$11, MATCH("MULT_PRECIO", 02B_ESCENARIOS!$A$4:$A$11, 0), MATCH("Conservador", 02B_ESCENARIOS!$B$3:$D$3, 0)))*INDEX(02B_ESCENARIOS!$B$15:$D$19, MATCH(VLOOKUP(A288,04_PROYECTOS!$A:$N,9,FALSE), 02B_ESCENARIOS!$A$15:$A$19, 0), MATCH("Conservador", 02B_ESCENARIOS!$B$14:$D$14, 0))</f>
        <v/>
      </c>
      <c r="F288">
        <f>E288*VLOOKUP(A288,04_PROYECTOS!$A:$N,6,FALSE)</f>
        <v/>
      </c>
      <c r="G288">
        <f>E288+F288</f>
        <v/>
      </c>
      <c r="H288">
        <f>IF(VLOOKUP(A288,04_PROYECTOS!$A:$N,10,FALSE)="", IF(VLOOKUP(A288,04_PROYECTOS!$A:$N,4,FALSE)="Privado", INDEX(02B_ESCENARIOS!$B$4:$D$11, MATCH("DSO_PRIVADO_DEFAULT", 02B_ESCENARIOS!$A$4:$A$11, 0), MATCH("Conservador", 02B_ESCENARIOS!$B$3:$D$3, 0)), IF(VLOOKUP(A288,04_PROYECTOS!$A:$N,4,FALSE)="Publico_&lt;10M",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VLOOKUP(A288,04_PROYECTOS!$A:$N,10,FALSE))</f>
        <v/>
      </c>
      <c r="I288">
        <f>ROUNDUP(H288/30,0)</f>
        <v/>
      </c>
      <c r="J288">
        <f>EDATE(C288,I288)</f>
        <v/>
      </c>
      <c r="K288">
        <f>G288</f>
        <v/>
      </c>
    </row>
    <row r="289">
      <c r="E289">
        <f>D289*VLOOKUP(A289,04_PROYECTOS!$A:$N,5,FALSE)*(INDEX(02B_ESCENARIOS!$B$4:$D$11, MATCH("MULT_PRECIO", 02B_ESCENARIOS!$A$4:$A$11, 0), MATCH("Conservador", 02B_ESCENARIOS!$B$3:$D$3, 0)))*INDEX(02B_ESCENARIOS!$B$15:$D$19, MATCH(VLOOKUP(A289,04_PROYECTOS!$A:$N,9,FALSE), 02B_ESCENARIOS!$A$15:$A$19, 0), MATCH("Conservador", 02B_ESCENARIOS!$B$14:$D$14, 0))</f>
        <v/>
      </c>
      <c r="F289">
        <f>E289*VLOOKUP(A289,04_PROYECTOS!$A:$N,6,FALSE)</f>
        <v/>
      </c>
      <c r="G289">
        <f>E289+F289</f>
        <v/>
      </c>
      <c r="H289">
        <f>IF(VLOOKUP(A289,04_PROYECTOS!$A:$N,10,FALSE)="", IF(VLOOKUP(A289,04_PROYECTOS!$A:$N,4,FALSE)="Privado", INDEX(02B_ESCENARIOS!$B$4:$D$11, MATCH("DSO_PRIVADO_DEFAULT", 02B_ESCENARIOS!$A$4:$A$11, 0), MATCH("Conservador", 02B_ESCENARIOS!$B$3:$D$3, 0)), IF(VLOOKUP(A289,04_PROYECTOS!$A:$N,4,FALSE)="Publico_&lt;10M",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VLOOKUP(A289,04_PROYECTOS!$A:$N,10,FALSE))</f>
        <v/>
      </c>
      <c r="I289">
        <f>ROUNDUP(H289/30,0)</f>
        <v/>
      </c>
      <c r="J289">
        <f>EDATE(C289,I289)</f>
        <v/>
      </c>
      <c r="K289">
        <f>G289</f>
        <v/>
      </c>
    </row>
    <row r="290">
      <c r="E290">
        <f>D290*VLOOKUP(A290,04_PROYECTOS!$A:$N,5,FALSE)*(INDEX(02B_ESCENARIOS!$B$4:$D$11, MATCH("MULT_PRECIO", 02B_ESCENARIOS!$A$4:$A$11, 0), MATCH("Conservador", 02B_ESCENARIOS!$B$3:$D$3, 0)))*INDEX(02B_ESCENARIOS!$B$15:$D$19, MATCH(VLOOKUP(A290,04_PROYECTOS!$A:$N,9,FALSE), 02B_ESCENARIOS!$A$15:$A$19, 0), MATCH("Conservador", 02B_ESCENARIOS!$B$14:$D$14, 0))</f>
        <v/>
      </c>
      <c r="F290">
        <f>E290*VLOOKUP(A290,04_PROYECTOS!$A:$N,6,FALSE)</f>
        <v/>
      </c>
      <c r="G290">
        <f>E290+F290</f>
        <v/>
      </c>
      <c r="H290">
        <f>IF(VLOOKUP(A290,04_PROYECTOS!$A:$N,10,FALSE)="", IF(VLOOKUP(A290,04_PROYECTOS!$A:$N,4,FALSE)="Privado", INDEX(02B_ESCENARIOS!$B$4:$D$11, MATCH("DSO_PRIVADO_DEFAULT", 02B_ESCENARIOS!$A$4:$A$11, 0), MATCH("Conservador", 02B_ESCENARIOS!$B$3:$D$3, 0)), IF(VLOOKUP(A290,04_PROYECTOS!$A:$N,4,FALSE)="Publico_&lt;10M",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VLOOKUP(A290,04_PROYECTOS!$A:$N,10,FALSE))</f>
        <v/>
      </c>
      <c r="I290">
        <f>ROUNDUP(H290/30,0)</f>
        <v/>
      </c>
      <c r="J290">
        <f>EDATE(C290,I290)</f>
        <v/>
      </c>
      <c r="K290">
        <f>G290</f>
        <v/>
      </c>
    </row>
    <row r="291">
      <c r="E291">
        <f>D291*VLOOKUP(A291,04_PROYECTOS!$A:$N,5,FALSE)*(INDEX(02B_ESCENARIOS!$B$4:$D$11, MATCH("MULT_PRECIO", 02B_ESCENARIOS!$A$4:$A$11, 0), MATCH("Conservador", 02B_ESCENARIOS!$B$3:$D$3, 0)))*INDEX(02B_ESCENARIOS!$B$15:$D$19, MATCH(VLOOKUP(A291,04_PROYECTOS!$A:$N,9,FALSE), 02B_ESCENARIOS!$A$15:$A$19, 0), MATCH("Conservador", 02B_ESCENARIOS!$B$14:$D$14, 0))</f>
        <v/>
      </c>
      <c r="F291">
        <f>E291*VLOOKUP(A291,04_PROYECTOS!$A:$N,6,FALSE)</f>
        <v/>
      </c>
      <c r="G291">
        <f>E291+F291</f>
        <v/>
      </c>
      <c r="H291">
        <f>IF(VLOOKUP(A291,04_PROYECTOS!$A:$N,10,FALSE)="", IF(VLOOKUP(A291,04_PROYECTOS!$A:$N,4,FALSE)="Privado", INDEX(02B_ESCENARIOS!$B$4:$D$11, MATCH("DSO_PRIVADO_DEFAULT", 02B_ESCENARIOS!$A$4:$A$11, 0), MATCH("Conservador", 02B_ESCENARIOS!$B$3:$D$3, 0)), IF(VLOOKUP(A291,04_PROYECTOS!$A:$N,4,FALSE)="Publico_&lt;10M",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VLOOKUP(A291,04_PROYECTOS!$A:$N,10,FALSE))</f>
        <v/>
      </c>
      <c r="I291">
        <f>ROUNDUP(H291/30,0)</f>
        <v/>
      </c>
      <c r="J291">
        <f>EDATE(C291,I291)</f>
        <v/>
      </c>
      <c r="K291">
        <f>G291</f>
        <v/>
      </c>
    </row>
    <row r="292">
      <c r="E292">
        <f>D292*VLOOKUP(A292,04_PROYECTOS!$A:$N,5,FALSE)*(INDEX(02B_ESCENARIOS!$B$4:$D$11, MATCH("MULT_PRECIO", 02B_ESCENARIOS!$A$4:$A$11, 0), MATCH("Conservador", 02B_ESCENARIOS!$B$3:$D$3, 0)))*INDEX(02B_ESCENARIOS!$B$15:$D$19, MATCH(VLOOKUP(A292,04_PROYECTOS!$A:$N,9,FALSE), 02B_ESCENARIOS!$A$15:$A$19, 0), MATCH("Conservador", 02B_ESCENARIOS!$B$14:$D$14, 0))</f>
        <v/>
      </c>
      <c r="F292">
        <f>E292*VLOOKUP(A292,04_PROYECTOS!$A:$N,6,FALSE)</f>
        <v/>
      </c>
      <c r="G292">
        <f>E292+F292</f>
        <v/>
      </c>
      <c r="H292">
        <f>IF(VLOOKUP(A292,04_PROYECTOS!$A:$N,10,FALSE)="", IF(VLOOKUP(A292,04_PROYECTOS!$A:$N,4,FALSE)="Privado", INDEX(02B_ESCENARIOS!$B$4:$D$11, MATCH("DSO_PRIVADO_DEFAULT", 02B_ESCENARIOS!$A$4:$A$11, 0), MATCH("Conservador", 02B_ESCENARIOS!$B$3:$D$3, 0)), IF(VLOOKUP(A292,04_PROYECTOS!$A:$N,4,FALSE)="Publico_&lt;10M",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VLOOKUP(A292,04_PROYECTOS!$A:$N,10,FALSE))</f>
        <v/>
      </c>
      <c r="I292">
        <f>ROUNDUP(H292/30,0)</f>
        <v/>
      </c>
      <c r="J292">
        <f>EDATE(C292,I292)</f>
        <v/>
      </c>
      <c r="K292">
        <f>G292</f>
        <v/>
      </c>
    </row>
    <row r="293">
      <c r="E293">
        <f>D293*VLOOKUP(A293,04_PROYECTOS!$A:$N,5,FALSE)*(INDEX(02B_ESCENARIOS!$B$4:$D$11, MATCH("MULT_PRECIO", 02B_ESCENARIOS!$A$4:$A$11, 0), MATCH("Conservador", 02B_ESCENARIOS!$B$3:$D$3, 0)))*INDEX(02B_ESCENARIOS!$B$15:$D$19, MATCH(VLOOKUP(A293,04_PROYECTOS!$A:$N,9,FALSE), 02B_ESCENARIOS!$A$15:$A$19, 0), MATCH("Conservador", 02B_ESCENARIOS!$B$14:$D$14, 0))</f>
        <v/>
      </c>
      <c r="F293">
        <f>E293*VLOOKUP(A293,04_PROYECTOS!$A:$N,6,FALSE)</f>
        <v/>
      </c>
      <c r="G293">
        <f>E293+F293</f>
        <v/>
      </c>
      <c r="H293">
        <f>IF(VLOOKUP(A293,04_PROYECTOS!$A:$N,10,FALSE)="", IF(VLOOKUP(A293,04_PROYECTOS!$A:$N,4,FALSE)="Privado", INDEX(02B_ESCENARIOS!$B$4:$D$11, MATCH("DSO_PRIVADO_DEFAULT", 02B_ESCENARIOS!$A$4:$A$11, 0), MATCH("Conservador", 02B_ESCENARIOS!$B$3:$D$3, 0)), IF(VLOOKUP(A293,04_PROYECTOS!$A:$N,4,FALSE)="Publico_&lt;10M",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VLOOKUP(A293,04_PROYECTOS!$A:$N,10,FALSE))</f>
        <v/>
      </c>
      <c r="I293">
        <f>ROUNDUP(H293/30,0)</f>
        <v/>
      </c>
      <c r="J293">
        <f>EDATE(C293,I293)</f>
        <v/>
      </c>
      <c r="K293">
        <f>G293</f>
        <v/>
      </c>
    </row>
    <row r="294">
      <c r="E294">
        <f>D294*VLOOKUP(A294,04_PROYECTOS!$A:$N,5,FALSE)*(INDEX(02B_ESCENARIOS!$B$4:$D$11, MATCH("MULT_PRECIO", 02B_ESCENARIOS!$A$4:$A$11, 0), MATCH("Conservador", 02B_ESCENARIOS!$B$3:$D$3, 0)))*INDEX(02B_ESCENARIOS!$B$15:$D$19, MATCH(VLOOKUP(A294,04_PROYECTOS!$A:$N,9,FALSE), 02B_ESCENARIOS!$A$15:$A$19, 0), MATCH("Conservador", 02B_ESCENARIOS!$B$14:$D$14, 0))</f>
        <v/>
      </c>
      <c r="F294">
        <f>E294*VLOOKUP(A294,04_PROYECTOS!$A:$N,6,FALSE)</f>
        <v/>
      </c>
      <c r="G294">
        <f>E294+F294</f>
        <v/>
      </c>
      <c r="H294">
        <f>IF(VLOOKUP(A294,04_PROYECTOS!$A:$N,10,FALSE)="", IF(VLOOKUP(A294,04_PROYECTOS!$A:$N,4,FALSE)="Privado", INDEX(02B_ESCENARIOS!$B$4:$D$11, MATCH("DSO_PRIVADO_DEFAULT", 02B_ESCENARIOS!$A$4:$A$11, 0), MATCH("Conservador", 02B_ESCENARIOS!$B$3:$D$3, 0)), IF(VLOOKUP(A294,04_PROYECTOS!$A:$N,4,FALSE)="Publico_&lt;10M",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VLOOKUP(A294,04_PROYECTOS!$A:$N,10,FALSE))</f>
        <v/>
      </c>
      <c r="I294">
        <f>ROUNDUP(H294/30,0)</f>
        <v/>
      </c>
      <c r="J294">
        <f>EDATE(C294,I294)</f>
        <v/>
      </c>
      <c r="K294">
        <f>G294</f>
        <v/>
      </c>
    </row>
    <row r="295">
      <c r="E295">
        <f>D295*VLOOKUP(A295,04_PROYECTOS!$A:$N,5,FALSE)*(INDEX(02B_ESCENARIOS!$B$4:$D$11, MATCH("MULT_PRECIO", 02B_ESCENARIOS!$A$4:$A$11, 0), MATCH("Conservador", 02B_ESCENARIOS!$B$3:$D$3, 0)))*INDEX(02B_ESCENARIOS!$B$15:$D$19, MATCH(VLOOKUP(A295,04_PROYECTOS!$A:$N,9,FALSE), 02B_ESCENARIOS!$A$15:$A$19, 0), MATCH("Conservador", 02B_ESCENARIOS!$B$14:$D$14, 0))</f>
        <v/>
      </c>
      <c r="F295">
        <f>E295*VLOOKUP(A295,04_PROYECTOS!$A:$N,6,FALSE)</f>
        <v/>
      </c>
      <c r="G295">
        <f>E295+F295</f>
        <v/>
      </c>
      <c r="H295">
        <f>IF(VLOOKUP(A295,04_PROYECTOS!$A:$N,10,FALSE)="", IF(VLOOKUP(A295,04_PROYECTOS!$A:$N,4,FALSE)="Privado", INDEX(02B_ESCENARIOS!$B$4:$D$11, MATCH("DSO_PRIVADO_DEFAULT", 02B_ESCENARIOS!$A$4:$A$11, 0), MATCH("Conservador", 02B_ESCENARIOS!$B$3:$D$3, 0)), IF(VLOOKUP(A295,04_PROYECTOS!$A:$N,4,FALSE)="Publico_&lt;10M",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VLOOKUP(A295,04_PROYECTOS!$A:$N,10,FALSE))</f>
        <v/>
      </c>
      <c r="I295">
        <f>ROUNDUP(H295/30,0)</f>
        <v/>
      </c>
      <c r="J295">
        <f>EDATE(C295,I295)</f>
        <v/>
      </c>
      <c r="K295">
        <f>G295</f>
        <v/>
      </c>
    </row>
    <row r="296">
      <c r="E296">
        <f>D296*VLOOKUP(A296,04_PROYECTOS!$A:$N,5,FALSE)*(INDEX(02B_ESCENARIOS!$B$4:$D$11, MATCH("MULT_PRECIO", 02B_ESCENARIOS!$A$4:$A$11, 0), MATCH("Conservador", 02B_ESCENARIOS!$B$3:$D$3, 0)))*INDEX(02B_ESCENARIOS!$B$15:$D$19, MATCH(VLOOKUP(A296,04_PROYECTOS!$A:$N,9,FALSE), 02B_ESCENARIOS!$A$15:$A$19, 0), MATCH("Conservador", 02B_ESCENARIOS!$B$14:$D$14, 0))</f>
        <v/>
      </c>
      <c r="F296">
        <f>E296*VLOOKUP(A296,04_PROYECTOS!$A:$N,6,FALSE)</f>
        <v/>
      </c>
      <c r="G296">
        <f>E296+F296</f>
        <v/>
      </c>
      <c r="H296">
        <f>IF(VLOOKUP(A296,04_PROYECTOS!$A:$N,10,FALSE)="", IF(VLOOKUP(A296,04_PROYECTOS!$A:$N,4,FALSE)="Privado", INDEX(02B_ESCENARIOS!$B$4:$D$11, MATCH("DSO_PRIVADO_DEFAULT", 02B_ESCENARIOS!$A$4:$A$11, 0), MATCH("Conservador", 02B_ESCENARIOS!$B$3:$D$3, 0)), IF(VLOOKUP(A296,04_PROYECTOS!$A:$N,4,FALSE)="Publico_&lt;10M",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VLOOKUP(A296,04_PROYECTOS!$A:$N,10,FALSE))</f>
        <v/>
      </c>
      <c r="I296">
        <f>ROUNDUP(H296/30,0)</f>
        <v/>
      </c>
      <c r="J296">
        <f>EDATE(C296,I296)</f>
        <v/>
      </c>
      <c r="K296">
        <f>G296</f>
        <v/>
      </c>
    </row>
    <row r="297">
      <c r="E297">
        <f>D297*VLOOKUP(A297,04_PROYECTOS!$A:$N,5,FALSE)*(INDEX(02B_ESCENARIOS!$B$4:$D$11, MATCH("MULT_PRECIO", 02B_ESCENARIOS!$A$4:$A$11, 0), MATCH("Conservador", 02B_ESCENARIOS!$B$3:$D$3, 0)))*INDEX(02B_ESCENARIOS!$B$15:$D$19, MATCH(VLOOKUP(A297,04_PROYECTOS!$A:$N,9,FALSE), 02B_ESCENARIOS!$A$15:$A$19, 0), MATCH("Conservador", 02B_ESCENARIOS!$B$14:$D$14, 0))</f>
        <v/>
      </c>
      <c r="F297">
        <f>E297*VLOOKUP(A297,04_PROYECTOS!$A:$N,6,FALSE)</f>
        <v/>
      </c>
      <c r="G297">
        <f>E297+F297</f>
        <v/>
      </c>
      <c r="H297">
        <f>IF(VLOOKUP(A297,04_PROYECTOS!$A:$N,10,FALSE)="", IF(VLOOKUP(A297,04_PROYECTOS!$A:$N,4,FALSE)="Privado", INDEX(02B_ESCENARIOS!$B$4:$D$11, MATCH("DSO_PRIVADO_DEFAULT", 02B_ESCENARIOS!$A$4:$A$11, 0), MATCH("Conservador", 02B_ESCENARIOS!$B$3:$D$3, 0)), IF(VLOOKUP(A297,04_PROYECTOS!$A:$N,4,FALSE)="Publico_&lt;10M",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VLOOKUP(A297,04_PROYECTOS!$A:$N,10,FALSE))</f>
        <v/>
      </c>
      <c r="I297">
        <f>ROUNDUP(H297/30,0)</f>
        <v/>
      </c>
      <c r="J297">
        <f>EDATE(C297,I297)</f>
        <v/>
      </c>
      <c r="K297">
        <f>G297</f>
        <v/>
      </c>
    </row>
    <row r="298">
      <c r="E298">
        <f>D298*VLOOKUP(A298,04_PROYECTOS!$A:$N,5,FALSE)*(INDEX(02B_ESCENARIOS!$B$4:$D$11, MATCH("MULT_PRECIO", 02B_ESCENARIOS!$A$4:$A$11, 0), MATCH("Conservador", 02B_ESCENARIOS!$B$3:$D$3, 0)))*INDEX(02B_ESCENARIOS!$B$15:$D$19, MATCH(VLOOKUP(A298,04_PROYECTOS!$A:$N,9,FALSE), 02B_ESCENARIOS!$A$15:$A$19, 0), MATCH("Conservador", 02B_ESCENARIOS!$B$14:$D$14, 0))</f>
        <v/>
      </c>
      <c r="F298">
        <f>E298*VLOOKUP(A298,04_PROYECTOS!$A:$N,6,FALSE)</f>
        <v/>
      </c>
      <c r="G298">
        <f>E298+F298</f>
        <v/>
      </c>
      <c r="H298">
        <f>IF(VLOOKUP(A298,04_PROYECTOS!$A:$N,10,FALSE)="", IF(VLOOKUP(A298,04_PROYECTOS!$A:$N,4,FALSE)="Privado", INDEX(02B_ESCENARIOS!$B$4:$D$11, MATCH("DSO_PRIVADO_DEFAULT", 02B_ESCENARIOS!$A$4:$A$11, 0), MATCH("Conservador", 02B_ESCENARIOS!$B$3:$D$3, 0)), IF(VLOOKUP(A298,04_PROYECTOS!$A:$N,4,FALSE)="Publico_&lt;10M",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VLOOKUP(A298,04_PROYECTOS!$A:$N,10,FALSE))</f>
        <v/>
      </c>
      <c r="I298">
        <f>ROUNDUP(H298/30,0)</f>
        <v/>
      </c>
      <c r="J298">
        <f>EDATE(C298,I298)</f>
        <v/>
      </c>
      <c r="K298">
        <f>G298</f>
        <v/>
      </c>
    </row>
    <row r="299">
      <c r="E299">
        <f>D299*VLOOKUP(A299,04_PROYECTOS!$A:$N,5,FALSE)*(INDEX(02B_ESCENARIOS!$B$4:$D$11, MATCH("MULT_PRECIO", 02B_ESCENARIOS!$A$4:$A$11, 0), MATCH("Conservador", 02B_ESCENARIOS!$B$3:$D$3, 0)))*INDEX(02B_ESCENARIOS!$B$15:$D$19, MATCH(VLOOKUP(A299,04_PROYECTOS!$A:$N,9,FALSE), 02B_ESCENARIOS!$A$15:$A$19, 0), MATCH("Conservador", 02B_ESCENARIOS!$B$14:$D$14, 0))</f>
        <v/>
      </c>
      <c r="F299">
        <f>E299*VLOOKUP(A299,04_PROYECTOS!$A:$N,6,FALSE)</f>
        <v/>
      </c>
      <c r="G299">
        <f>E299+F299</f>
        <v/>
      </c>
      <c r="H299">
        <f>IF(VLOOKUP(A299,04_PROYECTOS!$A:$N,10,FALSE)="", IF(VLOOKUP(A299,04_PROYECTOS!$A:$N,4,FALSE)="Privado", INDEX(02B_ESCENARIOS!$B$4:$D$11, MATCH("DSO_PRIVADO_DEFAULT", 02B_ESCENARIOS!$A$4:$A$11, 0), MATCH("Conservador", 02B_ESCENARIOS!$B$3:$D$3, 0)), IF(VLOOKUP(A299,04_PROYECTOS!$A:$N,4,FALSE)="Publico_&lt;10M",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VLOOKUP(A299,04_PROYECTOS!$A:$N,10,FALSE))</f>
        <v/>
      </c>
      <c r="I299">
        <f>ROUNDUP(H299/30,0)</f>
        <v/>
      </c>
      <c r="J299">
        <f>EDATE(C299,I299)</f>
        <v/>
      </c>
      <c r="K299">
        <f>G299</f>
        <v/>
      </c>
    </row>
    <row r="300">
      <c r="E300">
        <f>D300*VLOOKUP(A300,04_PROYECTOS!$A:$N,5,FALSE)*(INDEX(02B_ESCENARIOS!$B$4:$D$11, MATCH("MULT_PRECIO", 02B_ESCENARIOS!$A$4:$A$11, 0), MATCH("Conservador", 02B_ESCENARIOS!$B$3:$D$3, 0)))*INDEX(02B_ESCENARIOS!$B$15:$D$19, MATCH(VLOOKUP(A300,04_PROYECTOS!$A:$N,9,FALSE), 02B_ESCENARIOS!$A$15:$A$19, 0), MATCH("Conservador", 02B_ESCENARIOS!$B$14:$D$14, 0))</f>
        <v/>
      </c>
      <c r="F300">
        <f>E300*VLOOKUP(A300,04_PROYECTOS!$A:$N,6,FALSE)</f>
        <v/>
      </c>
      <c r="G300">
        <f>E300+F300</f>
        <v/>
      </c>
      <c r="H300">
        <f>IF(VLOOKUP(A300,04_PROYECTOS!$A:$N,10,FALSE)="", IF(VLOOKUP(A300,04_PROYECTOS!$A:$N,4,FALSE)="Privado", INDEX(02B_ESCENARIOS!$B$4:$D$11, MATCH("DSO_PRIVADO_DEFAULT", 02B_ESCENARIOS!$A$4:$A$11, 0), MATCH("Conservador", 02B_ESCENARIOS!$B$3:$D$3, 0)), IF(VLOOKUP(A300,04_PROYECTOS!$A:$N,4,FALSE)="Publico_&lt;10M",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VLOOKUP(A300,04_PROYECTOS!$A:$N,10,FALSE))</f>
        <v/>
      </c>
      <c r="I300">
        <f>ROUNDUP(H300/30,0)</f>
        <v/>
      </c>
      <c r="J300">
        <f>EDATE(C300,I300)</f>
        <v/>
      </c>
      <c r="K300">
        <f>G300</f>
        <v/>
      </c>
    </row>
    <row r="301">
      <c r="E301">
        <f>D301*VLOOKUP(A301,04_PROYECTOS!$A:$N,5,FALSE)*(INDEX(02B_ESCENARIOS!$B$4:$D$11, MATCH("MULT_PRECIO", 02B_ESCENARIOS!$A$4:$A$11, 0), MATCH("Conservador", 02B_ESCENARIOS!$B$3:$D$3, 0)))*INDEX(02B_ESCENARIOS!$B$15:$D$19, MATCH(VLOOKUP(A301,04_PROYECTOS!$A:$N,9,FALSE), 02B_ESCENARIOS!$A$15:$A$19, 0), MATCH("Conservador", 02B_ESCENARIOS!$B$14:$D$14, 0))</f>
        <v/>
      </c>
      <c r="F301">
        <f>E301*VLOOKUP(A301,04_PROYECTOS!$A:$N,6,FALSE)</f>
        <v/>
      </c>
      <c r="G301">
        <f>E301+F301</f>
        <v/>
      </c>
      <c r="H301">
        <f>IF(VLOOKUP(A301,04_PROYECTOS!$A:$N,10,FALSE)="", IF(VLOOKUP(A301,04_PROYECTOS!$A:$N,4,FALSE)="Privado", INDEX(02B_ESCENARIOS!$B$4:$D$11, MATCH("DSO_PRIVADO_DEFAULT", 02B_ESCENARIOS!$A$4:$A$11, 0), MATCH("Conservador", 02B_ESCENARIOS!$B$3:$D$3, 0)), IF(VLOOKUP(A301,04_PROYECTOS!$A:$N,4,FALSE)="Publico_&lt;10M",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VLOOKUP(A301,04_PROYECTOS!$A:$N,10,FALSE))</f>
        <v/>
      </c>
      <c r="I301">
        <f>ROUNDUP(H301/30,0)</f>
        <v/>
      </c>
      <c r="J301">
        <f>EDATE(C301,I301)</f>
        <v/>
      </c>
      <c r="K301">
        <f>G301</f>
        <v/>
      </c>
    </row>
    <row r="302">
      <c r="E302">
        <f>D302*VLOOKUP(A302,04_PROYECTOS!$A:$N,5,FALSE)*(INDEX(02B_ESCENARIOS!$B$4:$D$11, MATCH("MULT_PRECIO", 02B_ESCENARIOS!$A$4:$A$11, 0), MATCH("Conservador", 02B_ESCENARIOS!$B$3:$D$3, 0)))*INDEX(02B_ESCENARIOS!$B$15:$D$19, MATCH(VLOOKUP(A302,04_PROYECTOS!$A:$N,9,FALSE), 02B_ESCENARIOS!$A$15:$A$19, 0), MATCH("Conservador", 02B_ESCENARIOS!$B$14:$D$14, 0))</f>
        <v/>
      </c>
      <c r="F302">
        <f>E302*VLOOKUP(A302,04_PROYECTOS!$A:$N,6,FALSE)</f>
        <v/>
      </c>
      <c r="G302">
        <f>E302+F302</f>
        <v/>
      </c>
      <c r="H302">
        <f>IF(VLOOKUP(A302,04_PROYECTOS!$A:$N,10,FALSE)="", IF(VLOOKUP(A302,04_PROYECTOS!$A:$N,4,FALSE)="Privado", INDEX(02B_ESCENARIOS!$B$4:$D$11, MATCH("DSO_PRIVADO_DEFAULT", 02B_ESCENARIOS!$A$4:$A$11, 0), MATCH("Conservador", 02B_ESCENARIOS!$B$3:$D$3, 0)), IF(VLOOKUP(A302,04_PROYECTOS!$A:$N,4,FALSE)="Publico_&lt;10M",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VLOOKUP(A302,04_PROYECTOS!$A:$N,10,FALSE))</f>
        <v/>
      </c>
      <c r="I302">
        <f>ROUNDUP(H302/30,0)</f>
        <v/>
      </c>
      <c r="J302">
        <f>EDATE(C302,I302)</f>
        <v/>
      </c>
      <c r="K302">
        <f>G302</f>
        <v/>
      </c>
    </row>
    <row r="303">
      <c r="E303">
        <f>D303*VLOOKUP(A303,04_PROYECTOS!$A:$N,5,FALSE)*(INDEX(02B_ESCENARIOS!$B$4:$D$11, MATCH("MULT_PRECIO", 02B_ESCENARIOS!$A$4:$A$11, 0), MATCH("Conservador", 02B_ESCENARIOS!$B$3:$D$3, 0)))*INDEX(02B_ESCENARIOS!$B$15:$D$19, MATCH(VLOOKUP(A303,04_PROYECTOS!$A:$N,9,FALSE), 02B_ESCENARIOS!$A$15:$A$19, 0), MATCH("Conservador", 02B_ESCENARIOS!$B$14:$D$14, 0))</f>
        <v/>
      </c>
      <c r="F303">
        <f>E303*VLOOKUP(A303,04_PROYECTOS!$A:$N,6,FALSE)</f>
        <v/>
      </c>
      <c r="G303">
        <f>E303+F303</f>
        <v/>
      </c>
      <c r="H303">
        <f>IF(VLOOKUP(A303,04_PROYECTOS!$A:$N,10,FALSE)="", IF(VLOOKUP(A303,04_PROYECTOS!$A:$N,4,FALSE)="Privado", INDEX(02B_ESCENARIOS!$B$4:$D$11, MATCH("DSO_PRIVADO_DEFAULT", 02B_ESCENARIOS!$A$4:$A$11, 0), MATCH("Conservador", 02B_ESCENARIOS!$B$3:$D$3, 0)), IF(VLOOKUP(A303,04_PROYECTOS!$A:$N,4,FALSE)="Publico_&lt;10M",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VLOOKUP(A303,04_PROYECTOS!$A:$N,10,FALSE))</f>
        <v/>
      </c>
      <c r="I303">
        <f>ROUNDUP(H303/30,0)</f>
        <v/>
      </c>
      <c r="J303">
        <f>EDATE(C303,I303)</f>
        <v/>
      </c>
      <c r="K303">
        <f>G303</f>
        <v/>
      </c>
    </row>
    <row r="304">
      <c r="E304">
        <f>D304*VLOOKUP(A304,04_PROYECTOS!$A:$N,5,FALSE)*(INDEX(02B_ESCENARIOS!$B$4:$D$11, MATCH("MULT_PRECIO", 02B_ESCENARIOS!$A$4:$A$11, 0), MATCH("Conservador", 02B_ESCENARIOS!$B$3:$D$3, 0)))*INDEX(02B_ESCENARIOS!$B$15:$D$19, MATCH(VLOOKUP(A304,04_PROYECTOS!$A:$N,9,FALSE), 02B_ESCENARIOS!$A$15:$A$19, 0), MATCH("Conservador", 02B_ESCENARIOS!$B$14:$D$14, 0))</f>
        <v/>
      </c>
      <c r="F304">
        <f>E304*VLOOKUP(A304,04_PROYECTOS!$A:$N,6,FALSE)</f>
        <v/>
      </c>
      <c r="G304">
        <f>E304+F304</f>
        <v/>
      </c>
      <c r="H304">
        <f>IF(VLOOKUP(A304,04_PROYECTOS!$A:$N,10,FALSE)="", IF(VLOOKUP(A304,04_PROYECTOS!$A:$N,4,FALSE)="Privado", INDEX(02B_ESCENARIOS!$B$4:$D$11, MATCH("DSO_PRIVADO_DEFAULT", 02B_ESCENARIOS!$A$4:$A$11, 0), MATCH("Conservador", 02B_ESCENARIOS!$B$3:$D$3, 0)), IF(VLOOKUP(A304,04_PROYECTOS!$A:$N,4,FALSE)="Publico_&lt;10M",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VLOOKUP(A304,04_PROYECTOS!$A:$N,10,FALSE))</f>
        <v/>
      </c>
      <c r="I304">
        <f>ROUNDUP(H304/30,0)</f>
        <v/>
      </c>
      <c r="J304">
        <f>EDATE(C304,I304)</f>
        <v/>
      </c>
      <c r="K304">
        <f>G304</f>
        <v/>
      </c>
    </row>
    <row r="305">
      <c r="E305">
        <f>D305*VLOOKUP(A305,04_PROYECTOS!$A:$N,5,FALSE)*(INDEX(02B_ESCENARIOS!$B$4:$D$11, MATCH("MULT_PRECIO", 02B_ESCENARIOS!$A$4:$A$11, 0), MATCH("Conservador", 02B_ESCENARIOS!$B$3:$D$3, 0)))*INDEX(02B_ESCENARIOS!$B$15:$D$19, MATCH(VLOOKUP(A305,04_PROYECTOS!$A:$N,9,FALSE), 02B_ESCENARIOS!$A$15:$A$19, 0), MATCH("Conservador", 02B_ESCENARIOS!$B$14:$D$14, 0))</f>
        <v/>
      </c>
      <c r="F305">
        <f>E305*VLOOKUP(A305,04_PROYECTOS!$A:$N,6,FALSE)</f>
        <v/>
      </c>
      <c r="G305">
        <f>E305+F305</f>
        <v/>
      </c>
      <c r="H305">
        <f>IF(VLOOKUP(A305,04_PROYECTOS!$A:$N,10,FALSE)="", IF(VLOOKUP(A305,04_PROYECTOS!$A:$N,4,FALSE)="Privado", INDEX(02B_ESCENARIOS!$B$4:$D$11, MATCH("DSO_PRIVADO_DEFAULT", 02B_ESCENARIOS!$A$4:$A$11, 0), MATCH("Conservador", 02B_ESCENARIOS!$B$3:$D$3, 0)), IF(VLOOKUP(A305,04_PROYECTOS!$A:$N,4,FALSE)="Publico_&lt;10M",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VLOOKUP(A305,04_PROYECTOS!$A:$N,10,FALSE))</f>
        <v/>
      </c>
      <c r="I305">
        <f>ROUNDUP(H305/30,0)</f>
        <v/>
      </c>
      <c r="J305">
        <f>EDATE(C305,I305)</f>
        <v/>
      </c>
      <c r="K305">
        <f>G305</f>
        <v/>
      </c>
    </row>
    <row r="306">
      <c r="E306">
        <f>D306*VLOOKUP(A306,04_PROYECTOS!$A:$N,5,FALSE)*(INDEX(02B_ESCENARIOS!$B$4:$D$11, MATCH("MULT_PRECIO", 02B_ESCENARIOS!$A$4:$A$11, 0), MATCH("Conservador", 02B_ESCENARIOS!$B$3:$D$3, 0)))*INDEX(02B_ESCENARIOS!$B$15:$D$19, MATCH(VLOOKUP(A306,04_PROYECTOS!$A:$N,9,FALSE), 02B_ESCENARIOS!$A$15:$A$19, 0), MATCH("Conservador", 02B_ESCENARIOS!$B$14:$D$14, 0))</f>
        <v/>
      </c>
      <c r="F306">
        <f>E306*VLOOKUP(A306,04_PROYECTOS!$A:$N,6,FALSE)</f>
        <v/>
      </c>
      <c r="G306">
        <f>E306+F306</f>
        <v/>
      </c>
      <c r="H306">
        <f>IF(VLOOKUP(A306,04_PROYECTOS!$A:$N,10,FALSE)="", IF(VLOOKUP(A306,04_PROYECTOS!$A:$N,4,FALSE)="Privado", INDEX(02B_ESCENARIOS!$B$4:$D$11, MATCH("DSO_PRIVADO_DEFAULT", 02B_ESCENARIOS!$A$4:$A$11, 0), MATCH("Conservador", 02B_ESCENARIOS!$B$3:$D$3, 0)), IF(VLOOKUP(A306,04_PROYECTOS!$A:$N,4,FALSE)="Publico_&lt;10M",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VLOOKUP(A306,04_PROYECTOS!$A:$N,10,FALSE))</f>
        <v/>
      </c>
      <c r="I306">
        <f>ROUNDUP(H306/30,0)</f>
        <v/>
      </c>
      <c r="J306">
        <f>EDATE(C306,I306)</f>
        <v/>
      </c>
      <c r="K306">
        <f>G306</f>
        <v/>
      </c>
    </row>
    <row r="307">
      <c r="E307">
        <f>D307*VLOOKUP(A307,04_PROYECTOS!$A:$N,5,FALSE)*(INDEX(02B_ESCENARIOS!$B$4:$D$11, MATCH("MULT_PRECIO", 02B_ESCENARIOS!$A$4:$A$11, 0), MATCH("Conservador", 02B_ESCENARIOS!$B$3:$D$3, 0)))*INDEX(02B_ESCENARIOS!$B$15:$D$19, MATCH(VLOOKUP(A307,04_PROYECTOS!$A:$N,9,FALSE), 02B_ESCENARIOS!$A$15:$A$19, 0), MATCH("Conservador", 02B_ESCENARIOS!$B$14:$D$14, 0))</f>
        <v/>
      </c>
      <c r="F307">
        <f>E307*VLOOKUP(A307,04_PROYECTOS!$A:$N,6,FALSE)</f>
        <v/>
      </c>
      <c r="G307">
        <f>E307+F307</f>
        <v/>
      </c>
      <c r="H307">
        <f>IF(VLOOKUP(A307,04_PROYECTOS!$A:$N,10,FALSE)="", IF(VLOOKUP(A307,04_PROYECTOS!$A:$N,4,FALSE)="Privado", INDEX(02B_ESCENARIOS!$B$4:$D$11, MATCH("DSO_PRIVADO_DEFAULT", 02B_ESCENARIOS!$A$4:$A$11, 0), MATCH("Conservador", 02B_ESCENARIOS!$B$3:$D$3, 0)), IF(VLOOKUP(A307,04_PROYECTOS!$A:$N,4,FALSE)="Publico_&lt;10M",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VLOOKUP(A307,04_PROYECTOS!$A:$N,10,FALSE))</f>
        <v/>
      </c>
      <c r="I307">
        <f>ROUNDUP(H307/30,0)</f>
        <v/>
      </c>
      <c r="J307">
        <f>EDATE(C307,I307)</f>
        <v/>
      </c>
      <c r="K307">
        <f>G307</f>
        <v/>
      </c>
    </row>
    <row r="308">
      <c r="E308">
        <f>D308*VLOOKUP(A308,04_PROYECTOS!$A:$N,5,FALSE)*(INDEX(02B_ESCENARIOS!$B$4:$D$11, MATCH("MULT_PRECIO", 02B_ESCENARIOS!$A$4:$A$11, 0), MATCH("Conservador", 02B_ESCENARIOS!$B$3:$D$3, 0)))*INDEX(02B_ESCENARIOS!$B$15:$D$19, MATCH(VLOOKUP(A308,04_PROYECTOS!$A:$N,9,FALSE), 02B_ESCENARIOS!$A$15:$A$19, 0), MATCH("Conservador", 02B_ESCENARIOS!$B$14:$D$14, 0))</f>
        <v/>
      </c>
      <c r="F308">
        <f>E308*VLOOKUP(A308,04_PROYECTOS!$A:$N,6,FALSE)</f>
        <v/>
      </c>
      <c r="G308">
        <f>E308+F308</f>
        <v/>
      </c>
      <c r="H308">
        <f>IF(VLOOKUP(A308,04_PROYECTOS!$A:$N,10,FALSE)="", IF(VLOOKUP(A308,04_PROYECTOS!$A:$N,4,FALSE)="Privado", INDEX(02B_ESCENARIOS!$B$4:$D$11, MATCH("DSO_PRIVADO_DEFAULT", 02B_ESCENARIOS!$A$4:$A$11, 0), MATCH("Conservador", 02B_ESCENARIOS!$B$3:$D$3, 0)), IF(VLOOKUP(A308,04_PROYECTOS!$A:$N,4,FALSE)="Publico_&lt;10M",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VLOOKUP(A308,04_PROYECTOS!$A:$N,10,FALSE))</f>
        <v/>
      </c>
      <c r="I308">
        <f>ROUNDUP(H308/30,0)</f>
        <v/>
      </c>
      <c r="J308">
        <f>EDATE(C308,I308)</f>
        <v/>
      </c>
      <c r="K308">
        <f>G308</f>
        <v/>
      </c>
    </row>
    <row r="309">
      <c r="E309">
        <f>D309*VLOOKUP(A309,04_PROYECTOS!$A:$N,5,FALSE)*(INDEX(02B_ESCENARIOS!$B$4:$D$11, MATCH("MULT_PRECIO", 02B_ESCENARIOS!$A$4:$A$11, 0), MATCH("Conservador", 02B_ESCENARIOS!$B$3:$D$3, 0)))*INDEX(02B_ESCENARIOS!$B$15:$D$19, MATCH(VLOOKUP(A309,04_PROYECTOS!$A:$N,9,FALSE), 02B_ESCENARIOS!$A$15:$A$19, 0), MATCH("Conservador", 02B_ESCENARIOS!$B$14:$D$14, 0))</f>
        <v/>
      </c>
      <c r="F309">
        <f>E309*VLOOKUP(A309,04_PROYECTOS!$A:$N,6,FALSE)</f>
        <v/>
      </c>
      <c r="G309">
        <f>E309+F309</f>
        <v/>
      </c>
      <c r="H309">
        <f>IF(VLOOKUP(A309,04_PROYECTOS!$A:$N,10,FALSE)="", IF(VLOOKUP(A309,04_PROYECTOS!$A:$N,4,FALSE)="Privado", INDEX(02B_ESCENARIOS!$B$4:$D$11, MATCH("DSO_PRIVADO_DEFAULT", 02B_ESCENARIOS!$A$4:$A$11, 0), MATCH("Conservador", 02B_ESCENARIOS!$B$3:$D$3, 0)), IF(VLOOKUP(A309,04_PROYECTOS!$A:$N,4,FALSE)="Publico_&lt;10M",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VLOOKUP(A309,04_PROYECTOS!$A:$N,10,FALSE))</f>
        <v/>
      </c>
      <c r="I309">
        <f>ROUNDUP(H309/30,0)</f>
        <v/>
      </c>
      <c r="J309">
        <f>EDATE(C309,I309)</f>
        <v/>
      </c>
      <c r="K309">
        <f>G309</f>
        <v/>
      </c>
    </row>
    <row r="310">
      <c r="E310">
        <f>D310*VLOOKUP(A310,04_PROYECTOS!$A:$N,5,FALSE)*(INDEX(02B_ESCENARIOS!$B$4:$D$11, MATCH("MULT_PRECIO", 02B_ESCENARIOS!$A$4:$A$11, 0), MATCH("Conservador", 02B_ESCENARIOS!$B$3:$D$3, 0)))*INDEX(02B_ESCENARIOS!$B$15:$D$19, MATCH(VLOOKUP(A310,04_PROYECTOS!$A:$N,9,FALSE), 02B_ESCENARIOS!$A$15:$A$19, 0), MATCH("Conservador", 02B_ESCENARIOS!$B$14:$D$14, 0))</f>
        <v/>
      </c>
      <c r="F310">
        <f>E310*VLOOKUP(A310,04_PROYECTOS!$A:$N,6,FALSE)</f>
        <v/>
      </c>
      <c r="G310">
        <f>E310+F310</f>
        <v/>
      </c>
      <c r="H310">
        <f>IF(VLOOKUP(A310,04_PROYECTOS!$A:$N,10,FALSE)="", IF(VLOOKUP(A310,04_PROYECTOS!$A:$N,4,FALSE)="Privado", INDEX(02B_ESCENARIOS!$B$4:$D$11, MATCH("DSO_PRIVADO_DEFAULT", 02B_ESCENARIOS!$A$4:$A$11, 0), MATCH("Conservador", 02B_ESCENARIOS!$B$3:$D$3, 0)), IF(VLOOKUP(A310,04_PROYECTOS!$A:$N,4,FALSE)="Publico_&lt;10M",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VLOOKUP(A310,04_PROYECTOS!$A:$N,10,FALSE))</f>
        <v/>
      </c>
      <c r="I310">
        <f>ROUNDUP(H310/30,0)</f>
        <v/>
      </c>
      <c r="J310">
        <f>EDATE(C310,I310)</f>
        <v/>
      </c>
      <c r="K310">
        <f>G310</f>
        <v/>
      </c>
    </row>
    <row r="311">
      <c r="E311">
        <f>D311*VLOOKUP(A311,04_PROYECTOS!$A:$N,5,FALSE)*(INDEX(02B_ESCENARIOS!$B$4:$D$11, MATCH("MULT_PRECIO", 02B_ESCENARIOS!$A$4:$A$11, 0), MATCH("Conservador", 02B_ESCENARIOS!$B$3:$D$3, 0)))*INDEX(02B_ESCENARIOS!$B$15:$D$19, MATCH(VLOOKUP(A311,04_PROYECTOS!$A:$N,9,FALSE), 02B_ESCENARIOS!$A$15:$A$19, 0), MATCH("Conservador", 02B_ESCENARIOS!$B$14:$D$14, 0))</f>
        <v/>
      </c>
      <c r="F311">
        <f>E311*VLOOKUP(A311,04_PROYECTOS!$A:$N,6,FALSE)</f>
        <v/>
      </c>
      <c r="G311">
        <f>E311+F311</f>
        <v/>
      </c>
      <c r="H311">
        <f>IF(VLOOKUP(A311,04_PROYECTOS!$A:$N,10,FALSE)="", IF(VLOOKUP(A311,04_PROYECTOS!$A:$N,4,FALSE)="Privado", INDEX(02B_ESCENARIOS!$B$4:$D$11, MATCH("DSO_PRIVADO_DEFAULT", 02B_ESCENARIOS!$A$4:$A$11, 0), MATCH("Conservador", 02B_ESCENARIOS!$B$3:$D$3, 0)), IF(VLOOKUP(A311,04_PROYECTOS!$A:$N,4,FALSE)="Publico_&lt;10M",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VLOOKUP(A311,04_PROYECTOS!$A:$N,10,FALSE))</f>
        <v/>
      </c>
      <c r="I311">
        <f>ROUNDUP(H311/30,0)</f>
        <v/>
      </c>
      <c r="J311">
        <f>EDATE(C311,I311)</f>
        <v/>
      </c>
      <c r="K311">
        <f>G311</f>
        <v/>
      </c>
    </row>
    <row r="312">
      <c r="E312">
        <f>D312*VLOOKUP(A312,04_PROYECTOS!$A:$N,5,FALSE)*(INDEX(02B_ESCENARIOS!$B$4:$D$11, MATCH("MULT_PRECIO", 02B_ESCENARIOS!$A$4:$A$11, 0), MATCH("Conservador", 02B_ESCENARIOS!$B$3:$D$3, 0)))*INDEX(02B_ESCENARIOS!$B$15:$D$19, MATCH(VLOOKUP(A312,04_PROYECTOS!$A:$N,9,FALSE), 02B_ESCENARIOS!$A$15:$A$19, 0), MATCH("Conservador", 02B_ESCENARIOS!$B$14:$D$14, 0))</f>
        <v/>
      </c>
      <c r="F312">
        <f>E312*VLOOKUP(A312,04_PROYECTOS!$A:$N,6,FALSE)</f>
        <v/>
      </c>
      <c r="G312">
        <f>E312+F312</f>
        <v/>
      </c>
      <c r="H312">
        <f>IF(VLOOKUP(A312,04_PROYECTOS!$A:$N,10,FALSE)="", IF(VLOOKUP(A312,04_PROYECTOS!$A:$N,4,FALSE)="Privado", INDEX(02B_ESCENARIOS!$B$4:$D$11, MATCH("DSO_PRIVADO_DEFAULT", 02B_ESCENARIOS!$A$4:$A$11, 0), MATCH("Conservador", 02B_ESCENARIOS!$B$3:$D$3, 0)), IF(VLOOKUP(A312,04_PROYECTOS!$A:$N,4,FALSE)="Publico_&lt;10M",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VLOOKUP(A312,04_PROYECTOS!$A:$N,10,FALSE))</f>
        <v/>
      </c>
      <c r="I312">
        <f>ROUNDUP(H312/30,0)</f>
        <v/>
      </c>
      <c r="J312">
        <f>EDATE(C312,I312)</f>
        <v/>
      </c>
      <c r="K312">
        <f>G312</f>
        <v/>
      </c>
    </row>
    <row r="313">
      <c r="E313">
        <f>D313*VLOOKUP(A313,04_PROYECTOS!$A:$N,5,FALSE)*(INDEX(02B_ESCENARIOS!$B$4:$D$11, MATCH("MULT_PRECIO", 02B_ESCENARIOS!$A$4:$A$11, 0), MATCH("Conservador", 02B_ESCENARIOS!$B$3:$D$3, 0)))*INDEX(02B_ESCENARIOS!$B$15:$D$19, MATCH(VLOOKUP(A313,04_PROYECTOS!$A:$N,9,FALSE), 02B_ESCENARIOS!$A$15:$A$19, 0), MATCH("Conservador", 02B_ESCENARIOS!$B$14:$D$14, 0))</f>
        <v/>
      </c>
      <c r="F313">
        <f>E313*VLOOKUP(A313,04_PROYECTOS!$A:$N,6,FALSE)</f>
        <v/>
      </c>
      <c r="G313">
        <f>E313+F313</f>
        <v/>
      </c>
      <c r="H313">
        <f>IF(VLOOKUP(A313,04_PROYECTOS!$A:$N,10,FALSE)="", IF(VLOOKUP(A313,04_PROYECTOS!$A:$N,4,FALSE)="Privado", INDEX(02B_ESCENARIOS!$B$4:$D$11, MATCH("DSO_PRIVADO_DEFAULT", 02B_ESCENARIOS!$A$4:$A$11, 0), MATCH("Conservador", 02B_ESCENARIOS!$B$3:$D$3, 0)), IF(VLOOKUP(A313,04_PROYECTOS!$A:$N,4,FALSE)="Publico_&lt;10M",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VLOOKUP(A313,04_PROYECTOS!$A:$N,10,FALSE))</f>
        <v/>
      </c>
      <c r="I313">
        <f>ROUNDUP(H313/30,0)</f>
        <v/>
      </c>
      <c r="J313">
        <f>EDATE(C313,I313)</f>
        <v/>
      </c>
      <c r="K313">
        <f>G313</f>
        <v/>
      </c>
    </row>
    <row r="314">
      <c r="E314">
        <f>D314*VLOOKUP(A314,04_PROYECTOS!$A:$N,5,FALSE)*(INDEX(02B_ESCENARIOS!$B$4:$D$11, MATCH("MULT_PRECIO", 02B_ESCENARIOS!$A$4:$A$11, 0), MATCH("Conservador", 02B_ESCENARIOS!$B$3:$D$3, 0)))*INDEX(02B_ESCENARIOS!$B$15:$D$19, MATCH(VLOOKUP(A314,04_PROYECTOS!$A:$N,9,FALSE), 02B_ESCENARIOS!$A$15:$A$19, 0), MATCH("Conservador", 02B_ESCENARIOS!$B$14:$D$14, 0))</f>
        <v/>
      </c>
      <c r="F314">
        <f>E314*VLOOKUP(A314,04_PROYECTOS!$A:$N,6,FALSE)</f>
        <v/>
      </c>
      <c r="G314">
        <f>E314+F314</f>
        <v/>
      </c>
      <c r="H314">
        <f>IF(VLOOKUP(A314,04_PROYECTOS!$A:$N,10,FALSE)="", IF(VLOOKUP(A314,04_PROYECTOS!$A:$N,4,FALSE)="Privado", INDEX(02B_ESCENARIOS!$B$4:$D$11, MATCH("DSO_PRIVADO_DEFAULT", 02B_ESCENARIOS!$A$4:$A$11, 0), MATCH("Conservador", 02B_ESCENARIOS!$B$3:$D$3, 0)), IF(VLOOKUP(A314,04_PROYECTOS!$A:$N,4,FALSE)="Publico_&lt;10M",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VLOOKUP(A314,04_PROYECTOS!$A:$N,10,FALSE))</f>
        <v/>
      </c>
      <c r="I314">
        <f>ROUNDUP(H314/30,0)</f>
        <v/>
      </c>
      <c r="J314">
        <f>EDATE(C314,I314)</f>
        <v/>
      </c>
      <c r="K314">
        <f>G314</f>
        <v/>
      </c>
    </row>
    <row r="315">
      <c r="E315">
        <f>D315*VLOOKUP(A315,04_PROYECTOS!$A:$N,5,FALSE)*(INDEX(02B_ESCENARIOS!$B$4:$D$11, MATCH("MULT_PRECIO", 02B_ESCENARIOS!$A$4:$A$11, 0), MATCH("Conservador", 02B_ESCENARIOS!$B$3:$D$3, 0)))*INDEX(02B_ESCENARIOS!$B$15:$D$19, MATCH(VLOOKUP(A315,04_PROYECTOS!$A:$N,9,FALSE), 02B_ESCENARIOS!$A$15:$A$19, 0), MATCH("Conservador", 02B_ESCENARIOS!$B$14:$D$14, 0))</f>
        <v/>
      </c>
      <c r="F315">
        <f>E315*VLOOKUP(A315,04_PROYECTOS!$A:$N,6,FALSE)</f>
        <v/>
      </c>
      <c r="G315">
        <f>E315+F315</f>
        <v/>
      </c>
      <c r="H315">
        <f>IF(VLOOKUP(A315,04_PROYECTOS!$A:$N,10,FALSE)="", IF(VLOOKUP(A315,04_PROYECTOS!$A:$N,4,FALSE)="Privado", INDEX(02B_ESCENARIOS!$B$4:$D$11, MATCH("DSO_PRIVADO_DEFAULT", 02B_ESCENARIOS!$A$4:$A$11, 0), MATCH("Conservador", 02B_ESCENARIOS!$B$3:$D$3, 0)), IF(VLOOKUP(A315,04_PROYECTOS!$A:$N,4,FALSE)="Publico_&lt;10M",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VLOOKUP(A315,04_PROYECTOS!$A:$N,10,FALSE))</f>
        <v/>
      </c>
      <c r="I315">
        <f>ROUNDUP(H315/30,0)</f>
        <v/>
      </c>
      <c r="J315">
        <f>EDATE(C315,I315)</f>
        <v/>
      </c>
      <c r="K315">
        <f>G315</f>
        <v/>
      </c>
    </row>
    <row r="316">
      <c r="E316">
        <f>D316*VLOOKUP(A316,04_PROYECTOS!$A:$N,5,FALSE)*(INDEX(02B_ESCENARIOS!$B$4:$D$11, MATCH("MULT_PRECIO", 02B_ESCENARIOS!$A$4:$A$11, 0), MATCH("Conservador", 02B_ESCENARIOS!$B$3:$D$3, 0)))*INDEX(02B_ESCENARIOS!$B$15:$D$19, MATCH(VLOOKUP(A316,04_PROYECTOS!$A:$N,9,FALSE), 02B_ESCENARIOS!$A$15:$A$19, 0), MATCH("Conservador", 02B_ESCENARIOS!$B$14:$D$14, 0))</f>
        <v/>
      </c>
      <c r="F316">
        <f>E316*VLOOKUP(A316,04_PROYECTOS!$A:$N,6,FALSE)</f>
        <v/>
      </c>
      <c r="G316">
        <f>E316+F316</f>
        <v/>
      </c>
      <c r="H316">
        <f>IF(VLOOKUP(A316,04_PROYECTOS!$A:$N,10,FALSE)="", IF(VLOOKUP(A316,04_PROYECTOS!$A:$N,4,FALSE)="Privado", INDEX(02B_ESCENARIOS!$B$4:$D$11, MATCH("DSO_PRIVADO_DEFAULT", 02B_ESCENARIOS!$A$4:$A$11, 0), MATCH("Conservador", 02B_ESCENARIOS!$B$3:$D$3, 0)), IF(VLOOKUP(A316,04_PROYECTOS!$A:$N,4,FALSE)="Publico_&lt;10M",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VLOOKUP(A316,04_PROYECTOS!$A:$N,10,FALSE))</f>
        <v/>
      </c>
      <c r="I316">
        <f>ROUNDUP(H316/30,0)</f>
        <v/>
      </c>
      <c r="J316">
        <f>EDATE(C316,I316)</f>
        <v/>
      </c>
      <c r="K316">
        <f>G316</f>
        <v/>
      </c>
    </row>
    <row r="317">
      <c r="E317">
        <f>D317*VLOOKUP(A317,04_PROYECTOS!$A:$N,5,FALSE)*(INDEX(02B_ESCENARIOS!$B$4:$D$11, MATCH("MULT_PRECIO", 02B_ESCENARIOS!$A$4:$A$11, 0), MATCH("Conservador", 02B_ESCENARIOS!$B$3:$D$3, 0)))*INDEX(02B_ESCENARIOS!$B$15:$D$19, MATCH(VLOOKUP(A317,04_PROYECTOS!$A:$N,9,FALSE), 02B_ESCENARIOS!$A$15:$A$19, 0), MATCH("Conservador", 02B_ESCENARIOS!$B$14:$D$14, 0))</f>
        <v/>
      </c>
      <c r="F317">
        <f>E317*VLOOKUP(A317,04_PROYECTOS!$A:$N,6,FALSE)</f>
        <v/>
      </c>
      <c r="G317">
        <f>E317+F317</f>
        <v/>
      </c>
      <c r="H317">
        <f>IF(VLOOKUP(A317,04_PROYECTOS!$A:$N,10,FALSE)="", IF(VLOOKUP(A317,04_PROYECTOS!$A:$N,4,FALSE)="Privado", INDEX(02B_ESCENARIOS!$B$4:$D$11, MATCH("DSO_PRIVADO_DEFAULT", 02B_ESCENARIOS!$A$4:$A$11, 0), MATCH("Conservador", 02B_ESCENARIOS!$B$3:$D$3, 0)), IF(VLOOKUP(A317,04_PROYECTOS!$A:$N,4,FALSE)="Publico_&lt;10M",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VLOOKUP(A317,04_PROYECTOS!$A:$N,10,FALSE))</f>
        <v/>
      </c>
      <c r="I317">
        <f>ROUNDUP(H317/30,0)</f>
        <v/>
      </c>
      <c r="J317">
        <f>EDATE(C317,I317)</f>
        <v/>
      </c>
      <c r="K317">
        <f>G317</f>
        <v/>
      </c>
    </row>
    <row r="318">
      <c r="E318">
        <f>D318*VLOOKUP(A318,04_PROYECTOS!$A:$N,5,FALSE)*(INDEX(02B_ESCENARIOS!$B$4:$D$11, MATCH("MULT_PRECIO", 02B_ESCENARIOS!$A$4:$A$11, 0), MATCH("Conservador", 02B_ESCENARIOS!$B$3:$D$3, 0)))*INDEX(02B_ESCENARIOS!$B$15:$D$19, MATCH(VLOOKUP(A318,04_PROYECTOS!$A:$N,9,FALSE), 02B_ESCENARIOS!$A$15:$A$19, 0), MATCH("Conservador", 02B_ESCENARIOS!$B$14:$D$14, 0))</f>
        <v/>
      </c>
      <c r="F318">
        <f>E318*VLOOKUP(A318,04_PROYECTOS!$A:$N,6,FALSE)</f>
        <v/>
      </c>
      <c r="G318">
        <f>E318+F318</f>
        <v/>
      </c>
      <c r="H318">
        <f>IF(VLOOKUP(A318,04_PROYECTOS!$A:$N,10,FALSE)="", IF(VLOOKUP(A318,04_PROYECTOS!$A:$N,4,FALSE)="Privado", INDEX(02B_ESCENARIOS!$B$4:$D$11, MATCH("DSO_PRIVADO_DEFAULT", 02B_ESCENARIOS!$A$4:$A$11, 0), MATCH("Conservador", 02B_ESCENARIOS!$B$3:$D$3, 0)), IF(VLOOKUP(A318,04_PROYECTOS!$A:$N,4,FALSE)="Publico_&lt;10M",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VLOOKUP(A318,04_PROYECTOS!$A:$N,10,FALSE))</f>
        <v/>
      </c>
      <c r="I318">
        <f>ROUNDUP(H318/30,0)</f>
        <v/>
      </c>
      <c r="J318">
        <f>EDATE(C318,I318)</f>
        <v/>
      </c>
      <c r="K318">
        <f>G318</f>
        <v/>
      </c>
    </row>
    <row r="319">
      <c r="E319">
        <f>D319*VLOOKUP(A319,04_PROYECTOS!$A:$N,5,FALSE)*(INDEX(02B_ESCENARIOS!$B$4:$D$11, MATCH("MULT_PRECIO", 02B_ESCENARIOS!$A$4:$A$11, 0), MATCH("Conservador", 02B_ESCENARIOS!$B$3:$D$3, 0)))*INDEX(02B_ESCENARIOS!$B$15:$D$19, MATCH(VLOOKUP(A319,04_PROYECTOS!$A:$N,9,FALSE), 02B_ESCENARIOS!$A$15:$A$19, 0), MATCH("Conservador", 02B_ESCENARIOS!$B$14:$D$14, 0))</f>
        <v/>
      </c>
      <c r="F319">
        <f>E319*VLOOKUP(A319,04_PROYECTOS!$A:$N,6,FALSE)</f>
        <v/>
      </c>
      <c r="G319">
        <f>E319+F319</f>
        <v/>
      </c>
      <c r="H319">
        <f>IF(VLOOKUP(A319,04_PROYECTOS!$A:$N,10,FALSE)="", IF(VLOOKUP(A319,04_PROYECTOS!$A:$N,4,FALSE)="Privado", INDEX(02B_ESCENARIOS!$B$4:$D$11, MATCH("DSO_PRIVADO_DEFAULT", 02B_ESCENARIOS!$A$4:$A$11, 0), MATCH("Conservador", 02B_ESCENARIOS!$B$3:$D$3, 0)), IF(VLOOKUP(A319,04_PROYECTOS!$A:$N,4,FALSE)="Publico_&lt;10M",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VLOOKUP(A319,04_PROYECTOS!$A:$N,10,FALSE))</f>
        <v/>
      </c>
      <c r="I319">
        <f>ROUNDUP(H319/30,0)</f>
        <v/>
      </c>
      <c r="J319">
        <f>EDATE(C319,I319)</f>
        <v/>
      </c>
      <c r="K319">
        <f>G319</f>
        <v/>
      </c>
    </row>
    <row r="320">
      <c r="E320">
        <f>D320*VLOOKUP(A320,04_PROYECTOS!$A:$N,5,FALSE)*(INDEX(02B_ESCENARIOS!$B$4:$D$11, MATCH("MULT_PRECIO", 02B_ESCENARIOS!$A$4:$A$11, 0), MATCH("Conservador", 02B_ESCENARIOS!$B$3:$D$3, 0)))*INDEX(02B_ESCENARIOS!$B$15:$D$19, MATCH(VLOOKUP(A320,04_PROYECTOS!$A:$N,9,FALSE), 02B_ESCENARIOS!$A$15:$A$19, 0), MATCH("Conservador", 02B_ESCENARIOS!$B$14:$D$14, 0))</f>
        <v/>
      </c>
      <c r="F320">
        <f>E320*VLOOKUP(A320,04_PROYECTOS!$A:$N,6,FALSE)</f>
        <v/>
      </c>
      <c r="G320">
        <f>E320+F320</f>
        <v/>
      </c>
      <c r="H320">
        <f>IF(VLOOKUP(A320,04_PROYECTOS!$A:$N,10,FALSE)="", IF(VLOOKUP(A320,04_PROYECTOS!$A:$N,4,FALSE)="Privado", INDEX(02B_ESCENARIOS!$B$4:$D$11, MATCH("DSO_PRIVADO_DEFAULT", 02B_ESCENARIOS!$A$4:$A$11, 0), MATCH("Conservador", 02B_ESCENARIOS!$B$3:$D$3, 0)), IF(VLOOKUP(A320,04_PROYECTOS!$A:$N,4,FALSE)="Publico_&lt;10M",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VLOOKUP(A320,04_PROYECTOS!$A:$N,10,FALSE))</f>
        <v/>
      </c>
      <c r="I320">
        <f>ROUNDUP(H320/30,0)</f>
        <v/>
      </c>
      <c r="J320">
        <f>EDATE(C320,I320)</f>
        <v/>
      </c>
      <c r="K320">
        <f>G320</f>
        <v/>
      </c>
    </row>
    <row r="321">
      <c r="E321">
        <f>D321*VLOOKUP(A321,04_PROYECTOS!$A:$N,5,FALSE)*(INDEX(02B_ESCENARIOS!$B$4:$D$11, MATCH("MULT_PRECIO", 02B_ESCENARIOS!$A$4:$A$11, 0), MATCH("Conservador", 02B_ESCENARIOS!$B$3:$D$3, 0)))*INDEX(02B_ESCENARIOS!$B$15:$D$19, MATCH(VLOOKUP(A321,04_PROYECTOS!$A:$N,9,FALSE), 02B_ESCENARIOS!$A$15:$A$19, 0), MATCH("Conservador", 02B_ESCENARIOS!$B$14:$D$14, 0))</f>
        <v/>
      </c>
      <c r="F321">
        <f>E321*VLOOKUP(A321,04_PROYECTOS!$A:$N,6,FALSE)</f>
        <v/>
      </c>
      <c r="G321">
        <f>E321+F321</f>
        <v/>
      </c>
      <c r="H321">
        <f>IF(VLOOKUP(A321,04_PROYECTOS!$A:$N,10,FALSE)="", IF(VLOOKUP(A321,04_PROYECTOS!$A:$N,4,FALSE)="Privado", INDEX(02B_ESCENARIOS!$B$4:$D$11, MATCH("DSO_PRIVADO_DEFAULT", 02B_ESCENARIOS!$A$4:$A$11, 0), MATCH("Conservador", 02B_ESCENARIOS!$B$3:$D$3, 0)), IF(VLOOKUP(A321,04_PROYECTOS!$A:$N,4,FALSE)="Publico_&lt;10M",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VLOOKUP(A321,04_PROYECTOS!$A:$N,10,FALSE))</f>
        <v/>
      </c>
      <c r="I321">
        <f>ROUNDUP(H321/30,0)</f>
        <v/>
      </c>
      <c r="J321">
        <f>EDATE(C321,I321)</f>
        <v/>
      </c>
      <c r="K321">
        <f>G321</f>
        <v/>
      </c>
    </row>
    <row r="322">
      <c r="E322">
        <f>D322*VLOOKUP(A322,04_PROYECTOS!$A:$N,5,FALSE)*(INDEX(02B_ESCENARIOS!$B$4:$D$11, MATCH("MULT_PRECIO", 02B_ESCENARIOS!$A$4:$A$11, 0), MATCH("Conservador", 02B_ESCENARIOS!$B$3:$D$3, 0)))*INDEX(02B_ESCENARIOS!$B$15:$D$19, MATCH(VLOOKUP(A322,04_PROYECTOS!$A:$N,9,FALSE), 02B_ESCENARIOS!$A$15:$A$19, 0), MATCH("Conservador", 02B_ESCENARIOS!$B$14:$D$14, 0))</f>
        <v/>
      </c>
      <c r="F322">
        <f>E322*VLOOKUP(A322,04_PROYECTOS!$A:$N,6,FALSE)</f>
        <v/>
      </c>
      <c r="G322">
        <f>E322+F322</f>
        <v/>
      </c>
      <c r="H322">
        <f>IF(VLOOKUP(A322,04_PROYECTOS!$A:$N,10,FALSE)="", IF(VLOOKUP(A322,04_PROYECTOS!$A:$N,4,FALSE)="Privado", INDEX(02B_ESCENARIOS!$B$4:$D$11, MATCH("DSO_PRIVADO_DEFAULT", 02B_ESCENARIOS!$A$4:$A$11, 0), MATCH("Conservador", 02B_ESCENARIOS!$B$3:$D$3, 0)), IF(VLOOKUP(A322,04_PROYECTOS!$A:$N,4,FALSE)="Publico_&lt;10M",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VLOOKUP(A322,04_PROYECTOS!$A:$N,10,FALSE))</f>
        <v/>
      </c>
      <c r="I322">
        <f>ROUNDUP(H322/30,0)</f>
        <v/>
      </c>
      <c r="J322">
        <f>EDATE(C322,I322)</f>
        <v/>
      </c>
      <c r="K322">
        <f>G322</f>
        <v/>
      </c>
    </row>
    <row r="323">
      <c r="E323">
        <f>D323*VLOOKUP(A323,04_PROYECTOS!$A:$N,5,FALSE)*(INDEX(02B_ESCENARIOS!$B$4:$D$11, MATCH("MULT_PRECIO", 02B_ESCENARIOS!$A$4:$A$11, 0), MATCH("Conservador", 02B_ESCENARIOS!$B$3:$D$3, 0)))*INDEX(02B_ESCENARIOS!$B$15:$D$19, MATCH(VLOOKUP(A323,04_PROYECTOS!$A:$N,9,FALSE), 02B_ESCENARIOS!$A$15:$A$19, 0), MATCH("Conservador", 02B_ESCENARIOS!$B$14:$D$14, 0))</f>
        <v/>
      </c>
      <c r="F323">
        <f>E323*VLOOKUP(A323,04_PROYECTOS!$A:$N,6,FALSE)</f>
        <v/>
      </c>
      <c r="G323">
        <f>E323+F323</f>
        <v/>
      </c>
      <c r="H323">
        <f>IF(VLOOKUP(A323,04_PROYECTOS!$A:$N,10,FALSE)="", IF(VLOOKUP(A323,04_PROYECTOS!$A:$N,4,FALSE)="Privado", INDEX(02B_ESCENARIOS!$B$4:$D$11, MATCH("DSO_PRIVADO_DEFAULT", 02B_ESCENARIOS!$A$4:$A$11, 0), MATCH("Conservador", 02B_ESCENARIOS!$B$3:$D$3, 0)), IF(VLOOKUP(A323,04_PROYECTOS!$A:$N,4,FALSE)="Publico_&lt;10M",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VLOOKUP(A323,04_PROYECTOS!$A:$N,10,FALSE))</f>
        <v/>
      </c>
      <c r="I323">
        <f>ROUNDUP(H323/30,0)</f>
        <v/>
      </c>
      <c r="J323">
        <f>EDATE(C323,I323)</f>
        <v/>
      </c>
      <c r="K323">
        <f>G323</f>
        <v/>
      </c>
    </row>
    <row r="324">
      <c r="E324">
        <f>D324*VLOOKUP(A324,04_PROYECTOS!$A:$N,5,FALSE)*(INDEX(02B_ESCENARIOS!$B$4:$D$11, MATCH("MULT_PRECIO", 02B_ESCENARIOS!$A$4:$A$11, 0), MATCH("Conservador", 02B_ESCENARIOS!$B$3:$D$3, 0)))*INDEX(02B_ESCENARIOS!$B$15:$D$19, MATCH(VLOOKUP(A324,04_PROYECTOS!$A:$N,9,FALSE), 02B_ESCENARIOS!$A$15:$A$19, 0), MATCH("Conservador", 02B_ESCENARIOS!$B$14:$D$14, 0))</f>
        <v/>
      </c>
      <c r="F324">
        <f>E324*VLOOKUP(A324,04_PROYECTOS!$A:$N,6,FALSE)</f>
        <v/>
      </c>
      <c r="G324">
        <f>E324+F324</f>
        <v/>
      </c>
      <c r="H324">
        <f>IF(VLOOKUP(A324,04_PROYECTOS!$A:$N,10,FALSE)="", IF(VLOOKUP(A324,04_PROYECTOS!$A:$N,4,FALSE)="Privado", INDEX(02B_ESCENARIOS!$B$4:$D$11, MATCH("DSO_PRIVADO_DEFAULT", 02B_ESCENARIOS!$A$4:$A$11, 0), MATCH("Conservador", 02B_ESCENARIOS!$B$3:$D$3, 0)), IF(VLOOKUP(A324,04_PROYECTOS!$A:$N,4,FALSE)="Publico_&lt;10M",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VLOOKUP(A324,04_PROYECTOS!$A:$N,10,FALSE))</f>
        <v/>
      </c>
      <c r="I324">
        <f>ROUNDUP(H324/30,0)</f>
        <v/>
      </c>
      <c r="J324">
        <f>EDATE(C324,I324)</f>
        <v/>
      </c>
      <c r="K324">
        <f>G324</f>
        <v/>
      </c>
    </row>
    <row r="325">
      <c r="E325">
        <f>D325*VLOOKUP(A325,04_PROYECTOS!$A:$N,5,FALSE)*(INDEX(02B_ESCENARIOS!$B$4:$D$11, MATCH("MULT_PRECIO", 02B_ESCENARIOS!$A$4:$A$11, 0), MATCH("Conservador", 02B_ESCENARIOS!$B$3:$D$3, 0)))*INDEX(02B_ESCENARIOS!$B$15:$D$19, MATCH(VLOOKUP(A325,04_PROYECTOS!$A:$N,9,FALSE), 02B_ESCENARIOS!$A$15:$A$19, 0), MATCH("Conservador", 02B_ESCENARIOS!$B$14:$D$14, 0))</f>
        <v/>
      </c>
      <c r="F325">
        <f>E325*VLOOKUP(A325,04_PROYECTOS!$A:$N,6,FALSE)</f>
        <v/>
      </c>
      <c r="G325">
        <f>E325+F325</f>
        <v/>
      </c>
      <c r="H325">
        <f>IF(VLOOKUP(A325,04_PROYECTOS!$A:$N,10,FALSE)="", IF(VLOOKUP(A325,04_PROYECTOS!$A:$N,4,FALSE)="Privado", INDEX(02B_ESCENARIOS!$B$4:$D$11, MATCH("DSO_PRIVADO_DEFAULT", 02B_ESCENARIOS!$A$4:$A$11, 0), MATCH("Conservador", 02B_ESCENARIOS!$B$3:$D$3, 0)), IF(VLOOKUP(A325,04_PROYECTOS!$A:$N,4,FALSE)="Publico_&lt;10M",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VLOOKUP(A325,04_PROYECTOS!$A:$N,10,FALSE))</f>
        <v/>
      </c>
      <c r="I325">
        <f>ROUNDUP(H325/30,0)</f>
        <v/>
      </c>
      <c r="J325">
        <f>EDATE(C325,I325)</f>
        <v/>
      </c>
      <c r="K325">
        <f>G325</f>
        <v/>
      </c>
    </row>
    <row r="326">
      <c r="E326">
        <f>D326*VLOOKUP(A326,04_PROYECTOS!$A:$N,5,FALSE)*(INDEX(02B_ESCENARIOS!$B$4:$D$11, MATCH("MULT_PRECIO", 02B_ESCENARIOS!$A$4:$A$11, 0), MATCH("Conservador", 02B_ESCENARIOS!$B$3:$D$3, 0)))*INDEX(02B_ESCENARIOS!$B$15:$D$19, MATCH(VLOOKUP(A326,04_PROYECTOS!$A:$N,9,FALSE), 02B_ESCENARIOS!$A$15:$A$19, 0), MATCH("Conservador", 02B_ESCENARIOS!$B$14:$D$14, 0))</f>
        <v/>
      </c>
      <c r="F326">
        <f>E326*VLOOKUP(A326,04_PROYECTOS!$A:$N,6,FALSE)</f>
        <v/>
      </c>
      <c r="G326">
        <f>E326+F326</f>
        <v/>
      </c>
      <c r="H326">
        <f>IF(VLOOKUP(A326,04_PROYECTOS!$A:$N,10,FALSE)="", IF(VLOOKUP(A326,04_PROYECTOS!$A:$N,4,FALSE)="Privado", INDEX(02B_ESCENARIOS!$B$4:$D$11, MATCH("DSO_PRIVADO_DEFAULT", 02B_ESCENARIOS!$A$4:$A$11, 0), MATCH("Conservador", 02B_ESCENARIOS!$B$3:$D$3, 0)), IF(VLOOKUP(A326,04_PROYECTOS!$A:$N,4,FALSE)="Publico_&lt;10M",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VLOOKUP(A326,04_PROYECTOS!$A:$N,10,FALSE))</f>
        <v/>
      </c>
      <c r="I326">
        <f>ROUNDUP(H326/30,0)</f>
        <v/>
      </c>
      <c r="J326">
        <f>EDATE(C326,I326)</f>
        <v/>
      </c>
      <c r="K326">
        <f>G326</f>
        <v/>
      </c>
    </row>
    <row r="327">
      <c r="E327">
        <f>D327*VLOOKUP(A327,04_PROYECTOS!$A:$N,5,FALSE)*(INDEX(02B_ESCENARIOS!$B$4:$D$11, MATCH("MULT_PRECIO", 02B_ESCENARIOS!$A$4:$A$11, 0), MATCH("Conservador", 02B_ESCENARIOS!$B$3:$D$3, 0)))*INDEX(02B_ESCENARIOS!$B$15:$D$19, MATCH(VLOOKUP(A327,04_PROYECTOS!$A:$N,9,FALSE), 02B_ESCENARIOS!$A$15:$A$19, 0), MATCH("Conservador", 02B_ESCENARIOS!$B$14:$D$14, 0))</f>
        <v/>
      </c>
      <c r="F327">
        <f>E327*VLOOKUP(A327,04_PROYECTOS!$A:$N,6,FALSE)</f>
        <v/>
      </c>
      <c r="G327">
        <f>E327+F327</f>
        <v/>
      </c>
      <c r="H327">
        <f>IF(VLOOKUP(A327,04_PROYECTOS!$A:$N,10,FALSE)="", IF(VLOOKUP(A327,04_PROYECTOS!$A:$N,4,FALSE)="Privado", INDEX(02B_ESCENARIOS!$B$4:$D$11, MATCH("DSO_PRIVADO_DEFAULT", 02B_ESCENARIOS!$A$4:$A$11, 0), MATCH("Conservador", 02B_ESCENARIOS!$B$3:$D$3, 0)), IF(VLOOKUP(A327,04_PROYECTOS!$A:$N,4,FALSE)="Publico_&lt;10M",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VLOOKUP(A327,04_PROYECTOS!$A:$N,10,FALSE))</f>
        <v/>
      </c>
      <c r="I327">
        <f>ROUNDUP(H327/30,0)</f>
        <v/>
      </c>
      <c r="J327">
        <f>EDATE(C327,I327)</f>
        <v/>
      </c>
      <c r="K327">
        <f>G327</f>
        <v/>
      </c>
    </row>
    <row r="328">
      <c r="E328">
        <f>D328*VLOOKUP(A328,04_PROYECTOS!$A:$N,5,FALSE)*(INDEX(02B_ESCENARIOS!$B$4:$D$11, MATCH("MULT_PRECIO", 02B_ESCENARIOS!$A$4:$A$11, 0), MATCH("Conservador", 02B_ESCENARIOS!$B$3:$D$3, 0)))*INDEX(02B_ESCENARIOS!$B$15:$D$19, MATCH(VLOOKUP(A328,04_PROYECTOS!$A:$N,9,FALSE), 02B_ESCENARIOS!$A$15:$A$19, 0), MATCH("Conservador", 02B_ESCENARIOS!$B$14:$D$14, 0))</f>
        <v/>
      </c>
      <c r="F328">
        <f>E328*VLOOKUP(A328,04_PROYECTOS!$A:$N,6,FALSE)</f>
        <v/>
      </c>
      <c r="G328">
        <f>E328+F328</f>
        <v/>
      </c>
      <c r="H328">
        <f>IF(VLOOKUP(A328,04_PROYECTOS!$A:$N,10,FALSE)="", IF(VLOOKUP(A328,04_PROYECTOS!$A:$N,4,FALSE)="Privado", INDEX(02B_ESCENARIOS!$B$4:$D$11, MATCH("DSO_PRIVADO_DEFAULT", 02B_ESCENARIOS!$A$4:$A$11, 0), MATCH("Conservador", 02B_ESCENARIOS!$B$3:$D$3, 0)), IF(VLOOKUP(A328,04_PROYECTOS!$A:$N,4,FALSE)="Publico_&lt;10M",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VLOOKUP(A328,04_PROYECTOS!$A:$N,10,FALSE))</f>
        <v/>
      </c>
      <c r="I328">
        <f>ROUNDUP(H328/30,0)</f>
        <v/>
      </c>
      <c r="J328">
        <f>EDATE(C328,I328)</f>
        <v/>
      </c>
      <c r="K328">
        <f>G328</f>
        <v/>
      </c>
    </row>
    <row r="329">
      <c r="E329">
        <f>D329*VLOOKUP(A329,04_PROYECTOS!$A:$N,5,FALSE)*(INDEX(02B_ESCENARIOS!$B$4:$D$11, MATCH("MULT_PRECIO", 02B_ESCENARIOS!$A$4:$A$11, 0), MATCH("Conservador", 02B_ESCENARIOS!$B$3:$D$3, 0)))*INDEX(02B_ESCENARIOS!$B$15:$D$19, MATCH(VLOOKUP(A329,04_PROYECTOS!$A:$N,9,FALSE), 02B_ESCENARIOS!$A$15:$A$19, 0), MATCH("Conservador", 02B_ESCENARIOS!$B$14:$D$14, 0))</f>
        <v/>
      </c>
      <c r="F329">
        <f>E329*VLOOKUP(A329,04_PROYECTOS!$A:$N,6,FALSE)</f>
        <v/>
      </c>
      <c r="G329">
        <f>E329+F329</f>
        <v/>
      </c>
      <c r="H329">
        <f>IF(VLOOKUP(A329,04_PROYECTOS!$A:$N,10,FALSE)="", IF(VLOOKUP(A329,04_PROYECTOS!$A:$N,4,FALSE)="Privado", INDEX(02B_ESCENARIOS!$B$4:$D$11, MATCH("DSO_PRIVADO_DEFAULT", 02B_ESCENARIOS!$A$4:$A$11, 0), MATCH("Conservador", 02B_ESCENARIOS!$B$3:$D$3, 0)), IF(VLOOKUP(A329,04_PROYECTOS!$A:$N,4,FALSE)="Publico_&lt;10M",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VLOOKUP(A329,04_PROYECTOS!$A:$N,10,FALSE))</f>
        <v/>
      </c>
      <c r="I329">
        <f>ROUNDUP(H329/30,0)</f>
        <v/>
      </c>
      <c r="J329">
        <f>EDATE(C329,I329)</f>
        <v/>
      </c>
      <c r="K329">
        <f>G329</f>
        <v/>
      </c>
    </row>
    <row r="330">
      <c r="E330">
        <f>D330*VLOOKUP(A330,04_PROYECTOS!$A:$N,5,FALSE)*(INDEX(02B_ESCENARIOS!$B$4:$D$11, MATCH("MULT_PRECIO", 02B_ESCENARIOS!$A$4:$A$11, 0), MATCH("Conservador", 02B_ESCENARIOS!$B$3:$D$3, 0)))*INDEX(02B_ESCENARIOS!$B$15:$D$19, MATCH(VLOOKUP(A330,04_PROYECTOS!$A:$N,9,FALSE), 02B_ESCENARIOS!$A$15:$A$19, 0), MATCH("Conservador", 02B_ESCENARIOS!$B$14:$D$14, 0))</f>
        <v/>
      </c>
      <c r="F330">
        <f>E330*VLOOKUP(A330,04_PROYECTOS!$A:$N,6,FALSE)</f>
        <v/>
      </c>
      <c r="G330">
        <f>E330+F330</f>
        <v/>
      </c>
      <c r="H330">
        <f>IF(VLOOKUP(A330,04_PROYECTOS!$A:$N,10,FALSE)="", IF(VLOOKUP(A330,04_PROYECTOS!$A:$N,4,FALSE)="Privado", INDEX(02B_ESCENARIOS!$B$4:$D$11, MATCH("DSO_PRIVADO_DEFAULT", 02B_ESCENARIOS!$A$4:$A$11, 0), MATCH("Conservador", 02B_ESCENARIOS!$B$3:$D$3, 0)), IF(VLOOKUP(A330,04_PROYECTOS!$A:$N,4,FALSE)="Publico_&lt;10M",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VLOOKUP(A330,04_PROYECTOS!$A:$N,10,FALSE))</f>
        <v/>
      </c>
      <c r="I330">
        <f>ROUNDUP(H330/30,0)</f>
        <v/>
      </c>
      <c r="J330">
        <f>EDATE(C330,I330)</f>
        <v/>
      </c>
      <c r="K330">
        <f>G330</f>
        <v/>
      </c>
    </row>
    <row r="331">
      <c r="E331">
        <f>D331*VLOOKUP(A331,04_PROYECTOS!$A:$N,5,FALSE)*(INDEX(02B_ESCENARIOS!$B$4:$D$11, MATCH("MULT_PRECIO", 02B_ESCENARIOS!$A$4:$A$11, 0), MATCH("Conservador", 02B_ESCENARIOS!$B$3:$D$3, 0)))*INDEX(02B_ESCENARIOS!$B$15:$D$19, MATCH(VLOOKUP(A331,04_PROYECTOS!$A:$N,9,FALSE), 02B_ESCENARIOS!$A$15:$A$19, 0), MATCH("Conservador", 02B_ESCENARIOS!$B$14:$D$14, 0))</f>
        <v/>
      </c>
      <c r="F331">
        <f>E331*VLOOKUP(A331,04_PROYECTOS!$A:$N,6,FALSE)</f>
        <v/>
      </c>
      <c r="G331">
        <f>E331+F331</f>
        <v/>
      </c>
      <c r="H331">
        <f>IF(VLOOKUP(A331,04_PROYECTOS!$A:$N,10,FALSE)="", IF(VLOOKUP(A331,04_PROYECTOS!$A:$N,4,FALSE)="Privado", INDEX(02B_ESCENARIOS!$B$4:$D$11, MATCH("DSO_PRIVADO_DEFAULT", 02B_ESCENARIOS!$A$4:$A$11, 0), MATCH("Conservador", 02B_ESCENARIOS!$B$3:$D$3, 0)), IF(VLOOKUP(A331,04_PROYECTOS!$A:$N,4,FALSE)="Publico_&lt;10M",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VLOOKUP(A331,04_PROYECTOS!$A:$N,10,FALSE))</f>
        <v/>
      </c>
      <c r="I331">
        <f>ROUNDUP(H331/30,0)</f>
        <v/>
      </c>
      <c r="J331">
        <f>EDATE(C331,I331)</f>
        <v/>
      </c>
      <c r="K331">
        <f>G331</f>
        <v/>
      </c>
    </row>
    <row r="332">
      <c r="E332">
        <f>D332*VLOOKUP(A332,04_PROYECTOS!$A:$N,5,FALSE)*(INDEX(02B_ESCENARIOS!$B$4:$D$11, MATCH("MULT_PRECIO", 02B_ESCENARIOS!$A$4:$A$11, 0), MATCH("Conservador", 02B_ESCENARIOS!$B$3:$D$3, 0)))*INDEX(02B_ESCENARIOS!$B$15:$D$19, MATCH(VLOOKUP(A332,04_PROYECTOS!$A:$N,9,FALSE), 02B_ESCENARIOS!$A$15:$A$19, 0), MATCH("Conservador", 02B_ESCENARIOS!$B$14:$D$14, 0))</f>
        <v/>
      </c>
      <c r="F332">
        <f>E332*VLOOKUP(A332,04_PROYECTOS!$A:$N,6,FALSE)</f>
        <v/>
      </c>
      <c r="G332">
        <f>E332+F332</f>
        <v/>
      </c>
      <c r="H332">
        <f>IF(VLOOKUP(A332,04_PROYECTOS!$A:$N,10,FALSE)="", IF(VLOOKUP(A332,04_PROYECTOS!$A:$N,4,FALSE)="Privado", INDEX(02B_ESCENARIOS!$B$4:$D$11, MATCH("DSO_PRIVADO_DEFAULT", 02B_ESCENARIOS!$A$4:$A$11, 0), MATCH("Conservador", 02B_ESCENARIOS!$B$3:$D$3, 0)), IF(VLOOKUP(A332,04_PROYECTOS!$A:$N,4,FALSE)="Publico_&lt;10M",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VLOOKUP(A332,04_PROYECTOS!$A:$N,10,FALSE))</f>
        <v/>
      </c>
      <c r="I332">
        <f>ROUNDUP(H332/30,0)</f>
        <v/>
      </c>
      <c r="J332">
        <f>EDATE(C332,I332)</f>
        <v/>
      </c>
      <c r="K332">
        <f>G332</f>
        <v/>
      </c>
    </row>
    <row r="333">
      <c r="E333">
        <f>D333*VLOOKUP(A333,04_PROYECTOS!$A:$N,5,FALSE)*(INDEX(02B_ESCENARIOS!$B$4:$D$11, MATCH("MULT_PRECIO", 02B_ESCENARIOS!$A$4:$A$11, 0), MATCH("Conservador", 02B_ESCENARIOS!$B$3:$D$3, 0)))*INDEX(02B_ESCENARIOS!$B$15:$D$19, MATCH(VLOOKUP(A333,04_PROYECTOS!$A:$N,9,FALSE), 02B_ESCENARIOS!$A$15:$A$19, 0), MATCH("Conservador", 02B_ESCENARIOS!$B$14:$D$14, 0))</f>
        <v/>
      </c>
      <c r="F333">
        <f>E333*VLOOKUP(A333,04_PROYECTOS!$A:$N,6,FALSE)</f>
        <v/>
      </c>
      <c r="G333">
        <f>E333+F333</f>
        <v/>
      </c>
      <c r="H333">
        <f>IF(VLOOKUP(A333,04_PROYECTOS!$A:$N,10,FALSE)="", IF(VLOOKUP(A333,04_PROYECTOS!$A:$N,4,FALSE)="Privado", INDEX(02B_ESCENARIOS!$B$4:$D$11, MATCH("DSO_PRIVADO_DEFAULT", 02B_ESCENARIOS!$A$4:$A$11, 0), MATCH("Conservador", 02B_ESCENARIOS!$B$3:$D$3, 0)), IF(VLOOKUP(A333,04_PROYECTOS!$A:$N,4,FALSE)="Publico_&lt;10M",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VLOOKUP(A333,04_PROYECTOS!$A:$N,10,FALSE))</f>
        <v/>
      </c>
      <c r="I333">
        <f>ROUNDUP(H333/30,0)</f>
        <v/>
      </c>
      <c r="J333">
        <f>EDATE(C333,I333)</f>
        <v/>
      </c>
      <c r="K333">
        <f>G333</f>
        <v/>
      </c>
    </row>
    <row r="334">
      <c r="E334">
        <f>D334*VLOOKUP(A334,04_PROYECTOS!$A:$N,5,FALSE)*(INDEX(02B_ESCENARIOS!$B$4:$D$11, MATCH("MULT_PRECIO", 02B_ESCENARIOS!$A$4:$A$11, 0), MATCH("Conservador", 02B_ESCENARIOS!$B$3:$D$3, 0)))*INDEX(02B_ESCENARIOS!$B$15:$D$19, MATCH(VLOOKUP(A334,04_PROYECTOS!$A:$N,9,FALSE), 02B_ESCENARIOS!$A$15:$A$19, 0), MATCH("Conservador", 02B_ESCENARIOS!$B$14:$D$14, 0))</f>
        <v/>
      </c>
      <c r="F334">
        <f>E334*VLOOKUP(A334,04_PROYECTOS!$A:$N,6,FALSE)</f>
        <v/>
      </c>
      <c r="G334">
        <f>E334+F334</f>
        <v/>
      </c>
      <c r="H334">
        <f>IF(VLOOKUP(A334,04_PROYECTOS!$A:$N,10,FALSE)="", IF(VLOOKUP(A334,04_PROYECTOS!$A:$N,4,FALSE)="Privado", INDEX(02B_ESCENARIOS!$B$4:$D$11, MATCH("DSO_PRIVADO_DEFAULT", 02B_ESCENARIOS!$A$4:$A$11, 0), MATCH("Conservador", 02B_ESCENARIOS!$B$3:$D$3, 0)), IF(VLOOKUP(A334,04_PROYECTOS!$A:$N,4,FALSE)="Publico_&lt;10M",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VLOOKUP(A334,04_PROYECTOS!$A:$N,10,FALSE))</f>
        <v/>
      </c>
      <c r="I334">
        <f>ROUNDUP(H334/30,0)</f>
        <v/>
      </c>
      <c r="J334">
        <f>EDATE(C334,I334)</f>
        <v/>
      </c>
      <c r="K334">
        <f>G334</f>
        <v/>
      </c>
    </row>
    <row r="335">
      <c r="E335">
        <f>D335*VLOOKUP(A335,04_PROYECTOS!$A:$N,5,FALSE)*(INDEX(02B_ESCENARIOS!$B$4:$D$11, MATCH("MULT_PRECIO", 02B_ESCENARIOS!$A$4:$A$11, 0), MATCH("Conservador", 02B_ESCENARIOS!$B$3:$D$3, 0)))*INDEX(02B_ESCENARIOS!$B$15:$D$19, MATCH(VLOOKUP(A335,04_PROYECTOS!$A:$N,9,FALSE), 02B_ESCENARIOS!$A$15:$A$19, 0), MATCH("Conservador", 02B_ESCENARIOS!$B$14:$D$14, 0))</f>
        <v/>
      </c>
      <c r="F335">
        <f>E335*VLOOKUP(A335,04_PROYECTOS!$A:$N,6,FALSE)</f>
        <v/>
      </c>
      <c r="G335">
        <f>E335+F335</f>
        <v/>
      </c>
      <c r="H335">
        <f>IF(VLOOKUP(A335,04_PROYECTOS!$A:$N,10,FALSE)="", IF(VLOOKUP(A335,04_PROYECTOS!$A:$N,4,FALSE)="Privado", INDEX(02B_ESCENARIOS!$B$4:$D$11, MATCH("DSO_PRIVADO_DEFAULT", 02B_ESCENARIOS!$A$4:$A$11, 0), MATCH("Conservador", 02B_ESCENARIOS!$B$3:$D$3, 0)), IF(VLOOKUP(A335,04_PROYECTOS!$A:$N,4,FALSE)="Publico_&lt;10M",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VLOOKUP(A335,04_PROYECTOS!$A:$N,10,FALSE))</f>
        <v/>
      </c>
      <c r="I335">
        <f>ROUNDUP(H335/30,0)</f>
        <v/>
      </c>
      <c r="J335">
        <f>EDATE(C335,I335)</f>
        <v/>
      </c>
      <c r="K335">
        <f>G335</f>
        <v/>
      </c>
    </row>
    <row r="336">
      <c r="E336">
        <f>D336*VLOOKUP(A336,04_PROYECTOS!$A:$N,5,FALSE)*(INDEX(02B_ESCENARIOS!$B$4:$D$11, MATCH("MULT_PRECIO", 02B_ESCENARIOS!$A$4:$A$11, 0), MATCH("Conservador", 02B_ESCENARIOS!$B$3:$D$3, 0)))*INDEX(02B_ESCENARIOS!$B$15:$D$19, MATCH(VLOOKUP(A336,04_PROYECTOS!$A:$N,9,FALSE), 02B_ESCENARIOS!$A$15:$A$19, 0), MATCH("Conservador", 02B_ESCENARIOS!$B$14:$D$14, 0))</f>
        <v/>
      </c>
      <c r="F336">
        <f>E336*VLOOKUP(A336,04_PROYECTOS!$A:$N,6,FALSE)</f>
        <v/>
      </c>
      <c r="G336">
        <f>E336+F336</f>
        <v/>
      </c>
      <c r="H336">
        <f>IF(VLOOKUP(A336,04_PROYECTOS!$A:$N,10,FALSE)="", IF(VLOOKUP(A336,04_PROYECTOS!$A:$N,4,FALSE)="Privado", INDEX(02B_ESCENARIOS!$B$4:$D$11, MATCH("DSO_PRIVADO_DEFAULT", 02B_ESCENARIOS!$A$4:$A$11, 0), MATCH("Conservador", 02B_ESCENARIOS!$B$3:$D$3, 0)), IF(VLOOKUP(A336,04_PROYECTOS!$A:$N,4,FALSE)="Publico_&lt;10M",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VLOOKUP(A336,04_PROYECTOS!$A:$N,10,FALSE))</f>
        <v/>
      </c>
      <c r="I336">
        <f>ROUNDUP(H336/30,0)</f>
        <v/>
      </c>
      <c r="J336">
        <f>EDATE(C336,I336)</f>
        <v/>
      </c>
      <c r="K336">
        <f>G336</f>
        <v/>
      </c>
    </row>
    <row r="337">
      <c r="E337">
        <f>D337*VLOOKUP(A337,04_PROYECTOS!$A:$N,5,FALSE)*(INDEX(02B_ESCENARIOS!$B$4:$D$11, MATCH("MULT_PRECIO", 02B_ESCENARIOS!$A$4:$A$11, 0), MATCH("Conservador", 02B_ESCENARIOS!$B$3:$D$3, 0)))*INDEX(02B_ESCENARIOS!$B$15:$D$19, MATCH(VLOOKUP(A337,04_PROYECTOS!$A:$N,9,FALSE), 02B_ESCENARIOS!$A$15:$A$19, 0), MATCH("Conservador", 02B_ESCENARIOS!$B$14:$D$14, 0))</f>
        <v/>
      </c>
      <c r="F337">
        <f>E337*VLOOKUP(A337,04_PROYECTOS!$A:$N,6,FALSE)</f>
        <v/>
      </c>
      <c r="G337">
        <f>E337+F337</f>
        <v/>
      </c>
      <c r="H337">
        <f>IF(VLOOKUP(A337,04_PROYECTOS!$A:$N,10,FALSE)="", IF(VLOOKUP(A337,04_PROYECTOS!$A:$N,4,FALSE)="Privado", INDEX(02B_ESCENARIOS!$B$4:$D$11, MATCH("DSO_PRIVADO_DEFAULT", 02B_ESCENARIOS!$A$4:$A$11, 0), MATCH("Conservador", 02B_ESCENARIOS!$B$3:$D$3, 0)), IF(VLOOKUP(A337,04_PROYECTOS!$A:$N,4,FALSE)="Publico_&lt;10M",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VLOOKUP(A337,04_PROYECTOS!$A:$N,10,FALSE))</f>
        <v/>
      </c>
      <c r="I337">
        <f>ROUNDUP(H337/30,0)</f>
        <v/>
      </c>
      <c r="J337">
        <f>EDATE(C337,I337)</f>
        <v/>
      </c>
      <c r="K337">
        <f>G337</f>
        <v/>
      </c>
    </row>
    <row r="338">
      <c r="E338">
        <f>D338*VLOOKUP(A338,04_PROYECTOS!$A:$N,5,FALSE)*(INDEX(02B_ESCENARIOS!$B$4:$D$11, MATCH("MULT_PRECIO", 02B_ESCENARIOS!$A$4:$A$11, 0), MATCH("Conservador", 02B_ESCENARIOS!$B$3:$D$3, 0)))*INDEX(02B_ESCENARIOS!$B$15:$D$19, MATCH(VLOOKUP(A338,04_PROYECTOS!$A:$N,9,FALSE), 02B_ESCENARIOS!$A$15:$A$19, 0), MATCH("Conservador", 02B_ESCENARIOS!$B$14:$D$14, 0))</f>
        <v/>
      </c>
      <c r="F338">
        <f>E338*VLOOKUP(A338,04_PROYECTOS!$A:$N,6,FALSE)</f>
        <v/>
      </c>
      <c r="G338">
        <f>E338+F338</f>
        <v/>
      </c>
      <c r="H338">
        <f>IF(VLOOKUP(A338,04_PROYECTOS!$A:$N,10,FALSE)="", IF(VLOOKUP(A338,04_PROYECTOS!$A:$N,4,FALSE)="Privado", INDEX(02B_ESCENARIOS!$B$4:$D$11, MATCH("DSO_PRIVADO_DEFAULT", 02B_ESCENARIOS!$A$4:$A$11, 0), MATCH("Conservador", 02B_ESCENARIOS!$B$3:$D$3, 0)), IF(VLOOKUP(A338,04_PROYECTOS!$A:$N,4,FALSE)="Publico_&lt;10M",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VLOOKUP(A338,04_PROYECTOS!$A:$N,10,FALSE))</f>
        <v/>
      </c>
      <c r="I338">
        <f>ROUNDUP(H338/30,0)</f>
        <v/>
      </c>
      <c r="J338">
        <f>EDATE(C338,I338)</f>
        <v/>
      </c>
      <c r="K338">
        <f>G338</f>
        <v/>
      </c>
    </row>
    <row r="339">
      <c r="E339">
        <f>D339*VLOOKUP(A339,04_PROYECTOS!$A:$N,5,FALSE)*(INDEX(02B_ESCENARIOS!$B$4:$D$11, MATCH("MULT_PRECIO", 02B_ESCENARIOS!$A$4:$A$11, 0), MATCH("Conservador", 02B_ESCENARIOS!$B$3:$D$3, 0)))*INDEX(02B_ESCENARIOS!$B$15:$D$19, MATCH(VLOOKUP(A339,04_PROYECTOS!$A:$N,9,FALSE), 02B_ESCENARIOS!$A$15:$A$19, 0), MATCH("Conservador", 02B_ESCENARIOS!$B$14:$D$14, 0))</f>
        <v/>
      </c>
      <c r="F339">
        <f>E339*VLOOKUP(A339,04_PROYECTOS!$A:$N,6,FALSE)</f>
        <v/>
      </c>
      <c r="G339">
        <f>E339+F339</f>
        <v/>
      </c>
      <c r="H339">
        <f>IF(VLOOKUP(A339,04_PROYECTOS!$A:$N,10,FALSE)="", IF(VLOOKUP(A339,04_PROYECTOS!$A:$N,4,FALSE)="Privado", INDEX(02B_ESCENARIOS!$B$4:$D$11, MATCH("DSO_PRIVADO_DEFAULT", 02B_ESCENARIOS!$A$4:$A$11, 0), MATCH("Conservador", 02B_ESCENARIOS!$B$3:$D$3, 0)), IF(VLOOKUP(A339,04_PROYECTOS!$A:$N,4,FALSE)="Publico_&lt;10M",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VLOOKUP(A339,04_PROYECTOS!$A:$N,10,FALSE))</f>
        <v/>
      </c>
      <c r="I339">
        <f>ROUNDUP(H339/30,0)</f>
        <v/>
      </c>
      <c r="J339">
        <f>EDATE(C339,I339)</f>
        <v/>
      </c>
      <c r="K339">
        <f>G339</f>
        <v/>
      </c>
    </row>
    <row r="340">
      <c r="E340">
        <f>D340*VLOOKUP(A340,04_PROYECTOS!$A:$N,5,FALSE)*(INDEX(02B_ESCENARIOS!$B$4:$D$11, MATCH("MULT_PRECIO", 02B_ESCENARIOS!$A$4:$A$11, 0), MATCH("Conservador", 02B_ESCENARIOS!$B$3:$D$3, 0)))*INDEX(02B_ESCENARIOS!$B$15:$D$19, MATCH(VLOOKUP(A340,04_PROYECTOS!$A:$N,9,FALSE), 02B_ESCENARIOS!$A$15:$A$19, 0), MATCH("Conservador", 02B_ESCENARIOS!$B$14:$D$14, 0))</f>
        <v/>
      </c>
      <c r="F340">
        <f>E340*VLOOKUP(A340,04_PROYECTOS!$A:$N,6,FALSE)</f>
        <v/>
      </c>
      <c r="G340">
        <f>E340+F340</f>
        <v/>
      </c>
      <c r="H340">
        <f>IF(VLOOKUP(A340,04_PROYECTOS!$A:$N,10,FALSE)="", IF(VLOOKUP(A340,04_PROYECTOS!$A:$N,4,FALSE)="Privado", INDEX(02B_ESCENARIOS!$B$4:$D$11, MATCH("DSO_PRIVADO_DEFAULT", 02B_ESCENARIOS!$A$4:$A$11, 0), MATCH("Conservador", 02B_ESCENARIOS!$B$3:$D$3, 0)), IF(VLOOKUP(A340,04_PROYECTOS!$A:$N,4,FALSE)="Publico_&lt;10M",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VLOOKUP(A340,04_PROYECTOS!$A:$N,10,FALSE))</f>
        <v/>
      </c>
      <c r="I340">
        <f>ROUNDUP(H340/30,0)</f>
        <v/>
      </c>
      <c r="J340">
        <f>EDATE(C340,I340)</f>
        <v/>
      </c>
      <c r="K340">
        <f>G340</f>
        <v/>
      </c>
    </row>
    <row r="341">
      <c r="E341">
        <f>D341*VLOOKUP(A341,04_PROYECTOS!$A:$N,5,FALSE)*(INDEX(02B_ESCENARIOS!$B$4:$D$11, MATCH("MULT_PRECIO", 02B_ESCENARIOS!$A$4:$A$11, 0), MATCH("Conservador", 02B_ESCENARIOS!$B$3:$D$3, 0)))*INDEX(02B_ESCENARIOS!$B$15:$D$19, MATCH(VLOOKUP(A341,04_PROYECTOS!$A:$N,9,FALSE), 02B_ESCENARIOS!$A$15:$A$19, 0), MATCH("Conservador", 02B_ESCENARIOS!$B$14:$D$14, 0))</f>
        <v/>
      </c>
      <c r="F341">
        <f>E341*VLOOKUP(A341,04_PROYECTOS!$A:$N,6,FALSE)</f>
        <v/>
      </c>
      <c r="G341">
        <f>E341+F341</f>
        <v/>
      </c>
      <c r="H341">
        <f>IF(VLOOKUP(A341,04_PROYECTOS!$A:$N,10,FALSE)="", IF(VLOOKUP(A341,04_PROYECTOS!$A:$N,4,FALSE)="Privado", INDEX(02B_ESCENARIOS!$B$4:$D$11, MATCH("DSO_PRIVADO_DEFAULT", 02B_ESCENARIOS!$A$4:$A$11, 0), MATCH("Conservador", 02B_ESCENARIOS!$B$3:$D$3, 0)), IF(VLOOKUP(A341,04_PROYECTOS!$A:$N,4,FALSE)="Publico_&lt;10M",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VLOOKUP(A341,04_PROYECTOS!$A:$N,10,FALSE))</f>
        <v/>
      </c>
      <c r="I341">
        <f>ROUNDUP(H341/30,0)</f>
        <v/>
      </c>
      <c r="J341">
        <f>EDATE(C341,I341)</f>
        <v/>
      </c>
      <c r="K341">
        <f>G341</f>
        <v/>
      </c>
    </row>
    <row r="342">
      <c r="E342">
        <f>D342*VLOOKUP(A342,04_PROYECTOS!$A:$N,5,FALSE)*(INDEX(02B_ESCENARIOS!$B$4:$D$11, MATCH("MULT_PRECIO", 02B_ESCENARIOS!$A$4:$A$11, 0), MATCH("Conservador", 02B_ESCENARIOS!$B$3:$D$3, 0)))*INDEX(02B_ESCENARIOS!$B$15:$D$19, MATCH(VLOOKUP(A342,04_PROYECTOS!$A:$N,9,FALSE), 02B_ESCENARIOS!$A$15:$A$19, 0), MATCH("Conservador", 02B_ESCENARIOS!$B$14:$D$14, 0))</f>
        <v/>
      </c>
      <c r="F342">
        <f>E342*VLOOKUP(A342,04_PROYECTOS!$A:$N,6,FALSE)</f>
        <v/>
      </c>
      <c r="G342">
        <f>E342+F342</f>
        <v/>
      </c>
      <c r="H342">
        <f>IF(VLOOKUP(A342,04_PROYECTOS!$A:$N,10,FALSE)="", IF(VLOOKUP(A342,04_PROYECTOS!$A:$N,4,FALSE)="Privado", INDEX(02B_ESCENARIOS!$B$4:$D$11, MATCH("DSO_PRIVADO_DEFAULT", 02B_ESCENARIOS!$A$4:$A$11, 0), MATCH("Conservador", 02B_ESCENARIOS!$B$3:$D$3, 0)), IF(VLOOKUP(A342,04_PROYECTOS!$A:$N,4,FALSE)="Publico_&lt;10M",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VLOOKUP(A342,04_PROYECTOS!$A:$N,10,FALSE))</f>
        <v/>
      </c>
      <c r="I342">
        <f>ROUNDUP(H342/30,0)</f>
        <v/>
      </c>
      <c r="J342">
        <f>EDATE(C342,I342)</f>
        <v/>
      </c>
      <c r="K342">
        <f>G342</f>
        <v/>
      </c>
    </row>
    <row r="343">
      <c r="E343">
        <f>D343*VLOOKUP(A343,04_PROYECTOS!$A:$N,5,FALSE)*(INDEX(02B_ESCENARIOS!$B$4:$D$11, MATCH("MULT_PRECIO", 02B_ESCENARIOS!$A$4:$A$11, 0), MATCH("Conservador", 02B_ESCENARIOS!$B$3:$D$3, 0)))*INDEX(02B_ESCENARIOS!$B$15:$D$19, MATCH(VLOOKUP(A343,04_PROYECTOS!$A:$N,9,FALSE), 02B_ESCENARIOS!$A$15:$A$19, 0), MATCH("Conservador", 02B_ESCENARIOS!$B$14:$D$14, 0))</f>
        <v/>
      </c>
      <c r="F343">
        <f>E343*VLOOKUP(A343,04_PROYECTOS!$A:$N,6,FALSE)</f>
        <v/>
      </c>
      <c r="G343">
        <f>E343+F343</f>
        <v/>
      </c>
      <c r="H343">
        <f>IF(VLOOKUP(A343,04_PROYECTOS!$A:$N,10,FALSE)="", IF(VLOOKUP(A343,04_PROYECTOS!$A:$N,4,FALSE)="Privado", INDEX(02B_ESCENARIOS!$B$4:$D$11, MATCH("DSO_PRIVADO_DEFAULT", 02B_ESCENARIOS!$A$4:$A$11, 0), MATCH("Conservador", 02B_ESCENARIOS!$B$3:$D$3, 0)), IF(VLOOKUP(A343,04_PROYECTOS!$A:$N,4,FALSE)="Publico_&lt;10M",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VLOOKUP(A343,04_PROYECTOS!$A:$N,10,FALSE))</f>
        <v/>
      </c>
      <c r="I343">
        <f>ROUNDUP(H343/30,0)</f>
        <v/>
      </c>
      <c r="J343">
        <f>EDATE(C343,I343)</f>
        <v/>
      </c>
      <c r="K343">
        <f>G343</f>
        <v/>
      </c>
    </row>
    <row r="344">
      <c r="E344">
        <f>D344*VLOOKUP(A344,04_PROYECTOS!$A:$N,5,FALSE)*(INDEX(02B_ESCENARIOS!$B$4:$D$11, MATCH("MULT_PRECIO", 02B_ESCENARIOS!$A$4:$A$11, 0), MATCH("Conservador", 02B_ESCENARIOS!$B$3:$D$3, 0)))*INDEX(02B_ESCENARIOS!$B$15:$D$19, MATCH(VLOOKUP(A344,04_PROYECTOS!$A:$N,9,FALSE), 02B_ESCENARIOS!$A$15:$A$19, 0), MATCH("Conservador", 02B_ESCENARIOS!$B$14:$D$14, 0))</f>
        <v/>
      </c>
      <c r="F344">
        <f>E344*VLOOKUP(A344,04_PROYECTOS!$A:$N,6,FALSE)</f>
        <v/>
      </c>
      <c r="G344">
        <f>E344+F344</f>
        <v/>
      </c>
      <c r="H344">
        <f>IF(VLOOKUP(A344,04_PROYECTOS!$A:$N,10,FALSE)="", IF(VLOOKUP(A344,04_PROYECTOS!$A:$N,4,FALSE)="Privado", INDEX(02B_ESCENARIOS!$B$4:$D$11, MATCH("DSO_PRIVADO_DEFAULT", 02B_ESCENARIOS!$A$4:$A$11, 0), MATCH("Conservador", 02B_ESCENARIOS!$B$3:$D$3, 0)), IF(VLOOKUP(A344,04_PROYECTOS!$A:$N,4,FALSE)="Publico_&lt;10M",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VLOOKUP(A344,04_PROYECTOS!$A:$N,10,FALSE))</f>
        <v/>
      </c>
      <c r="I344">
        <f>ROUNDUP(H344/30,0)</f>
        <v/>
      </c>
      <c r="J344">
        <f>EDATE(C344,I344)</f>
        <v/>
      </c>
      <c r="K344">
        <f>G344</f>
        <v/>
      </c>
    </row>
    <row r="345">
      <c r="E345">
        <f>D345*VLOOKUP(A345,04_PROYECTOS!$A:$N,5,FALSE)*(INDEX(02B_ESCENARIOS!$B$4:$D$11, MATCH("MULT_PRECIO", 02B_ESCENARIOS!$A$4:$A$11, 0), MATCH("Conservador", 02B_ESCENARIOS!$B$3:$D$3, 0)))*INDEX(02B_ESCENARIOS!$B$15:$D$19, MATCH(VLOOKUP(A345,04_PROYECTOS!$A:$N,9,FALSE), 02B_ESCENARIOS!$A$15:$A$19, 0), MATCH("Conservador", 02B_ESCENARIOS!$B$14:$D$14, 0))</f>
        <v/>
      </c>
      <c r="F345">
        <f>E345*VLOOKUP(A345,04_PROYECTOS!$A:$N,6,FALSE)</f>
        <v/>
      </c>
      <c r="G345">
        <f>E345+F345</f>
        <v/>
      </c>
      <c r="H345">
        <f>IF(VLOOKUP(A345,04_PROYECTOS!$A:$N,10,FALSE)="", IF(VLOOKUP(A345,04_PROYECTOS!$A:$N,4,FALSE)="Privado", INDEX(02B_ESCENARIOS!$B$4:$D$11, MATCH("DSO_PRIVADO_DEFAULT", 02B_ESCENARIOS!$A$4:$A$11, 0), MATCH("Conservador", 02B_ESCENARIOS!$B$3:$D$3, 0)), IF(VLOOKUP(A345,04_PROYECTOS!$A:$N,4,FALSE)="Publico_&lt;10M",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VLOOKUP(A345,04_PROYECTOS!$A:$N,10,FALSE))</f>
        <v/>
      </c>
      <c r="I345">
        <f>ROUNDUP(H345/30,0)</f>
        <v/>
      </c>
      <c r="J345">
        <f>EDATE(C345,I345)</f>
        <v/>
      </c>
      <c r="K345">
        <f>G345</f>
        <v/>
      </c>
    </row>
    <row r="346">
      <c r="E346">
        <f>D346*VLOOKUP(A346,04_PROYECTOS!$A:$N,5,FALSE)*(INDEX(02B_ESCENARIOS!$B$4:$D$11, MATCH("MULT_PRECIO", 02B_ESCENARIOS!$A$4:$A$11, 0), MATCH("Conservador", 02B_ESCENARIOS!$B$3:$D$3, 0)))*INDEX(02B_ESCENARIOS!$B$15:$D$19, MATCH(VLOOKUP(A346,04_PROYECTOS!$A:$N,9,FALSE), 02B_ESCENARIOS!$A$15:$A$19, 0), MATCH("Conservador", 02B_ESCENARIOS!$B$14:$D$14, 0))</f>
        <v/>
      </c>
      <c r="F346">
        <f>E346*VLOOKUP(A346,04_PROYECTOS!$A:$N,6,FALSE)</f>
        <v/>
      </c>
      <c r="G346">
        <f>E346+F346</f>
        <v/>
      </c>
      <c r="H346">
        <f>IF(VLOOKUP(A346,04_PROYECTOS!$A:$N,10,FALSE)="", IF(VLOOKUP(A346,04_PROYECTOS!$A:$N,4,FALSE)="Privado", INDEX(02B_ESCENARIOS!$B$4:$D$11, MATCH("DSO_PRIVADO_DEFAULT", 02B_ESCENARIOS!$A$4:$A$11, 0), MATCH("Conservador", 02B_ESCENARIOS!$B$3:$D$3, 0)), IF(VLOOKUP(A346,04_PROYECTOS!$A:$N,4,FALSE)="Publico_&lt;10M",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VLOOKUP(A346,04_PROYECTOS!$A:$N,10,FALSE))</f>
        <v/>
      </c>
      <c r="I346">
        <f>ROUNDUP(H346/30,0)</f>
        <v/>
      </c>
      <c r="J346">
        <f>EDATE(C346,I346)</f>
        <v/>
      </c>
      <c r="K346">
        <f>G346</f>
        <v/>
      </c>
    </row>
    <row r="347">
      <c r="E347">
        <f>D347*VLOOKUP(A347,04_PROYECTOS!$A:$N,5,FALSE)*(INDEX(02B_ESCENARIOS!$B$4:$D$11, MATCH("MULT_PRECIO", 02B_ESCENARIOS!$A$4:$A$11, 0), MATCH("Conservador", 02B_ESCENARIOS!$B$3:$D$3, 0)))*INDEX(02B_ESCENARIOS!$B$15:$D$19, MATCH(VLOOKUP(A347,04_PROYECTOS!$A:$N,9,FALSE), 02B_ESCENARIOS!$A$15:$A$19, 0), MATCH("Conservador", 02B_ESCENARIOS!$B$14:$D$14, 0))</f>
        <v/>
      </c>
      <c r="F347">
        <f>E347*VLOOKUP(A347,04_PROYECTOS!$A:$N,6,FALSE)</f>
        <v/>
      </c>
      <c r="G347">
        <f>E347+F347</f>
        <v/>
      </c>
      <c r="H347">
        <f>IF(VLOOKUP(A347,04_PROYECTOS!$A:$N,10,FALSE)="", IF(VLOOKUP(A347,04_PROYECTOS!$A:$N,4,FALSE)="Privado", INDEX(02B_ESCENARIOS!$B$4:$D$11, MATCH("DSO_PRIVADO_DEFAULT", 02B_ESCENARIOS!$A$4:$A$11, 0), MATCH("Conservador", 02B_ESCENARIOS!$B$3:$D$3, 0)), IF(VLOOKUP(A347,04_PROYECTOS!$A:$N,4,FALSE)="Publico_&lt;10M",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VLOOKUP(A347,04_PROYECTOS!$A:$N,10,FALSE))</f>
        <v/>
      </c>
      <c r="I347">
        <f>ROUNDUP(H347/30,0)</f>
        <v/>
      </c>
      <c r="J347">
        <f>EDATE(C347,I347)</f>
        <v/>
      </c>
      <c r="K347">
        <f>G347</f>
        <v/>
      </c>
    </row>
    <row r="348">
      <c r="E348">
        <f>D348*VLOOKUP(A348,04_PROYECTOS!$A:$N,5,FALSE)*(INDEX(02B_ESCENARIOS!$B$4:$D$11, MATCH("MULT_PRECIO", 02B_ESCENARIOS!$A$4:$A$11, 0), MATCH("Conservador", 02B_ESCENARIOS!$B$3:$D$3, 0)))*INDEX(02B_ESCENARIOS!$B$15:$D$19, MATCH(VLOOKUP(A348,04_PROYECTOS!$A:$N,9,FALSE), 02B_ESCENARIOS!$A$15:$A$19, 0), MATCH("Conservador", 02B_ESCENARIOS!$B$14:$D$14, 0))</f>
        <v/>
      </c>
      <c r="F348">
        <f>E348*VLOOKUP(A348,04_PROYECTOS!$A:$N,6,FALSE)</f>
        <v/>
      </c>
      <c r="G348">
        <f>E348+F348</f>
        <v/>
      </c>
      <c r="H348">
        <f>IF(VLOOKUP(A348,04_PROYECTOS!$A:$N,10,FALSE)="", IF(VLOOKUP(A348,04_PROYECTOS!$A:$N,4,FALSE)="Privado", INDEX(02B_ESCENARIOS!$B$4:$D$11, MATCH("DSO_PRIVADO_DEFAULT", 02B_ESCENARIOS!$A$4:$A$11, 0), MATCH("Conservador", 02B_ESCENARIOS!$B$3:$D$3, 0)), IF(VLOOKUP(A348,04_PROYECTOS!$A:$N,4,FALSE)="Publico_&lt;10M",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VLOOKUP(A348,04_PROYECTOS!$A:$N,10,FALSE))</f>
        <v/>
      </c>
      <c r="I348">
        <f>ROUNDUP(H348/30,0)</f>
        <v/>
      </c>
      <c r="J348">
        <f>EDATE(C348,I348)</f>
        <v/>
      </c>
      <c r="K348">
        <f>G348</f>
        <v/>
      </c>
    </row>
    <row r="349">
      <c r="E349">
        <f>D349*VLOOKUP(A349,04_PROYECTOS!$A:$N,5,FALSE)*(INDEX(02B_ESCENARIOS!$B$4:$D$11, MATCH("MULT_PRECIO", 02B_ESCENARIOS!$A$4:$A$11, 0), MATCH("Conservador", 02B_ESCENARIOS!$B$3:$D$3, 0)))*INDEX(02B_ESCENARIOS!$B$15:$D$19, MATCH(VLOOKUP(A349,04_PROYECTOS!$A:$N,9,FALSE), 02B_ESCENARIOS!$A$15:$A$19, 0), MATCH("Conservador", 02B_ESCENARIOS!$B$14:$D$14, 0))</f>
        <v/>
      </c>
      <c r="F349">
        <f>E349*VLOOKUP(A349,04_PROYECTOS!$A:$N,6,FALSE)</f>
        <v/>
      </c>
      <c r="G349">
        <f>E349+F349</f>
        <v/>
      </c>
      <c r="H349">
        <f>IF(VLOOKUP(A349,04_PROYECTOS!$A:$N,10,FALSE)="", IF(VLOOKUP(A349,04_PROYECTOS!$A:$N,4,FALSE)="Privado", INDEX(02B_ESCENARIOS!$B$4:$D$11, MATCH("DSO_PRIVADO_DEFAULT", 02B_ESCENARIOS!$A$4:$A$11, 0), MATCH("Conservador", 02B_ESCENARIOS!$B$3:$D$3, 0)), IF(VLOOKUP(A349,04_PROYECTOS!$A:$N,4,FALSE)="Publico_&lt;10M",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VLOOKUP(A349,04_PROYECTOS!$A:$N,10,FALSE))</f>
        <v/>
      </c>
      <c r="I349">
        <f>ROUNDUP(H349/30,0)</f>
        <v/>
      </c>
      <c r="J349">
        <f>EDATE(C349,I349)</f>
        <v/>
      </c>
      <c r="K349">
        <f>G349</f>
        <v/>
      </c>
    </row>
    <row r="350">
      <c r="E350">
        <f>D350*VLOOKUP(A350,04_PROYECTOS!$A:$N,5,FALSE)*(INDEX(02B_ESCENARIOS!$B$4:$D$11, MATCH("MULT_PRECIO", 02B_ESCENARIOS!$A$4:$A$11, 0), MATCH("Conservador", 02B_ESCENARIOS!$B$3:$D$3, 0)))*INDEX(02B_ESCENARIOS!$B$15:$D$19, MATCH(VLOOKUP(A350,04_PROYECTOS!$A:$N,9,FALSE), 02B_ESCENARIOS!$A$15:$A$19, 0), MATCH("Conservador", 02B_ESCENARIOS!$B$14:$D$14, 0))</f>
        <v/>
      </c>
      <c r="F350">
        <f>E350*VLOOKUP(A350,04_PROYECTOS!$A:$N,6,FALSE)</f>
        <v/>
      </c>
      <c r="G350">
        <f>E350+F350</f>
        <v/>
      </c>
      <c r="H350">
        <f>IF(VLOOKUP(A350,04_PROYECTOS!$A:$N,10,FALSE)="", IF(VLOOKUP(A350,04_PROYECTOS!$A:$N,4,FALSE)="Privado", INDEX(02B_ESCENARIOS!$B$4:$D$11, MATCH("DSO_PRIVADO_DEFAULT", 02B_ESCENARIOS!$A$4:$A$11, 0), MATCH("Conservador", 02B_ESCENARIOS!$B$3:$D$3, 0)), IF(VLOOKUP(A350,04_PROYECTOS!$A:$N,4,FALSE)="Publico_&lt;10M",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VLOOKUP(A350,04_PROYECTOS!$A:$N,10,FALSE))</f>
        <v/>
      </c>
      <c r="I350">
        <f>ROUNDUP(H350/30,0)</f>
        <v/>
      </c>
      <c r="J350">
        <f>EDATE(C350,I350)</f>
        <v/>
      </c>
      <c r="K350">
        <f>G350</f>
        <v/>
      </c>
    </row>
    <row r="351">
      <c r="E351">
        <f>D351*VLOOKUP(A351,04_PROYECTOS!$A:$N,5,FALSE)*(INDEX(02B_ESCENARIOS!$B$4:$D$11, MATCH("MULT_PRECIO", 02B_ESCENARIOS!$A$4:$A$11, 0), MATCH("Conservador", 02B_ESCENARIOS!$B$3:$D$3, 0)))*INDEX(02B_ESCENARIOS!$B$15:$D$19, MATCH(VLOOKUP(A351,04_PROYECTOS!$A:$N,9,FALSE), 02B_ESCENARIOS!$A$15:$A$19, 0), MATCH("Conservador", 02B_ESCENARIOS!$B$14:$D$14, 0))</f>
        <v/>
      </c>
      <c r="F351">
        <f>E351*VLOOKUP(A351,04_PROYECTOS!$A:$N,6,FALSE)</f>
        <v/>
      </c>
      <c r="G351">
        <f>E351+F351</f>
        <v/>
      </c>
      <c r="H351">
        <f>IF(VLOOKUP(A351,04_PROYECTOS!$A:$N,10,FALSE)="", IF(VLOOKUP(A351,04_PROYECTOS!$A:$N,4,FALSE)="Privado", INDEX(02B_ESCENARIOS!$B$4:$D$11, MATCH("DSO_PRIVADO_DEFAULT", 02B_ESCENARIOS!$A$4:$A$11, 0), MATCH("Conservador", 02B_ESCENARIOS!$B$3:$D$3, 0)), IF(VLOOKUP(A351,04_PROYECTOS!$A:$N,4,FALSE)="Publico_&lt;10M",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VLOOKUP(A351,04_PROYECTOS!$A:$N,10,FALSE))</f>
        <v/>
      </c>
      <c r="I351">
        <f>ROUNDUP(H351/30,0)</f>
        <v/>
      </c>
      <c r="J351">
        <f>EDATE(C351,I351)</f>
        <v/>
      </c>
      <c r="K351">
        <f>G351</f>
        <v/>
      </c>
    </row>
    <row r="352">
      <c r="E352">
        <f>D352*VLOOKUP(A352,04_PROYECTOS!$A:$N,5,FALSE)*(INDEX(02B_ESCENARIOS!$B$4:$D$11, MATCH("MULT_PRECIO", 02B_ESCENARIOS!$A$4:$A$11, 0), MATCH("Conservador", 02B_ESCENARIOS!$B$3:$D$3, 0)))*INDEX(02B_ESCENARIOS!$B$15:$D$19, MATCH(VLOOKUP(A352,04_PROYECTOS!$A:$N,9,FALSE), 02B_ESCENARIOS!$A$15:$A$19, 0), MATCH("Conservador", 02B_ESCENARIOS!$B$14:$D$14, 0))</f>
        <v/>
      </c>
      <c r="F352">
        <f>E352*VLOOKUP(A352,04_PROYECTOS!$A:$N,6,FALSE)</f>
        <v/>
      </c>
      <c r="G352">
        <f>E352+F352</f>
        <v/>
      </c>
      <c r="H352">
        <f>IF(VLOOKUP(A352,04_PROYECTOS!$A:$N,10,FALSE)="", IF(VLOOKUP(A352,04_PROYECTOS!$A:$N,4,FALSE)="Privado", INDEX(02B_ESCENARIOS!$B$4:$D$11, MATCH("DSO_PRIVADO_DEFAULT", 02B_ESCENARIOS!$A$4:$A$11, 0), MATCH("Conservador", 02B_ESCENARIOS!$B$3:$D$3, 0)), IF(VLOOKUP(A352,04_PROYECTOS!$A:$N,4,FALSE)="Publico_&lt;10M",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VLOOKUP(A352,04_PROYECTOS!$A:$N,10,FALSE))</f>
        <v/>
      </c>
      <c r="I352">
        <f>ROUNDUP(H352/30,0)</f>
        <v/>
      </c>
      <c r="J352">
        <f>EDATE(C352,I352)</f>
        <v/>
      </c>
      <c r="K352">
        <f>G352</f>
        <v/>
      </c>
    </row>
    <row r="353">
      <c r="E353">
        <f>D353*VLOOKUP(A353,04_PROYECTOS!$A:$N,5,FALSE)*(INDEX(02B_ESCENARIOS!$B$4:$D$11, MATCH("MULT_PRECIO", 02B_ESCENARIOS!$A$4:$A$11, 0), MATCH("Conservador", 02B_ESCENARIOS!$B$3:$D$3, 0)))*INDEX(02B_ESCENARIOS!$B$15:$D$19, MATCH(VLOOKUP(A353,04_PROYECTOS!$A:$N,9,FALSE), 02B_ESCENARIOS!$A$15:$A$19, 0), MATCH("Conservador", 02B_ESCENARIOS!$B$14:$D$14, 0))</f>
        <v/>
      </c>
      <c r="F353">
        <f>E353*VLOOKUP(A353,04_PROYECTOS!$A:$N,6,FALSE)</f>
        <v/>
      </c>
      <c r="G353">
        <f>E353+F353</f>
        <v/>
      </c>
      <c r="H353">
        <f>IF(VLOOKUP(A353,04_PROYECTOS!$A:$N,10,FALSE)="", IF(VLOOKUP(A353,04_PROYECTOS!$A:$N,4,FALSE)="Privado", INDEX(02B_ESCENARIOS!$B$4:$D$11, MATCH("DSO_PRIVADO_DEFAULT", 02B_ESCENARIOS!$A$4:$A$11, 0), MATCH("Conservador", 02B_ESCENARIOS!$B$3:$D$3, 0)), IF(VLOOKUP(A353,04_PROYECTOS!$A:$N,4,FALSE)="Publico_&lt;10M",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VLOOKUP(A353,04_PROYECTOS!$A:$N,10,FALSE))</f>
        <v/>
      </c>
      <c r="I353">
        <f>ROUNDUP(H353/30,0)</f>
        <v/>
      </c>
      <c r="J353">
        <f>EDATE(C353,I353)</f>
        <v/>
      </c>
      <c r="K353">
        <f>G353</f>
        <v/>
      </c>
    </row>
    <row r="354">
      <c r="E354">
        <f>D354*VLOOKUP(A354,04_PROYECTOS!$A:$N,5,FALSE)*(INDEX(02B_ESCENARIOS!$B$4:$D$11, MATCH("MULT_PRECIO", 02B_ESCENARIOS!$A$4:$A$11, 0), MATCH("Conservador", 02B_ESCENARIOS!$B$3:$D$3, 0)))*INDEX(02B_ESCENARIOS!$B$15:$D$19, MATCH(VLOOKUP(A354,04_PROYECTOS!$A:$N,9,FALSE), 02B_ESCENARIOS!$A$15:$A$19, 0), MATCH("Conservador", 02B_ESCENARIOS!$B$14:$D$14, 0))</f>
        <v/>
      </c>
      <c r="F354">
        <f>E354*VLOOKUP(A354,04_PROYECTOS!$A:$N,6,FALSE)</f>
        <v/>
      </c>
      <c r="G354">
        <f>E354+F354</f>
        <v/>
      </c>
      <c r="H354">
        <f>IF(VLOOKUP(A354,04_PROYECTOS!$A:$N,10,FALSE)="", IF(VLOOKUP(A354,04_PROYECTOS!$A:$N,4,FALSE)="Privado", INDEX(02B_ESCENARIOS!$B$4:$D$11, MATCH("DSO_PRIVADO_DEFAULT", 02B_ESCENARIOS!$A$4:$A$11, 0), MATCH("Conservador", 02B_ESCENARIOS!$B$3:$D$3, 0)), IF(VLOOKUP(A354,04_PROYECTOS!$A:$N,4,FALSE)="Publico_&lt;10M",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VLOOKUP(A354,04_PROYECTOS!$A:$N,10,FALSE))</f>
        <v/>
      </c>
      <c r="I354">
        <f>ROUNDUP(H354/30,0)</f>
        <v/>
      </c>
      <c r="J354">
        <f>EDATE(C354,I354)</f>
        <v/>
      </c>
      <c r="K354">
        <f>G354</f>
        <v/>
      </c>
    </row>
    <row r="355">
      <c r="E355">
        <f>D355*VLOOKUP(A355,04_PROYECTOS!$A:$N,5,FALSE)*(INDEX(02B_ESCENARIOS!$B$4:$D$11, MATCH("MULT_PRECIO", 02B_ESCENARIOS!$A$4:$A$11, 0), MATCH("Conservador", 02B_ESCENARIOS!$B$3:$D$3, 0)))*INDEX(02B_ESCENARIOS!$B$15:$D$19, MATCH(VLOOKUP(A355,04_PROYECTOS!$A:$N,9,FALSE), 02B_ESCENARIOS!$A$15:$A$19, 0), MATCH("Conservador", 02B_ESCENARIOS!$B$14:$D$14, 0))</f>
        <v/>
      </c>
      <c r="F355">
        <f>E355*VLOOKUP(A355,04_PROYECTOS!$A:$N,6,FALSE)</f>
        <v/>
      </c>
      <c r="G355">
        <f>E355+F355</f>
        <v/>
      </c>
      <c r="H355">
        <f>IF(VLOOKUP(A355,04_PROYECTOS!$A:$N,10,FALSE)="", IF(VLOOKUP(A355,04_PROYECTOS!$A:$N,4,FALSE)="Privado", INDEX(02B_ESCENARIOS!$B$4:$D$11, MATCH("DSO_PRIVADO_DEFAULT", 02B_ESCENARIOS!$A$4:$A$11, 0), MATCH("Conservador", 02B_ESCENARIOS!$B$3:$D$3, 0)), IF(VLOOKUP(A355,04_PROYECTOS!$A:$N,4,FALSE)="Publico_&lt;10M",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VLOOKUP(A355,04_PROYECTOS!$A:$N,10,FALSE))</f>
        <v/>
      </c>
      <c r="I355">
        <f>ROUNDUP(H355/30,0)</f>
        <v/>
      </c>
      <c r="J355">
        <f>EDATE(C355,I355)</f>
        <v/>
      </c>
      <c r="K355">
        <f>G355</f>
        <v/>
      </c>
    </row>
    <row r="356">
      <c r="E356">
        <f>D356*VLOOKUP(A356,04_PROYECTOS!$A:$N,5,FALSE)*(INDEX(02B_ESCENARIOS!$B$4:$D$11, MATCH("MULT_PRECIO", 02B_ESCENARIOS!$A$4:$A$11, 0), MATCH("Conservador", 02B_ESCENARIOS!$B$3:$D$3, 0)))*INDEX(02B_ESCENARIOS!$B$15:$D$19, MATCH(VLOOKUP(A356,04_PROYECTOS!$A:$N,9,FALSE), 02B_ESCENARIOS!$A$15:$A$19, 0), MATCH("Conservador", 02B_ESCENARIOS!$B$14:$D$14, 0))</f>
        <v/>
      </c>
      <c r="F356">
        <f>E356*VLOOKUP(A356,04_PROYECTOS!$A:$N,6,FALSE)</f>
        <v/>
      </c>
      <c r="G356">
        <f>E356+F356</f>
        <v/>
      </c>
      <c r="H356">
        <f>IF(VLOOKUP(A356,04_PROYECTOS!$A:$N,10,FALSE)="", IF(VLOOKUP(A356,04_PROYECTOS!$A:$N,4,FALSE)="Privado", INDEX(02B_ESCENARIOS!$B$4:$D$11, MATCH("DSO_PRIVADO_DEFAULT", 02B_ESCENARIOS!$A$4:$A$11, 0), MATCH("Conservador", 02B_ESCENARIOS!$B$3:$D$3, 0)), IF(VLOOKUP(A356,04_PROYECTOS!$A:$N,4,FALSE)="Publico_&lt;10M",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VLOOKUP(A356,04_PROYECTOS!$A:$N,10,FALSE))</f>
        <v/>
      </c>
      <c r="I356">
        <f>ROUNDUP(H356/30,0)</f>
        <v/>
      </c>
      <c r="J356">
        <f>EDATE(C356,I356)</f>
        <v/>
      </c>
      <c r="K356">
        <f>G356</f>
        <v/>
      </c>
    </row>
    <row r="357">
      <c r="E357">
        <f>D357*VLOOKUP(A357,04_PROYECTOS!$A:$N,5,FALSE)*(INDEX(02B_ESCENARIOS!$B$4:$D$11, MATCH("MULT_PRECIO", 02B_ESCENARIOS!$A$4:$A$11, 0), MATCH("Conservador", 02B_ESCENARIOS!$B$3:$D$3, 0)))*INDEX(02B_ESCENARIOS!$B$15:$D$19, MATCH(VLOOKUP(A357,04_PROYECTOS!$A:$N,9,FALSE), 02B_ESCENARIOS!$A$15:$A$19, 0), MATCH("Conservador", 02B_ESCENARIOS!$B$14:$D$14, 0))</f>
        <v/>
      </c>
      <c r="F357">
        <f>E357*VLOOKUP(A357,04_PROYECTOS!$A:$N,6,FALSE)</f>
        <v/>
      </c>
      <c r="G357">
        <f>E357+F357</f>
        <v/>
      </c>
      <c r="H357">
        <f>IF(VLOOKUP(A357,04_PROYECTOS!$A:$N,10,FALSE)="", IF(VLOOKUP(A357,04_PROYECTOS!$A:$N,4,FALSE)="Privado", INDEX(02B_ESCENARIOS!$B$4:$D$11, MATCH("DSO_PRIVADO_DEFAULT", 02B_ESCENARIOS!$A$4:$A$11, 0), MATCH("Conservador", 02B_ESCENARIOS!$B$3:$D$3, 0)), IF(VLOOKUP(A357,04_PROYECTOS!$A:$N,4,FALSE)="Publico_&lt;10M",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VLOOKUP(A357,04_PROYECTOS!$A:$N,10,FALSE))</f>
        <v/>
      </c>
      <c r="I357">
        <f>ROUNDUP(H357/30,0)</f>
        <v/>
      </c>
      <c r="J357">
        <f>EDATE(C357,I357)</f>
        <v/>
      </c>
      <c r="K357">
        <f>G357</f>
        <v/>
      </c>
    </row>
    <row r="358">
      <c r="E358">
        <f>D358*VLOOKUP(A358,04_PROYECTOS!$A:$N,5,FALSE)*(INDEX(02B_ESCENARIOS!$B$4:$D$11, MATCH("MULT_PRECIO", 02B_ESCENARIOS!$A$4:$A$11, 0), MATCH("Conservador", 02B_ESCENARIOS!$B$3:$D$3, 0)))*INDEX(02B_ESCENARIOS!$B$15:$D$19, MATCH(VLOOKUP(A358,04_PROYECTOS!$A:$N,9,FALSE), 02B_ESCENARIOS!$A$15:$A$19, 0), MATCH("Conservador", 02B_ESCENARIOS!$B$14:$D$14, 0))</f>
        <v/>
      </c>
      <c r="F358">
        <f>E358*VLOOKUP(A358,04_PROYECTOS!$A:$N,6,FALSE)</f>
        <v/>
      </c>
      <c r="G358">
        <f>E358+F358</f>
        <v/>
      </c>
      <c r="H358">
        <f>IF(VLOOKUP(A358,04_PROYECTOS!$A:$N,10,FALSE)="", IF(VLOOKUP(A358,04_PROYECTOS!$A:$N,4,FALSE)="Privado", INDEX(02B_ESCENARIOS!$B$4:$D$11, MATCH("DSO_PRIVADO_DEFAULT", 02B_ESCENARIOS!$A$4:$A$11, 0), MATCH("Conservador", 02B_ESCENARIOS!$B$3:$D$3, 0)), IF(VLOOKUP(A358,04_PROYECTOS!$A:$N,4,FALSE)="Publico_&lt;10M",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VLOOKUP(A358,04_PROYECTOS!$A:$N,10,FALSE))</f>
        <v/>
      </c>
      <c r="I358">
        <f>ROUNDUP(H358/30,0)</f>
        <v/>
      </c>
      <c r="J358">
        <f>EDATE(C358,I358)</f>
        <v/>
      </c>
      <c r="K358">
        <f>G358</f>
        <v/>
      </c>
    </row>
    <row r="359">
      <c r="E359">
        <f>D359*VLOOKUP(A359,04_PROYECTOS!$A:$N,5,FALSE)*(INDEX(02B_ESCENARIOS!$B$4:$D$11, MATCH("MULT_PRECIO", 02B_ESCENARIOS!$A$4:$A$11, 0), MATCH("Conservador", 02B_ESCENARIOS!$B$3:$D$3, 0)))*INDEX(02B_ESCENARIOS!$B$15:$D$19, MATCH(VLOOKUP(A359,04_PROYECTOS!$A:$N,9,FALSE), 02B_ESCENARIOS!$A$15:$A$19, 0), MATCH("Conservador", 02B_ESCENARIOS!$B$14:$D$14, 0))</f>
        <v/>
      </c>
      <c r="F359">
        <f>E359*VLOOKUP(A359,04_PROYECTOS!$A:$N,6,FALSE)</f>
        <v/>
      </c>
      <c r="G359">
        <f>E359+F359</f>
        <v/>
      </c>
      <c r="H359">
        <f>IF(VLOOKUP(A359,04_PROYECTOS!$A:$N,10,FALSE)="", IF(VLOOKUP(A359,04_PROYECTOS!$A:$N,4,FALSE)="Privado", INDEX(02B_ESCENARIOS!$B$4:$D$11, MATCH("DSO_PRIVADO_DEFAULT", 02B_ESCENARIOS!$A$4:$A$11, 0), MATCH("Conservador", 02B_ESCENARIOS!$B$3:$D$3, 0)), IF(VLOOKUP(A359,04_PROYECTOS!$A:$N,4,FALSE)="Publico_&lt;10M",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VLOOKUP(A359,04_PROYECTOS!$A:$N,10,FALSE))</f>
        <v/>
      </c>
      <c r="I359">
        <f>ROUNDUP(H359/30,0)</f>
        <v/>
      </c>
      <c r="J359">
        <f>EDATE(C359,I359)</f>
        <v/>
      </c>
      <c r="K359">
        <f>G359</f>
        <v/>
      </c>
    </row>
    <row r="360">
      <c r="E360">
        <f>D360*VLOOKUP(A360,04_PROYECTOS!$A:$N,5,FALSE)*(INDEX(02B_ESCENARIOS!$B$4:$D$11, MATCH("MULT_PRECIO", 02B_ESCENARIOS!$A$4:$A$11, 0), MATCH("Conservador", 02B_ESCENARIOS!$B$3:$D$3, 0)))*INDEX(02B_ESCENARIOS!$B$15:$D$19, MATCH(VLOOKUP(A360,04_PROYECTOS!$A:$N,9,FALSE), 02B_ESCENARIOS!$A$15:$A$19, 0), MATCH("Conservador", 02B_ESCENARIOS!$B$14:$D$14, 0))</f>
        <v/>
      </c>
      <c r="F360">
        <f>E360*VLOOKUP(A360,04_PROYECTOS!$A:$N,6,FALSE)</f>
        <v/>
      </c>
      <c r="G360">
        <f>E360+F360</f>
        <v/>
      </c>
      <c r="H360">
        <f>IF(VLOOKUP(A360,04_PROYECTOS!$A:$N,10,FALSE)="", IF(VLOOKUP(A360,04_PROYECTOS!$A:$N,4,FALSE)="Privado", INDEX(02B_ESCENARIOS!$B$4:$D$11, MATCH("DSO_PRIVADO_DEFAULT", 02B_ESCENARIOS!$A$4:$A$11, 0), MATCH("Conservador", 02B_ESCENARIOS!$B$3:$D$3, 0)), IF(VLOOKUP(A360,04_PROYECTOS!$A:$N,4,FALSE)="Publico_&lt;10M",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VLOOKUP(A360,04_PROYECTOS!$A:$N,10,FALSE))</f>
        <v/>
      </c>
      <c r="I360">
        <f>ROUNDUP(H360/30,0)</f>
        <v/>
      </c>
      <c r="J360">
        <f>EDATE(C360,I360)</f>
        <v/>
      </c>
      <c r="K360">
        <f>G360</f>
        <v/>
      </c>
    </row>
    <row r="361">
      <c r="E361">
        <f>D361*VLOOKUP(A361,04_PROYECTOS!$A:$N,5,FALSE)*(INDEX(02B_ESCENARIOS!$B$4:$D$11, MATCH("MULT_PRECIO", 02B_ESCENARIOS!$A$4:$A$11, 0), MATCH("Conservador", 02B_ESCENARIOS!$B$3:$D$3, 0)))*INDEX(02B_ESCENARIOS!$B$15:$D$19, MATCH(VLOOKUP(A361,04_PROYECTOS!$A:$N,9,FALSE), 02B_ESCENARIOS!$A$15:$A$19, 0), MATCH("Conservador", 02B_ESCENARIOS!$B$14:$D$14, 0))</f>
        <v/>
      </c>
      <c r="F361">
        <f>E361*VLOOKUP(A361,04_PROYECTOS!$A:$N,6,FALSE)</f>
        <v/>
      </c>
      <c r="G361">
        <f>E361+F361</f>
        <v/>
      </c>
      <c r="H361">
        <f>IF(VLOOKUP(A361,04_PROYECTOS!$A:$N,10,FALSE)="", IF(VLOOKUP(A361,04_PROYECTOS!$A:$N,4,FALSE)="Privado", INDEX(02B_ESCENARIOS!$B$4:$D$11, MATCH("DSO_PRIVADO_DEFAULT", 02B_ESCENARIOS!$A$4:$A$11, 0), MATCH("Conservador", 02B_ESCENARIOS!$B$3:$D$3, 0)), IF(VLOOKUP(A361,04_PROYECTOS!$A:$N,4,FALSE)="Publico_&lt;10M",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VLOOKUP(A361,04_PROYECTOS!$A:$N,10,FALSE))</f>
        <v/>
      </c>
      <c r="I361">
        <f>ROUNDUP(H361/30,0)</f>
        <v/>
      </c>
      <c r="J361">
        <f>EDATE(C361,I361)</f>
        <v/>
      </c>
      <c r="K361">
        <f>G361</f>
        <v/>
      </c>
    </row>
    <row r="362">
      <c r="E362">
        <f>D362*VLOOKUP(A362,04_PROYECTOS!$A:$N,5,FALSE)*(INDEX(02B_ESCENARIOS!$B$4:$D$11, MATCH("MULT_PRECIO", 02B_ESCENARIOS!$A$4:$A$11, 0), MATCH("Conservador", 02B_ESCENARIOS!$B$3:$D$3, 0)))*INDEX(02B_ESCENARIOS!$B$15:$D$19, MATCH(VLOOKUP(A362,04_PROYECTOS!$A:$N,9,FALSE), 02B_ESCENARIOS!$A$15:$A$19, 0), MATCH("Conservador", 02B_ESCENARIOS!$B$14:$D$14, 0))</f>
        <v/>
      </c>
      <c r="F362">
        <f>E362*VLOOKUP(A362,04_PROYECTOS!$A:$N,6,FALSE)</f>
        <v/>
      </c>
      <c r="G362">
        <f>E362+F362</f>
        <v/>
      </c>
      <c r="H362">
        <f>IF(VLOOKUP(A362,04_PROYECTOS!$A:$N,10,FALSE)="", IF(VLOOKUP(A362,04_PROYECTOS!$A:$N,4,FALSE)="Privado", INDEX(02B_ESCENARIOS!$B$4:$D$11, MATCH("DSO_PRIVADO_DEFAULT", 02B_ESCENARIOS!$A$4:$A$11, 0), MATCH("Conservador", 02B_ESCENARIOS!$B$3:$D$3, 0)), IF(VLOOKUP(A362,04_PROYECTOS!$A:$N,4,FALSE)="Publico_&lt;10M",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VLOOKUP(A362,04_PROYECTOS!$A:$N,10,FALSE))</f>
        <v/>
      </c>
      <c r="I362">
        <f>ROUNDUP(H362/30,0)</f>
        <v/>
      </c>
      <c r="J362">
        <f>EDATE(C362,I362)</f>
        <v/>
      </c>
      <c r="K362">
        <f>G362</f>
        <v/>
      </c>
    </row>
    <row r="363">
      <c r="E363">
        <f>D363*VLOOKUP(A363,04_PROYECTOS!$A:$N,5,FALSE)*(INDEX(02B_ESCENARIOS!$B$4:$D$11, MATCH("MULT_PRECIO", 02B_ESCENARIOS!$A$4:$A$11, 0), MATCH("Conservador", 02B_ESCENARIOS!$B$3:$D$3, 0)))*INDEX(02B_ESCENARIOS!$B$15:$D$19, MATCH(VLOOKUP(A363,04_PROYECTOS!$A:$N,9,FALSE), 02B_ESCENARIOS!$A$15:$A$19, 0), MATCH("Conservador", 02B_ESCENARIOS!$B$14:$D$14, 0))</f>
        <v/>
      </c>
      <c r="F363">
        <f>E363*VLOOKUP(A363,04_PROYECTOS!$A:$N,6,FALSE)</f>
        <v/>
      </c>
      <c r="G363">
        <f>E363+F363</f>
        <v/>
      </c>
      <c r="H363">
        <f>IF(VLOOKUP(A363,04_PROYECTOS!$A:$N,10,FALSE)="", IF(VLOOKUP(A363,04_PROYECTOS!$A:$N,4,FALSE)="Privado", INDEX(02B_ESCENARIOS!$B$4:$D$11, MATCH("DSO_PRIVADO_DEFAULT", 02B_ESCENARIOS!$A$4:$A$11, 0), MATCH("Conservador", 02B_ESCENARIOS!$B$3:$D$3, 0)), IF(VLOOKUP(A363,04_PROYECTOS!$A:$N,4,FALSE)="Publico_&lt;10M",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VLOOKUP(A363,04_PROYECTOS!$A:$N,10,FALSE))</f>
        <v/>
      </c>
      <c r="I363">
        <f>ROUNDUP(H363/30,0)</f>
        <v/>
      </c>
      <c r="J363">
        <f>EDATE(C363,I363)</f>
        <v/>
      </c>
      <c r="K363">
        <f>G363</f>
        <v/>
      </c>
    </row>
    <row r="364">
      <c r="E364">
        <f>D364*VLOOKUP(A364,04_PROYECTOS!$A:$N,5,FALSE)*(INDEX(02B_ESCENARIOS!$B$4:$D$11, MATCH("MULT_PRECIO", 02B_ESCENARIOS!$A$4:$A$11, 0), MATCH("Conservador", 02B_ESCENARIOS!$B$3:$D$3, 0)))*INDEX(02B_ESCENARIOS!$B$15:$D$19, MATCH(VLOOKUP(A364,04_PROYECTOS!$A:$N,9,FALSE), 02B_ESCENARIOS!$A$15:$A$19, 0), MATCH("Conservador", 02B_ESCENARIOS!$B$14:$D$14, 0))</f>
        <v/>
      </c>
      <c r="F364">
        <f>E364*VLOOKUP(A364,04_PROYECTOS!$A:$N,6,FALSE)</f>
        <v/>
      </c>
      <c r="G364">
        <f>E364+F364</f>
        <v/>
      </c>
      <c r="H364">
        <f>IF(VLOOKUP(A364,04_PROYECTOS!$A:$N,10,FALSE)="", IF(VLOOKUP(A364,04_PROYECTOS!$A:$N,4,FALSE)="Privado", INDEX(02B_ESCENARIOS!$B$4:$D$11, MATCH("DSO_PRIVADO_DEFAULT", 02B_ESCENARIOS!$A$4:$A$11, 0), MATCH("Conservador", 02B_ESCENARIOS!$B$3:$D$3, 0)), IF(VLOOKUP(A364,04_PROYECTOS!$A:$N,4,FALSE)="Publico_&lt;10M",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VLOOKUP(A364,04_PROYECTOS!$A:$N,10,FALSE))</f>
        <v/>
      </c>
      <c r="I364">
        <f>ROUNDUP(H364/30,0)</f>
        <v/>
      </c>
      <c r="J364">
        <f>EDATE(C364,I364)</f>
        <v/>
      </c>
      <c r="K364">
        <f>G364</f>
        <v/>
      </c>
    </row>
    <row r="365">
      <c r="E365">
        <f>D365*VLOOKUP(A365,04_PROYECTOS!$A:$N,5,FALSE)*(INDEX(02B_ESCENARIOS!$B$4:$D$11, MATCH("MULT_PRECIO", 02B_ESCENARIOS!$A$4:$A$11, 0), MATCH("Conservador", 02B_ESCENARIOS!$B$3:$D$3, 0)))*INDEX(02B_ESCENARIOS!$B$15:$D$19, MATCH(VLOOKUP(A365,04_PROYECTOS!$A:$N,9,FALSE), 02B_ESCENARIOS!$A$15:$A$19, 0), MATCH("Conservador", 02B_ESCENARIOS!$B$14:$D$14, 0))</f>
        <v/>
      </c>
      <c r="F365">
        <f>E365*VLOOKUP(A365,04_PROYECTOS!$A:$N,6,FALSE)</f>
        <v/>
      </c>
      <c r="G365">
        <f>E365+F365</f>
        <v/>
      </c>
      <c r="H365">
        <f>IF(VLOOKUP(A365,04_PROYECTOS!$A:$N,10,FALSE)="", IF(VLOOKUP(A365,04_PROYECTOS!$A:$N,4,FALSE)="Privado", INDEX(02B_ESCENARIOS!$B$4:$D$11, MATCH("DSO_PRIVADO_DEFAULT", 02B_ESCENARIOS!$A$4:$A$11, 0), MATCH("Conservador", 02B_ESCENARIOS!$B$3:$D$3, 0)), IF(VLOOKUP(A365,04_PROYECTOS!$A:$N,4,FALSE)="Publico_&lt;10M",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VLOOKUP(A365,04_PROYECTOS!$A:$N,10,FALSE))</f>
        <v/>
      </c>
      <c r="I365">
        <f>ROUNDUP(H365/30,0)</f>
        <v/>
      </c>
      <c r="J365">
        <f>EDATE(C365,I365)</f>
        <v/>
      </c>
      <c r="K365">
        <f>G365</f>
        <v/>
      </c>
    </row>
    <row r="366">
      <c r="E366">
        <f>D366*VLOOKUP(A366,04_PROYECTOS!$A:$N,5,FALSE)*(INDEX(02B_ESCENARIOS!$B$4:$D$11, MATCH("MULT_PRECIO", 02B_ESCENARIOS!$A$4:$A$11, 0), MATCH("Conservador", 02B_ESCENARIOS!$B$3:$D$3, 0)))*INDEX(02B_ESCENARIOS!$B$15:$D$19, MATCH(VLOOKUP(A366,04_PROYECTOS!$A:$N,9,FALSE), 02B_ESCENARIOS!$A$15:$A$19, 0), MATCH("Conservador", 02B_ESCENARIOS!$B$14:$D$14, 0))</f>
        <v/>
      </c>
      <c r="F366">
        <f>E366*VLOOKUP(A366,04_PROYECTOS!$A:$N,6,FALSE)</f>
        <v/>
      </c>
      <c r="G366">
        <f>E366+F366</f>
        <v/>
      </c>
      <c r="H366">
        <f>IF(VLOOKUP(A366,04_PROYECTOS!$A:$N,10,FALSE)="", IF(VLOOKUP(A366,04_PROYECTOS!$A:$N,4,FALSE)="Privado", INDEX(02B_ESCENARIOS!$B$4:$D$11, MATCH("DSO_PRIVADO_DEFAULT", 02B_ESCENARIOS!$A$4:$A$11, 0), MATCH("Conservador", 02B_ESCENARIOS!$B$3:$D$3, 0)), IF(VLOOKUP(A366,04_PROYECTOS!$A:$N,4,FALSE)="Publico_&lt;10M",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VLOOKUP(A366,04_PROYECTOS!$A:$N,10,FALSE))</f>
        <v/>
      </c>
      <c r="I366">
        <f>ROUNDUP(H366/30,0)</f>
        <v/>
      </c>
      <c r="J366">
        <f>EDATE(C366,I366)</f>
        <v/>
      </c>
      <c r="K366">
        <f>G366</f>
        <v/>
      </c>
    </row>
    <row r="367">
      <c r="E367">
        <f>D367*VLOOKUP(A367,04_PROYECTOS!$A:$N,5,FALSE)*(INDEX(02B_ESCENARIOS!$B$4:$D$11, MATCH("MULT_PRECIO", 02B_ESCENARIOS!$A$4:$A$11, 0), MATCH("Conservador", 02B_ESCENARIOS!$B$3:$D$3, 0)))*INDEX(02B_ESCENARIOS!$B$15:$D$19, MATCH(VLOOKUP(A367,04_PROYECTOS!$A:$N,9,FALSE), 02B_ESCENARIOS!$A$15:$A$19, 0), MATCH("Conservador", 02B_ESCENARIOS!$B$14:$D$14, 0))</f>
        <v/>
      </c>
      <c r="F367">
        <f>E367*VLOOKUP(A367,04_PROYECTOS!$A:$N,6,FALSE)</f>
        <v/>
      </c>
      <c r="G367">
        <f>E367+F367</f>
        <v/>
      </c>
      <c r="H367">
        <f>IF(VLOOKUP(A367,04_PROYECTOS!$A:$N,10,FALSE)="", IF(VLOOKUP(A367,04_PROYECTOS!$A:$N,4,FALSE)="Privado", INDEX(02B_ESCENARIOS!$B$4:$D$11, MATCH("DSO_PRIVADO_DEFAULT", 02B_ESCENARIOS!$A$4:$A$11, 0), MATCH("Conservador", 02B_ESCENARIOS!$B$3:$D$3, 0)), IF(VLOOKUP(A367,04_PROYECTOS!$A:$N,4,FALSE)="Publico_&lt;10M",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VLOOKUP(A367,04_PROYECTOS!$A:$N,10,FALSE))</f>
        <v/>
      </c>
      <c r="I367">
        <f>ROUNDUP(H367/30,0)</f>
        <v/>
      </c>
      <c r="J367">
        <f>EDATE(C367,I367)</f>
        <v/>
      </c>
      <c r="K367">
        <f>G367</f>
        <v/>
      </c>
    </row>
    <row r="368">
      <c r="E368">
        <f>D368*VLOOKUP(A368,04_PROYECTOS!$A:$N,5,FALSE)*(INDEX(02B_ESCENARIOS!$B$4:$D$11, MATCH("MULT_PRECIO", 02B_ESCENARIOS!$A$4:$A$11, 0), MATCH("Conservador", 02B_ESCENARIOS!$B$3:$D$3, 0)))*INDEX(02B_ESCENARIOS!$B$15:$D$19, MATCH(VLOOKUP(A368,04_PROYECTOS!$A:$N,9,FALSE), 02B_ESCENARIOS!$A$15:$A$19, 0), MATCH("Conservador", 02B_ESCENARIOS!$B$14:$D$14, 0))</f>
        <v/>
      </c>
      <c r="F368">
        <f>E368*VLOOKUP(A368,04_PROYECTOS!$A:$N,6,FALSE)</f>
        <v/>
      </c>
      <c r="G368">
        <f>E368+F368</f>
        <v/>
      </c>
      <c r="H368">
        <f>IF(VLOOKUP(A368,04_PROYECTOS!$A:$N,10,FALSE)="", IF(VLOOKUP(A368,04_PROYECTOS!$A:$N,4,FALSE)="Privado", INDEX(02B_ESCENARIOS!$B$4:$D$11, MATCH("DSO_PRIVADO_DEFAULT", 02B_ESCENARIOS!$A$4:$A$11, 0), MATCH("Conservador", 02B_ESCENARIOS!$B$3:$D$3, 0)), IF(VLOOKUP(A368,04_PROYECTOS!$A:$N,4,FALSE)="Publico_&lt;10M",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VLOOKUP(A368,04_PROYECTOS!$A:$N,10,FALSE))</f>
        <v/>
      </c>
      <c r="I368">
        <f>ROUNDUP(H368/30,0)</f>
        <v/>
      </c>
      <c r="J368">
        <f>EDATE(C368,I368)</f>
        <v/>
      </c>
      <c r="K368">
        <f>G368</f>
        <v/>
      </c>
    </row>
    <row r="369">
      <c r="E369">
        <f>D369*VLOOKUP(A369,04_PROYECTOS!$A:$N,5,FALSE)*(INDEX(02B_ESCENARIOS!$B$4:$D$11, MATCH("MULT_PRECIO", 02B_ESCENARIOS!$A$4:$A$11, 0), MATCH("Conservador", 02B_ESCENARIOS!$B$3:$D$3, 0)))*INDEX(02B_ESCENARIOS!$B$15:$D$19, MATCH(VLOOKUP(A369,04_PROYECTOS!$A:$N,9,FALSE), 02B_ESCENARIOS!$A$15:$A$19, 0), MATCH("Conservador", 02B_ESCENARIOS!$B$14:$D$14, 0))</f>
        <v/>
      </c>
      <c r="F369">
        <f>E369*VLOOKUP(A369,04_PROYECTOS!$A:$N,6,FALSE)</f>
        <v/>
      </c>
      <c r="G369">
        <f>E369+F369</f>
        <v/>
      </c>
      <c r="H369">
        <f>IF(VLOOKUP(A369,04_PROYECTOS!$A:$N,10,FALSE)="", IF(VLOOKUP(A369,04_PROYECTOS!$A:$N,4,FALSE)="Privado", INDEX(02B_ESCENARIOS!$B$4:$D$11, MATCH("DSO_PRIVADO_DEFAULT", 02B_ESCENARIOS!$A$4:$A$11, 0), MATCH("Conservador", 02B_ESCENARIOS!$B$3:$D$3, 0)), IF(VLOOKUP(A369,04_PROYECTOS!$A:$N,4,FALSE)="Publico_&lt;10M",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VLOOKUP(A369,04_PROYECTOS!$A:$N,10,FALSE))</f>
        <v/>
      </c>
      <c r="I369">
        <f>ROUNDUP(H369/30,0)</f>
        <v/>
      </c>
      <c r="J369">
        <f>EDATE(C369,I369)</f>
        <v/>
      </c>
      <c r="K369">
        <f>G369</f>
        <v/>
      </c>
    </row>
    <row r="370">
      <c r="E370">
        <f>D370*VLOOKUP(A370,04_PROYECTOS!$A:$N,5,FALSE)*(INDEX(02B_ESCENARIOS!$B$4:$D$11, MATCH("MULT_PRECIO", 02B_ESCENARIOS!$A$4:$A$11, 0), MATCH("Conservador", 02B_ESCENARIOS!$B$3:$D$3, 0)))*INDEX(02B_ESCENARIOS!$B$15:$D$19, MATCH(VLOOKUP(A370,04_PROYECTOS!$A:$N,9,FALSE), 02B_ESCENARIOS!$A$15:$A$19, 0), MATCH("Conservador", 02B_ESCENARIOS!$B$14:$D$14, 0))</f>
        <v/>
      </c>
      <c r="F370">
        <f>E370*VLOOKUP(A370,04_PROYECTOS!$A:$N,6,FALSE)</f>
        <v/>
      </c>
      <c r="G370">
        <f>E370+F370</f>
        <v/>
      </c>
      <c r="H370">
        <f>IF(VLOOKUP(A370,04_PROYECTOS!$A:$N,10,FALSE)="", IF(VLOOKUP(A370,04_PROYECTOS!$A:$N,4,FALSE)="Privado", INDEX(02B_ESCENARIOS!$B$4:$D$11, MATCH("DSO_PRIVADO_DEFAULT", 02B_ESCENARIOS!$A$4:$A$11, 0), MATCH("Conservador", 02B_ESCENARIOS!$B$3:$D$3, 0)), IF(VLOOKUP(A370,04_PROYECTOS!$A:$N,4,FALSE)="Publico_&lt;10M",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VLOOKUP(A370,04_PROYECTOS!$A:$N,10,FALSE))</f>
        <v/>
      </c>
      <c r="I370">
        <f>ROUNDUP(H370/30,0)</f>
        <v/>
      </c>
      <c r="J370">
        <f>EDATE(C370,I370)</f>
        <v/>
      </c>
      <c r="K370">
        <f>G370</f>
        <v/>
      </c>
    </row>
    <row r="371">
      <c r="E371">
        <f>D371*VLOOKUP(A371,04_PROYECTOS!$A:$N,5,FALSE)*(INDEX(02B_ESCENARIOS!$B$4:$D$11, MATCH("MULT_PRECIO", 02B_ESCENARIOS!$A$4:$A$11, 0), MATCH("Conservador", 02B_ESCENARIOS!$B$3:$D$3, 0)))*INDEX(02B_ESCENARIOS!$B$15:$D$19, MATCH(VLOOKUP(A371,04_PROYECTOS!$A:$N,9,FALSE), 02B_ESCENARIOS!$A$15:$A$19, 0), MATCH("Conservador", 02B_ESCENARIOS!$B$14:$D$14, 0))</f>
        <v/>
      </c>
      <c r="F371">
        <f>E371*VLOOKUP(A371,04_PROYECTOS!$A:$N,6,FALSE)</f>
        <v/>
      </c>
      <c r="G371">
        <f>E371+F371</f>
        <v/>
      </c>
      <c r="H371">
        <f>IF(VLOOKUP(A371,04_PROYECTOS!$A:$N,10,FALSE)="", IF(VLOOKUP(A371,04_PROYECTOS!$A:$N,4,FALSE)="Privado", INDEX(02B_ESCENARIOS!$B$4:$D$11, MATCH("DSO_PRIVADO_DEFAULT", 02B_ESCENARIOS!$A$4:$A$11, 0), MATCH("Conservador", 02B_ESCENARIOS!$B$3:$D$3, 0)), IF(VLOOKUP(A371,04_PROYECTOS!$A:$N,4,FALSE)="Publico_&lt;10M",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VLOOKUP(A371,04_PROYECTOS!$A:$N,10,FALSE))</f>
        <v/>
      </c>
      <c r="I371">
        <f>ROUNDUP(H371/30,0)</f>
        <v/>
      </c>
      <c r="J371">
        <f>EDATE(C371,I371)</f>
        <v/>
      </c>
      <c r="K371">
        <f>G371</f>
        <v/>
      </c>
    </row>
    <row r="372">
      <c r="E372">
        <f>D372*VLOOKUP(A372,04_PROYECTOS!$A:$N,5,FALSE)*(INDEX(02B_ESCENARIOS!$B$4:$D$11, MATCH("MULT_PRECIO", 02B_ESCENARIOS!$A$4:$A$11, 0), MATCH("Conservador", 02B_ESCENARIOS!$B$3:$D$3, 0)))*INDEX(02B_ESCENARIOS!$B$15:$D$19, MATCH(VLOOKUP(A372,04_PROYECTOS!$A:$N,9,FALSE), 02B_ESCENARIOS!$A$15:$A$19, 0), MATCH("Conservador", 02B_ESCENARIOS!$B$14:$D$14, 0))</f>
        <v/>
      </c>
      <c r="F372">
        <f>E372*VLOOKUP(A372,04_PROYECTOS!$A:$N,6,FALSE)</f>
        <v/>
      </c>
      <c r="G372">
        <f>E372+F372</f>
        <v/>
      </c>
      <c r="H372">
        <f>IF(VLOOKUP(A372,04_PROYECTOS!$A:$N,10,FALSE)="", IF(VLOOKUP(A372,04_PROYECTOS!$A:$N,4,FALSE)="Privado", INDEX(02B_ESCENARIOS!$B$4:$D$11, MATCH("DSO_PRIVADO_DEFAULT", 02B_ESCENARIOS!$A$4:$A$11, 0), MATCH("Conservador", 02B_ESCENARIOS!$B$3:$D$3, 0)), IF(VLOOKUP(A372,04_PROYECTOS!$A:$N,4,FALSE)="Publico_&lt;10M",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VLOOKUP(A372,04_PROYECTOS!$A:$N,10,FALSE))</f>
        <v/>
      </c>
      <c r="I372">
        <f>ROUNDUP(H372/30,0)</f>
        <v/>
      </c>
      <c r="J372">
        <f>EDATE(C372,I372)</f>
        <v/>
      </c>
      <c r="K372">
        <f>G372</f>
        <v/>
      </c>
    </row>
    <row r="373">
      <c r="E373">
        <f>D373*VLOOKUP(A373,04_PROYECTOS!$A:$N,5,FALSE)*(INDEX(02B_ESCENARIOS!$B$4:$D$11, MATCH("MULT_PRECIO", 02B_ESCENARIOS!$A$4:$A$11, 0), MATCH("Conservador", 02B_ESCENARIOS!$B$3:$D$3, 0)))*INDEX(02B_ESCENARIOS!$B$15:$D$19, MATCH(VLOOKUP(A373,04_PROYECTOS!$A:$N,9,FALSE), 02B_ESCENARIOS!$A$15:$A$19, 0), MATCH("Conservador", 02B_ESCENARIOS!$B$14:$D$14, 0))</f>
        <v/>
      </c>
      <c r="F373">
        <f>E373*VLOOKUP(A373,04_PROYECTOS!$A:$N,6,FALSE)</f>
        <v/>
      </c>
      <c r="G373">
        <f>E373+F373</f>
        <v/>
      </c>
      <c r="H373">
        <f>IF(VLOOKUP(A373,04_PROYECTOS!$A:$N,10,FALSE)="", IF(VLOOKUP(A373,04_PROYECTOS!$A:$N,4,FALSE)="Privado", INDEX(02B_ESCENARIOS!$B$4:$D$11, MATCH("DSO_PRIVADO_DEFAULT", 02B_ESCENARIOS!$A$4:$A$11, 0), MATCH("Conservador", 02B_ESCENARIOS!$B$3:$D$3, 0)), IF(VLOOKUP(A373,04_PROYECTOS!$A:$N,4,FALSE)="Publico_&lt;10M",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VLOOKUP(A373,04_PROYECTOS!$A:$N,10,FALSE))</f>
        <v/>
      </c>
      <c r="I373">
        <f>ROUNDUP(H373/30,0)</f>
        <v/>
      </c>
      <c r="J373">
        <f>EDATE(C373,I373)</f>
        <v/>
      </c>
      <c r="K373">
        <f>G373</f>
        <v/>
      </c>
    </row>
    <row r="374">
      <c r="E374">
        <f>D374*VLOOKUP(A374,04_PROYECTOS!$A:$N,5,FALSE)*(INDEX(02B_ESCENARIOS!$B$4:$D$11, MATCH("MULT_PRECIO", 02B_ESCENARIOS!$A$4:$A$11, 0), MATCH("Conservador", 02B_ESCENARIOS!$B$3:$D$3, 0)))*INDEX(02B_ESCENARIOS!$B$15:$D$19, MATCH(VLOOKUP(A374,04_PROYECTOS!$A:$N,9,FALSE), 02B_ESCENARIOS!$A$15:$A$19, 0), MATCH("Conservador", 02B_ESCENARIOS!$B$14:$D$14, 0))</f>
        <v/>
      </c>
      <c r="F374">
        <f>E374*VLOOKUP(A374,04_PROYECTOS!$A:$N,6,FALSE)</f>
        <v/>
      </c>
      <c r="G374">
        <f>E374+F374</f>
        <v/>
      </c>
      <c r="H374">
        <f>IF(VLOOKUP(A374,04_PROYECTOS!$A:$N,10,FALSE)="", IF(VLOOKUP(A374,04_PROYECTOS!$A:$N,4,FALSE)="Privado", INDEX(02B_ESCENARIOS!$B$4:$D$11, MATCH("DSO_PRIVADO_DEFAULT", 02B_ESCENARIOS!$A$4:$A$11, 0), MATCH("Conservador", 02B_ESCENARIOS!$B$3:$D$3, 0)), IF(VLOOKUP(A374,04_PROYECTOS!$A:$N,4,FALSE)="Publico_&lt;10M",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VLOOKUP(A374,04_PROYECTOS!$A:$N,10,FALSE))</f>
        <v/>
      </c>
      <c r="I374">
        <f>ROUNDUP(H374/30,0)</f>
        <v/>
      </c>
      <c r="J374">
        <f>EDATE(C374,I374)</f>
        <v/>
      </c>
      <c r="K374">
        <f>G374</f>
        <v/>
      </c>
    </row>
    <row r="375">
      <c r="E375">
        <f>D375*VLOOKUP(A375,04_PROYECTOS!$A:$N,5,FALSE)*(INDEX(02B_ESCENARIOS!$B$4:$D$11, MATCH("MULT_PRECIO", 02B_ESCENARIOS!$A$4:$A$11, 0), MATCH("Conservador", 02B_ESCENARIOS!$B$3:$D$3, 0)))*INDEX(02B_ESCENARIOS!$B$15:$D$19, MATCH(VLOOKUP(A375,04_PROYECTOS!$A:$N,9,FALSE), 02B_ESCENARIOS!$A$15:$A$19, 0), MATCH("Conservador", 02B_ESCENARIOS!$B$14:$D$14, 0))</f>
        <v/>
      </c>
      <c r="F375">
        <f>E375*VLOOKUP(A375,04_PROYECTOS!$A:$N,6,FALSE)</f>
        <v/>
      </c>
      <c r="G375">
        <f>E375+F375</f>
        <v/>
      </c>
      <c r="H375">
        <f>IF(VLOOKUP(A375,04_PROYECTOS!$A:$N,10,FALSE)="", IF(VLOOKUP(A375,04_PROYECTOS!$A:$N,4,FALSE)="Privado", INDEX(02B_ESCENARIOS!$B$4:$D$11, MATCH("DSO_PRIVADO_DEFAULT", 02B_ESCENARIOS!$A$4:$A$11, 0), MATCH("Conservador", 02B_ESCENARIOS!$B$3:$D$3, 0)), IF(VLOOKUP(A375,04_PROYECTOS!$A:$N,4,FALSE)="Publico_&lt;10M",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VLOOKUP(A375,04_PROYECTOS!$A:$N,10,FALSE))</f>
        <v/>
      </c>
      <c r="I375">
        <f>ROUNDUP(H375/30,0)</f>
        <v/>
      </c>
      <c r="J375">
        <f>EDATE(C375,I375)</f>
        <v/>
      </c>
      <c r="K375">
        <f>G375</f>
        <v/>
      </c>
    </row>
    <row r="376">
      <c r="E376">
        <f>D376*VLOOKUP(A376,04_PROYECTOS!$A:$N,5,FALSE)*(INDEX(02B_ESCENARIOS!$B$4:$D$11, MATCH("MULT_PRECIO", 02B_ESCENARIOS!$A$4:$A$11, 0), MATCH("Conservador", 02B_ESCENARIOS!$B$3:$D$3, 0)))*INDEX(02B_ESCENARIOS!$B$15:$D$19, MATCH(VLOOKUP(A376,04_PROYECTOS!$A:$N,9,FALSE), 02B_ESCENARIOS!$A$15:$A$19, 0), MATCH("Conservador", 02B_ESCENARIOS!$B$14:$D$14, 0))</f>
        <v/>
      </c>
      <c r="F376">
        <f>E376*VLOOKUP(A376,04_PROYECTOS!$A:$N,6,FALSE)</f>
        <v/>
      </c>
      <c r="G376">
        <f>E376+F376</f>
        <v/>
      </c>
      <c r="H376">
        <f>IF(VLOOKUP(A376,04_PROYECTOS!$A:$N,10,FALSE)="", IF(VLOOKUP(A376,04_PROYECTOS!$A:$N,4,FALSE)="Privado", INDEX(02B_ESCENARIOS!$B$4:$D$11, MATCH("DSO_PRIVADO_DEFAULT", 02B_ESCENARIOS!$A$4:$A$11, 0), MATCH("Conservador", 02B_ESCENARIOS!$B$3:$D$3, 0)), IF(VLOOKUP(A376,04_PROYECTOS!$A:$N,4,FALSE)="Publico_&lt;10M",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VLOOKUP(A376,04_PROYECTOS!$A:$N,10,FALSE))</f>
        <v/>
      </c>
      <c r="I376">
        <f>ROUNDUP(H376/30,0)</f>
        <v/>
      </c>
      <c r="J376">
        <f>EDATE(C376,I376)</f>
        <v/>
      </c>
      <c r="K376">
        <f>G376</f>
        <v/>
      </c>
    </row>
    <row r="377">
      <c r="E377">
        <f>D377*VLOOKUP(A377,04_PROYECTOS!$A:$N,5,FALSE)*(INDEX(02B_ESCENARIOS!$B$4:$D$11, MATCH("MULT_PRECIO", 02B_ESCENARIOS!$A$4:$A$11, 0), MATCH("Conservador", 02B_ESCENARIOS!$B$3:$D$3, 0)))*INDEX(02B_ESCENARIOS!$B$15:$D$19, MATCH(VLOOKUP(A377,04_PROYECTOS!$A:$N,9,FALSE), 02B_ESCENARIOS!$A$15:$A$19, 0), MATCH("Conservador", 02B_ESCENARIOS!$B$14:$D$14, 0))</f>
        <v/>
      </c>
      <c r="F377">
        <f>E377*VLOOKUP(A377,04_PROYECTOS!$A:$N,6,FALSE)</f>
        <v/>
      </c>
      <c r="G377">
        <f>E377+F377</f>
        <v/>
      </c>
      <c r="H377">
        <f>IF(VLOOKUP(A377,04_PROYECTOS!$A:$N,10,FALSE)="", IF(VLOOKUP(A377,04_PROYECTOS!$A:$N,4,FALSE)="Privado", INDEX(02B_ESCENARIOS!$B$4:$D$11, MATCH("DSO_PRIVADO_DEFAULT", 02B_ESCENARIOS!$A$4:$A$11, 0), MATCH("Conservador", 02B_ESCENARIOS!$B$3:$D$3, 0)), IF(VLOOKUP(A377,04_PROYECTOS!$A:$N,4,FALSE)="Publico_&lt;10M",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VLOOKUP(A377,04_PROYECTOS!$A:$N,10,FALSE))</f>
        <v/>
      </c>
      <c r="I377">
        <f>ROUNDUP(H377/30,0)</f>
        <v/>
      </c>
      <c r="J377">
        <f>EDATE(C377,I377)</f>
        <v/>
      </c>
      <c r="K377">
        <f>G377</f>
        <v/>
      </c>
    </row>
    <row r="378">
      <c r="E378">
        <f>D378*VLOOKUP(A378,04_PROYECTOS!$A:$N,5,FALSE)*(INDEX(02B_ESCENARIOS!$B$4:$D$11, MATCH("MULT_PRECIO", 02B_ESCENARIOS!$A$4:$A$11, 0), MATCH("Conservador", 02B_ESCENARIOS!$B$3:$D$3, 0)))*INDEX(02B_ESCENARIOS!$B$15:$D$19, MATCH(VLOOKUP(A378,04_PROYECTOS!$A:$N,9,FALSE), 02B_ESCENARIOS!$A$15:$A$19, 0), MATCH("Conservador", 02B_ESCENARIOS!$B$14:$D$14, 0))</f>
        <v/>
      </c>
      <c r="F378">
        <f>E378*VLOOKUP(A378,04_PROYECTOS!$A:$N,6,FALSE)</f>
        <v/>
      </c>
      <c r="G378">
        <f>E378+F378</f>
        <v/>
      </c>
      <c r="H378">
        <f>IF(VLOOKUP(A378,04_PROYECTOS!$A:$N,10,FALSE)="", IF(VLOOKUP(A378,04_PROYECTOS!$A:$N,4,FALSE)="Privado", INDEX(02B_ESCENARIOS!$B$4:$D$11, MATCH("DSO_PRIVADO_DEFAULT", 02B_ESCENARIOS!$A$4:$A$11, 0), MATCH("Conservador", 02B_ESCENARIOS!$B$3:$D$3, 0)), IF(VLOOKUP(A378,04_PROYECTOS!$A:$N,4,FALSE)="Publico_&lt;10M",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VLOOKUP(A378,04_PROYECTOS!$A:$N,10,FALSE))</f>
        <v/>
      </c>
      <c r="I378">
        <f>ROUNDUP(H378/30,0)</f>
        <v/>
      </c>
      <c r="J378">
        <f>EDATE(C378,I378)</f>
        <v/>
      </c>
      <c r="K378">
        <f>G378</f>
        <v/>
      </c>
    </row>
    <row r="379">
      <c r="E379">
        <f>D379*VLOOKUP(A379,04_PROYECTOS!$A:$N,5,FALSE)*(INDEX(02B_ESCENARIOS!$B$4:$D$11, MATCH("MULT_PRECIO", 02B_ESCENARIOS!$A$4:$A$11, 0), MATCH("Conservador", 02B_ESCENARIOS!$B$3:$D$3, 0)))*INDEX(02B_ESCENARIOS!$B$15:$D$19, MATCH(VLOOKUP(A379,04_PROYECTOS!$A:$N,9,FALSE), 02B_ESCENARIOS!$A$15:$A$19, 0), MATCH("Conservador", 02B_ESCENARIOS!$B$14:$D$14, 0))</f>
        <v/>
      </c>
      <c r="F379">
        <f>E379*VLOOKUP(A379,04_PROYECTOS!$A:$N,6,FALSE)</f>
        <v/>
      </c>
      <c r="G379">
        <f>E379+F379</f>
        <v/>
      </c>
      <c r="H379">
        <f>IF(VLOOKUP(A379,04_PROYECTOS!$A:$N,10,FALSE)="", IF(VLOOKUP(A379,04_PROYECTOS!$A:$N,4,FALSE)="Privado", INDEX(02B_ESCENARIOS!$B$4:$D$11, MATCH("DSO_PRIVADO_DEFAULT", 02B_ESCENARIOS!$A$4:$A$11, 0), MATCH("Conservador", 02B_ESCENARIOS!$B$3:$D$3, 0)), IF(VLOOKUP(A379,04_PROYECTOS!$A:$N,4,FALSE)="Publico_&lt;10M",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VLOOKUP(A379,04_PROYECTOS!$A:$N,10,FALSE))</f>
        <v/>
      </c>
      <c r="I379">
        <f>ROUNDUP(H379/30,0)</f>
        <v/>
      </c>
      <c r="J379">
        <f>EDATE(C379,I379)</f>
        <v/>
      </c>
      <c r="K379">
        <f>G379</f>
        <v/>
      </c>
    </row>
    <row r="380">
      <c r="E380">
        <f>D380*VLOOKUP(A380,04_PROYECTOS!$A:$N,5,FALSE)*(INDEX(02B_ESCENARIOS!$B$4:$D$11, MATCH("MULT_PRECIO", 02B_ESCENARIOS!$A$4:$A$11, 0), MATCH("Conservador", 02B_ESCENARIOS!$B$3:$D$3, 0)))*INDEX(02B_ESCENARIOS!$B$15:$D$19, MATCH(VLOOKUP(A380,04_PROYECTOS!$A:$N,9,FALSE), 02B_ESCENARIOS!$A$15:$A$19, 0), MATCH("Conservador", 02B_ESCENARIOS!$B$14:$D$14, 0))</f>
        <v/>
      </c>
      <c r="F380">
        <f>E380*VLOOKUP(A380,04_PROYECTOS!$A:$N,6,FALSE)</f>
        <v/>
      </c>
      <c r="G380">
        <f>E380+F380</f>
        <v/>
      </c>
      <c r="H380">
        <f>IF(VLOOKUP(A380,04_PROYECTOS!$A:$N,10,FALSE)="", IF(VLOOKUP(A380,04_PROYECTOS!$A:$N,4,FALSE)="Privado", INDEX(02B_ESCENARIOS!$B$4:$D$11, MATCH("DSO_PRIVADO_DEFAULT", 02B_ESCENARIOS!$A$4:$A$11, 0), MATCH("Conservador", 02B_ESCENARIOS!$B$3:$D$3, 0)), IF(VLOOKUP(A380,04_PROYECTOS!$A:$N,4,FALSE)="Publico_&lt;10M",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VLOOKUP(A380,04_PROYECTOS!$A:$N,10,FALSE))</f>
        <v/>
      </c>
      <c r="I380">
        <f>ROUNDUP(H380/30,0)</f>
        <v/>
      </c>
      <c r="J380">
        <f>EDATE(C380,I380)</f>
        <v/>
      </c>
      <c r="K380">
        <f>G380</f>
        <v/>
      </c>
    </row>
    <row r="381">
      <c r="E381">
        <f>D381*VLOOKUP(A381,04_PROYECTOS!$A:$N,5,FALSE)*(INDEX(02B_ESCENARIOS!$B$4:$D$11, MATCH("MULT_PRECIO", 02B_ESCENARIOS!$A$4:$A$11, 0), MATCH("Conservador", 02B_ESCENARIOS!$B$3:$D$3, 0)))*INDEX(02B_ESCENARIOS!$B$15:$D$19, MATCH(VLOOKUP(A381,04_PROYECTOS!$A:$N,9,FALSE), 02B_ESCENARIOS!$A$15:$A$19, 0), MATCH("Conservador", 02B_ESCENARIOS!$B$14:$D$14, 0))</f>
        <v/>
      </c>
      <c r="F381">
        <f>E381*VLOOKUP(A381,04_PROYECTOS!$A:$N,6,FALSE)</f>
        <v/>
      </c>
      <c r="G381">
        <f>E381+F381</f>
        <v/>
      </c>
      <c r="H381">
        <f>IF(VLOOKUP(A381,04_PROYECTOS!$A:$N,10,FALSE)="", IF(VLOOKUP(A381,04_PROYECTOS!$A:$N,4,FALSE)="Privado", INDEX(02B_ESCENARIOS!$B$4:$D$11, MATCH("DSO_PRIVADO_DEFAULT", 02B_ESCENARIOS!$A$4:$A$11, 0), MATCH("Conservador", 02B_ESCENARIOS!$B$3:$D$3, 0)), IF(VLOOKUP(A381,04_PROYECTOS!$A:$N,4,FALSE)="Publico_&lt;10M",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VLOOKUP(A381,04_PROYECTOS!$A:$N,10,FALSE))</f>
        <v/>
      </c>
      <c r="I381">
        <f>ROUNDUP(H381/30,0)</f>
        <v/>
      </c>
      <c r="J381">
        <f>EDATE(C381,I381)</f>
        <v/>
      </c>
      <c r="K381">
        <f>G381</f>
        <v/>
      </c>
    </row>
    <row r="382">
      <c r="E382">
        <f>D382*VLOOKUP(A382,04_PROYECTOS!$A:$N,5,FALSE)*(INDEX(02B_ESCENARIOS!$B$4:$D$11, MATCH("MULT_PRECIO", 02B_ESCENARIOS!$A$4:$A$11, 0), MATCH("Conservador", 02B_ESCENARIOS!$B$3:$D$3, 0)))*INDEX(02B_ESCENARIOS!$B$15:$D$19, MATCH(VLOOKUP(A382,04_PROYECTOS!$A:$N,9,FALSE), 02B_ESCENARIOS!$A$15:$A$19, 0), MATCH("Conservador", 02B_ESCENARIOS!$B$14:$D$14, 0))</f>
        <v/>
      </c>
      <c r="F382">
        <f>E382*VLOOKUP(A382,04_PROYECTOS!$A:$N,6,FALSE)</f>
        <v/>
      </c>
      <c r="G382">
        <f>E382+F382</f>
        <v/>
      </c>
      <c r="H382">
        <f>IF(VLOOKUP(A382,04_PROYECTOS!$A:$N,10,FALSE)="", IF(VLOOKUP(A382,04_PROYECTOS!$A:$N,4,FALSE)="Privado", INDEX(02B_ESCENARIOS!$B$4:$D$11, MATCH("DSO_PRIVADO_DEFAULT", 02B_ESCENARIOS!$A$4:$A$11, 0), MATCH("Conservador", 02B_ESCENARIOS!$B$3:$D$3, 0)), IF(VLOOKUP(A382,04_PROYECTOS!$A:$N,4,FALSE)="Publico_&lt;10M",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VLOOKUP(A382,04_PROYECTOS!$A:$N,10,FALSE))</f>
        <v/>
      </c>
      <c r="I382">
        <f>ROUNDUP(H382/30,0)</f>
        <v/>
      </c>
      <c r="J382">
        <f>EDATE(C382,I382)</f>
        <v/>
      </c>
      <c r="K382">
        <f>G382</f>
        <v/>
      </c>
    </row>
    <row r="383">
      <c r="E383">
        <f>D383*VLOOKUP(A383,04_PROYECTOS!$A:$N,5,FALSE)*(INDEX(02B_ESCENARIOS!$B$4:$D$11, MATCH("MULT_PRECIO", 02B_ESCENARIOS!$A$4:$A$11, 0), MATCH("Conservador", 02B_ESCENARIOS!$B$3:$D$3, 0)))*INDEX(02B_ESCENARIOS!$B$15:$D$19, MATCH(VLOOKUP(A383,04_PROYECTOS!$A:$N,9,FALSE), 02B_ESCENARIOS!$A$15:$A$19, 0), MATCH("Conservador", 02B_ESCENARIOS!$B$14:$D$14, 0))</f>
        <v/>
      </c>
      <c r="F383">
        <f>E383*VLOOKUP(A383,04_PROYECTOS!$A:$N,6,FALSE)</f>
        <v/>
      </c>
      <c r="G383">
        <f>E383+F383</f>
        <v/>
      </c>
      <c r="H383">
        <f>IF(VLOOKUP(A383,04_PROYECTOS!$A:$N,10,FALSE)="", IF(VLOOKUP(A383,04_PROYECTOS!$A:$N,4,FALSE)="Privado", INDEX(02B_ESCENARIOS!$B$4:$D$11, MATCH("DSO_PRIVADO_DEFAULT", 02B_ESCENARIOS!$A$4:$A$11, 0), MATCH("Conservador", 02B_ESCENARIOS!$B$3:$D$3, 0)), IF(VLOOKUP(A383,04_PROYECTOS!$A:$N,4,FALSE)="Publico_&lt;10M",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VLOOKUP(A383,04_PROYECTOS!$A:$N,10,FALSE))</f>
        <v/>
      </c>
      <c r="I383">
        <f>ROUNDUP(H383/30,0)</f>
        <v/>
      </c>
      <c r="J383">
        <f>EDATE(C383,I383)</f>
        <v/>
      </c>
      <c r="K383">
        <f>G383</f>
        <v/>
      </c>
    </row>
    <row r="384">
      <c r="E384">
        <f>D384*VLOOKUP(A384,04_PROYECTOS!$A:$N,5,FALSE)*(INDEX(02B_ESCENARIOS!$B$4:$D$11, MATCH("MULT_PRECIO", 02B_ESCENARIOS!$A$4:$A$11, 0), MATCH("Conservador", 02B_ESCENARIOS!$B$3:$D$3, 0)))*INDEX(02B_ESCENARIOS!$B$15:$D$19, MATCH(VLOOKUP(A384,04_PROYECTOS!$A:$N,9,FALSE), 02B_ESCENARIOS!$A$15:$A$19, 0), MATCH("Conservador", 02B_ESCENARIOS!$B$14:$D$14, 0))</f>
        <v/>
      </c>
      <c r="F384">
        <f>E384*VLOOKUP(A384,04_PROYECTOS!$A:$N,6,FALSE)</f>
        <v/>
      </c>
      <c r="G384">
        <f>E384+F384</f>
        <v/>
      </c>
      <c r="H384">
        <f>IF(VLOOKUP(A384,04_PROYECTOS!$A:$N,10,FALSE)="", IF(VLOOKUP(A384,04_PROYECTOS!$A:$N,4,FALSE)="Privado", INDEX(02B_ESCENARIOS!$B$4:$D$11, MATCH("DSO_PRIVADO_DEFAULT", 02B_ESCENARIOS!$A$4:$A$11, 0), MATCH("Conservador", 02B_ESCENARIOS!$B$3:$D$3, 0)), IF(VLOOKUP(A384,04_PROYECTOS!$A:$N,4,FALSE)="Publico_&lt;10M",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VLOOKUP(A384,04_PROYECTOS!$A:$N,10,FALSE))</f>
        <v/>
      </c>
      <c r="I384">
        <f>ROUNDUP(H384/30,0)</f>
        <v/>
      </c>
      <c r="J384">
        <f>EDATE(C384,I384)</f>
        <v/>
      </c>
      <c r="K384">
        <f>G384</f>
        <v/>
      </c>
    </row>
    <row r="385">
      <c r="E385">
        <f>D385*VLOOKUP(A385,04_PROYECTOS!$A:$N,5,FALSE)*(INDEX(02B_ESCENARIOS!$B$4:$D$11, MATCH("MULT_PRECIO", 02B_ESCENARIOS!$A$4:$A$11, 0), MATCH("Conservador", 02B_ESCENARIOS!$B$3:$D$3, 0)))*INDEX(02B_ESCENARIOS!$B$15:$D$19, MATCH(VLOOKUP(A385,04_PROYECTOS!$A:$N,9,FALSE), 02B_ESCENARIOS!$A$15:$A$19, 0), MATCH("Conservador", 02B_ESCENARIOS!$B$14:$D$14, 0))</f>
        <v/>
      </c>
      <c r="F385">
        <f>E385*VLOOKUP(A385,04_PROYECTOS!$A:$N,6,FALSE)</f>
        <v/>
      </c>
      <c r="G385">
        <f>E385+F385</f>
        <v/>
      </c>
      <c r="H385">
        <f>IF(VLOOKUP(A385,04_PROYECTOS!$A:$N,10,FALSE)="", IF(VLOOKUP(A385,04_PROYECTOS!$A:$N,4,FALSE)="Privado", INDEX(02B_ESCENARIOS!$B$4:$D$11, MATCH("DSO_PRIVADO_DEFAULT", 02B_ESCENARIOS!$A$4:$A$11, 0), MATCH("Conservador", 02B_ESCENARIOS!$B$3:$D$3, 0)), IF(VLOOKUP(A385,04_PROYECTOS!$A:$N,4,FALSE)="Publico_&lt;10M",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VLOOKUP(A385,04_PROYECTOS!$A:$N,10,FALSE))</f>
        <v/>
      </c>
      <c r="I385">
        <f>ROUNDUP(H385/30,0)</f>
        <v/>
      </c>
      <c r="J385">
        <f>EDATE(C385,I385)</f>
        <v/>
      </c>
      <c r="K385">
        <f>G385</f>
        <v/>
      </c>
    </row>
    <row r="386">
      <c r="E386">
        <f>D386*VLOOKUP(A386,04_PROYECTOS!$A:$N,5,FALSE)*(INDEX(02B_ESCENARIOS!$B$4:$D$11, MATCH("MULT_PRECIO", 02B_ESCENARIOS!$A$4:$A$11, 0), MATCH("Conservador", 02B_ESCENARIOS!$B$3:$D$3, 0)))*INDEX(02B_ESCENARIOS!$B$15:$D$19, MATCH(VLOOKUP(A386,04_PROYECTOS!$A:$N,9,FALSE), 02B_ESCENARIOS!$A$15:$A$19, 0), MATCH("Conservador", 02B_ESCENARIOS!$B$14:$D$14, 0))</f>
        <v/>
      </c>
      <c r="F386">
        <f>E386*VLOOKUP(A386,04_PROYECTOS!$A:$N,6,FALSE)</f>
        <v/>
      </c>
      <c r="G386">
        <f>E386+F386</f>
        <v/>
      </c>
      <c r="H386">
        <f>IF(VLOOKUP(A386,04_PROYECTOS!$A:$N,10,FALSE)="", IF(VLOOKUP(A386,04_PROYECTOS!$A:$N,4,FALSE)="Privado", INDEX(02B_ESCENARIOS!$B$4:$D$11, MATCH("DSO_PRIVADO_DEFAULT", 02B_ESCENARIOS!$A$4:$A$11, 0), MATCH("Conservador", 02B_ESCENARIOS!$B$3:$D$3, 0)), IF(VLOOKUP(A386,04_PROYECTOS!$A:$N,4,FALSE)="Publico_&lt;10M",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VLOOKUP(A386,04_PROYECTOS!$A:$N,10,FALSE))</f>
        <v/>
      </c>
      <c r="I386">
        <f>ROUNDUP(H386/30,0)</f>
        <v/>
      </c>
      <c r="J386">
        <f>EDATE(C386,I386)</f>
        <v/>
      </c>
      <c r="K386">
        <f>G386</f>
        <v/>
      </c>
    </row>
    <row r="387">
      <c r="E387">
        <f>D387*VLOOKUP(A387,04_PROYECTOS!$A:$N,5,FALSE)*(INDEX(02B_ESCENARIOS!$B$4:$D$11, MATCH("MULT_PRECIO", 02B_ESCENARIOS!$A$4:$A$11, 0), MATCH("Conservador", 02B_ESCENARIOS!$B$3:$D$3, 0)))*INDEX(02B_ESCENARIOS!$B$15:$D$19, MATCH(VLOOKUP(A387,04_PROYECTOS!$A:$N,9,FALSE), 02B_ESCENARIOS!$A$15:$A$19, 0), MATCH("Conservador", 02B_ESCENARIOS!$B$14:$D$14, 0))</f>
        <v/>
      </c>
      <c r="F387">
        <f>E387*VLOOKUP(A387,04_PROYECTOS!$A:$N,6,FALSE)</f>
        <v/>
      </c>
      <c r="G387">
        <f>E387+F387</f>
        <v/>
      </c>
      <c r="H387">
        <f>IF(VLOOKUP(A387,04_PROYECTOS!$A:$N,10,FALSE)="", IF(VLOOKUP(A387,04_PROYECTOS!$A:$N,4,FALSE)="Privado", INDEX(02B_ESCENARIOS!$B$4:$D$11, MATCH("DSO_PRIVADO_DEFAULT", 02B_ESCENARIOS!$A$4:$A$11, 0), MATCH("Conservador", 02B_ESCENARIOS!$B$3:$D$3, 0)), IF(VLOOKUP(A387,04_PROYECTOS!$A:$N,4,FALSE)="Publico_&lt;10M",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VLOOKUP(A387,04_PROYECTOS!$A:$N,10,FALSE))</f>
        <v/>
      </c>
      <c r="I387">
        <f>ROUNDUP(H387/30,0)</f>
        <v/>
      </c>
      <c r="J387">
        <f>EDATE(C387,I387)</f>
        <v/>
      </c>
      <c r="K387">
        <f>G387</f>
        <v/>
      </c>
    </row>
    <row r="388">
      <c r="E388">
        <f>D388*VLOOKUP(A388,04_PROYECTOS!$A:$N,5,FALSE)*(INDEX(02B_ESCENARIOS!$B$4:$D$11, MATCH("MULT_PRECIO", 02B_ESCENARIOS!$A$4:$A$11, 0), MATCH("Conservador", 02B_ESCENARIOS!$B$3:$D$3, 0)))*INDEX(02B_ESCENARIOS!$B$15:$D$19, MATCH(VLOOKUP(A388,04_PROYECTOS!$A:$N,9,FALSE), 02B_ESCENARIOS!$A$15:$A$19, 0), MATCH("Conservador", 02B_ESCENARIOS!$B$14:$D$14, 0))</f>
        <v/>
      </c>
      <c r="F388">
        <f>E388*VLOOKUP(A388,04_PROYECTOS!$A:$N,6,FALSE)</f>
        <v/>
      </c>
      <c r="G388">
        <f>E388+F388</f>
        <v/>
      </c>
      <c r="H388">
        <f>IF(VLOOKUP(A388,04_PROYECTOS!$A:$N,10,FALSE)="", IF(VLOOKUP(A388,04_PROYECTOS!$A:$N,4,FALSE)="Privado", INDEX(02B_ESCENARIOS!$B$4:$D$11, MATCH("DSO_PRIVADO_DEFAULT", 02B_ESCENARIOS!$A$4:$A$11, 0), MATCH("Conservador", 02B_ESCENARIOS!$B$3:$D$3, 0)), IF(VLOOKUP(A388,04_PROYECTOS!$A:$N,4,FALSE)="Publico_&lt;10M",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VLOOKUP(A388,04_PROYECTOS!$A:$N,10,FALSE))</f>
        <v/>
      </c>
      <c r="I388">
        <f>ROUNDUP(H388/30,0)</f>
        <v/>
      </c>
      <c r="J388">
        <f>EDATE(C388,I388)</f>
        <v/>
      </c>
      <c r="K388">
        <f>G388</f>
        <v/>
      </c>
    </row>
    <row r="389">
      <c r="E389">
        <f>D389*VLOOKUP(A389,04_PROYECTOS!$A:$N,5,FALSE)*(INDEX(02B_ESCENARIOS!$B$4:$D$11, MATCH("MULT_PRECIO", 02B_ESCENARIOS!$A$4:$A$11, 0), MATCH("Conservador", 02B_ESCENARIOS!$B$3:$D$3, 0)))*INDEX(02B_ESCENARIOS!$B$15:$D$19, MATCH(VLOOKUP(A389,04_PROYECTOS!$A:$N,9,FALSE), 02B_ESCENARIOS!$A$15:$A$19, 0), MATCH("Conservador", 02B_ESCENARIOS!$B$14:$D$14, 0))</f>
        <v/>
      </c>
      <c r="F389">
        <f>E389*VLOOKUP(A389,04_PROYECTOS!$A:$N,6,FALSE)</f>
        <v/>
      </c>
      <c r="G389">
        <f>E389+F389</f>
        <v/>
      </c>
      <c r="H389">
        <f>IF(VLOOKUP(A389,04_PROYECTOS!$A:$N,10,FALSE)="", IF(VLOOKUP(A389,04_PROYECTOS!$A:$N,4,FALSE)="Privado", INDEX(02B_ESCENARIOS!$B$4:$D$11, MATCH("DSO_PRIVADO_DEFAULT", 02B_ESCENARIOS!$A$4:$A$11, 0), MATCH("Conservador", 02B_ESCENARIOS!$B$3:$D$3, 0)), IF(VLOOKUP(A389,04_PROYECTOS!$A:$N,4,FALSE)="Publico_&lt;10M",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VLOOKUP(A389,04_PROYECTOS!$A:$N,10,FALSE))</f>
        <v/>
      </c>
      <c r="I389">
        <f>ROUNDUP(H389/30,0)</f>
        <v/>
      </c>
      <c r="J389">
        <f>EDATE(C389,I389)</f>
        <v/>
      </c>
      <c r="K389">
        <f>G389</f>
        <v/>
      </c>
    </row>
    <row r="390">
      <c r="E390">
        <f>D390*VLOOKUP(A390,04_PROYECTOS!$A:$N,5,FALSE)*(INDEX(02B_ESCENARIOS!$B$4:$D$11, MATCH("MULT_PRECIO", 02B_ESCENARIOS!$A$4:$A$11, 0), MATCH("Conservador", 02B_ESCENARIOS!$B$3:$D$3, 0)))*INDEX(02B_ESCENARIOS!$B$15:$D$19, MATCH(VLOOKUP(A390,04_PROYECTOS!$A:$N,9,FALSE), 02B_ESCENARIOS!$A$15:$A$19, 0), MATCH("Conservador", 02B_ESCENARIOS!$B$14:$D$14, 0))</f>
        <v/>
      </c>
      <c r="F390">
        <f>E390*VLOOKUP(A390,04_PROYECTOS!$A:$N,6,FALSE)</f>
        <v/>
      </c>
      <c r="G390">
        <f>E390+F390</f>
        <v/>
      </c>
      <c r="H390">
        <f>IF(VLOOKUP(A390,04_PROYECTOS!$A:$N,10,FALSE)="", IF(VLOOKUP(A390,04_PROYECTOS!$A:$N,4,FALSE)="Privado", INDEX(02B_ESCENARIOS!$B$4:$D$11, MATCH("DSO_PRIVADO_DEFAULT", 02B_ESCENARIOS!$A$4:$A$11, 0), MATCH("Conservador", 02B_ESCENARIOS!$B$3:$D$3, 0)), IF(VLOOKUP(A390,04_PROYECTOS!$A:$N,4,FALSE)="Publico_&lt;10M",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VLOOKUP(A390,04_PROYECTOS!$A:$N,10,FALSE))</f>
        <v/>
      </c>
      <c r="I390">
        <f>ROUNDUP(H390/30,0)</f>
        <v/>
      </c>
      <c r="J390">
        <f>EDATE(C390,I390)</f>
        <v/>
      </c>
      <c r="K390">
        <f>G390</f>
        <v/>
      </c>
    </row>
    <row r="391">
      <c r="E391">
        <f>D391*VLOOKUP(A391,04_PROYECTOS!$A:$N,5,FALSE)*(INDEX(02B_ESCENARIOS!$B$4:$D$11, MATCH("MULT_PRECIO", 02B_ESCENARIOS!$A$4:$A$11, 0), MATCH("Conservador", 02B_ESCENARIOS!$B$3:$D$3, 0)))*INDEX(02B_ESCENARIOS!$B$15:$D$19, MATCH(VLOOKUP(A391,04_PROYECTOS!$A:$N,9,FALSE), 02B_ESCENARIOS!$A$15:$A$19, 0), MATCH("Conservador", 02B_ESCENARIOS!$B$14:$D$14, 0))</f>
        <v/>
      </c>
      <c r="F391">
        <f>E391*VLOOKUP(A391,04_PROYECTOS!$A:$N,6,FALSE)</f>
        <v/>
      </c>
      <c r="G391">
        <f>E391+F391</f>
        <v/>
      </c>
      <c r="H391">
        <f>IF(VLOOKUP(A391,04_PROYECTOS!$A:$N,10,FALSE)="", IF(VLOOKUP(A391,04_PROYECTOS!$A:$N,4,FALSE)="Privado", INDEX(02B_ESCENARIOS!$B$4:$D$11, MATCH("DSO_PRIVADO_DEFAULT", 02B_ESCENARIOS!$A$4:$A$11, 0), MATCH("Conservador", 02B_ESCENARIOS!$B$3:$D$3, 0)), IF(VLOOKUP(A391,04_PROYECTOS!$A:$N,4,FALSE)="Publico_&lt;10M",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VLOOKUP(A391,04_PROYECTOS!$A:$N,10,FALSE))</f>
        <v/>
      </c>
      <c r="I391">
        <f>ROUNDUP(H391/30,0)</f>
        <v/>
      </c>
      <c r="J391">
        <f>EDATE(C391,I391)</f>
        <v/>
      </c>
      <c r="K391">
        <f>G391</f>
        <v/>
      </c>
    </row>
    <row r="392">
      <c r="E392">
        <f>D392*VLOOKUP(A392,04_PROYECTOS!$A:$N,5,FALSE)*(INDEX(02B_ESCENARIOS!$B$4:$D$11, MATCH("MULT_PRECIO", 02B_ESCENARIOS!$A$4:$A$11, 0), MATCH("Conservador", 02B_ESCENARIOS!$B$3:$D$3, 0)))*INDEX(02B_ESCENARIOS!$B$15:$D$19, MATCH(VLOOKUP(A392,04_PROYECTOS!$A:$N,9,FALSE), 02B_ESCENARIOS!$A$15:$A$19, 0), MATCH("Conservador", 02B_ESCENARIOS!$B$14:$D$14, 0))</f>
        <v/>
      </c>
      <c r="F392">
        <f>E392*VLOOKUP(A392,04_PROYECTOS!$A:$N,6,FALSE)</f>
        <v/>
      </c>
      <c r="G392">
        <f>E392+F392</f>
        <v/>
      </c>
      <c r="H392">
        <f>IF(VLOOKUP(A392,04_PROYECTOS!$A:$N,10,FALSE)="", IF(VLOOKUP(A392,04_PROYECTOS!$A:$N,4,FALSE)="Privado", INDEX(02B_ESCENARIOS!$B$4:$D$11, MATCH("DSO_PRIVADO_DEFAULT", 02B_ESCENARIOS!$A$4:$A$11, 0), MATCH("Conservador", 02B_ESCENARIOS!$B$3:$D$3, 0)), IF(VLOOKUP(A392,04_PROYECTOS!$A:$N,4,FALSE)="Publico_&lt;10M",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VLOOKUP(A392,04_PROYECTOS!$A:$N,10,FALSE))</f>
        <v/>
      </c>
      <c r="I392">
        <f>ROUNDUP(H392/30,0)</f>
        <v/>
      </c>
      <c r="J392">
        <f>EDATE(C392,I392)</f>
        <v/>
      </c>
      <c r="K392">
        <f>G392</f>
        <v/>
      </c>
    </row>
    <row r="393">
      <c r="E393">
        <f>D393*VLOOKUP(A393,04_PROYECTOS!$A:$N,5,FALSE)*(INDEX(02B_ESCENARIOS!$B$4:$D$11, MATCH("MULT_PRECIO", 02B_ESCENARIOS!$A$4:$A$11, 0), MATCH("Conservador", 02B_ESCENARIOS!$B$3:$D$3, 0)))*INDEX(02B_ESCENARIOS!$B$15:$D$19, MATCH(VLOOKUP(A393,04_PROYECTOS!$A:$N,9,FALSE), 02B_ESCENARIOS!$A$15:$A$19, 0), MATCH("Conservador", 02B_ESCENARIOS!$B$14:$D$14, 0))</f>
        <v/>
      </c>
      <c r="F393">
        <f>E393*VLOOKUP(A393,04_PROYECTOS!$A:$N,6,FALSE)</f>
        <v/>
      </c>
      <c r="G393">
        <f>E393+F393</f>
        <v/>
      </c>
      <c r="H393">
        <f>IF(VLOOKUP(A393,04_PROYECTOS!$A:$N,10,FALSE)="", IF(VLOOKUP(A393,04_PROYECTOS!$A:$N,4,FALSE)="Privado", INDEX(02B_ESCENARIOS!$B$4:$D$11, MATCH("DSO_PRIVADO_DEFAULT", 02B_ESCENARIOS!$A$4:$A$11, 0), MATCH("Conservador", 02B_ESCENARIOS!$B$3:$D$3, 0)), IF(VLOOKUP(A393,04_PROYECTOS!$A:$N,4,FALSE)="Publico_&lt;10M",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VLOOKUP(A393,04_PROYECTOS!$A:$N,10,FALSE))</f>
        <v/>
      </c>
      <c r="I393">
        <f>ROUNDUP(H393/30,0)</f>
        <v/>
      </c>
      <c r="J393">
        <f>EDATE(C393,I393)</f>
        <v/>
      </c>
      <c r="K393">
        <f>G393</f>
        <v/>
      </c>
    </row>
    <row r="394">
      <c r="E394">
        <f>D394*VLOOKUP(A394,04_PROYECTOS!$A:$N,5,FALSE)*(INDEX(02B_ESCENARIOS!$B$4:$D$11, MATCH("MULT_PRECIO", 02B_ESCENARIOS!$A$4:$A$11, 0), MATCH("Conservador", 02B_ESCENARIOS!$B$3:$D$3, 0)))*INDEX(02B_ESCENARIOS!$B$15:$D$19, MATCH(VLOOKUP(A394,04_PROYECTOS!$A:$N,9,FALSE), 02B_ESCENARIOS!$A$15:$A$19, 0), MATCH("Conservador", 02B_ESCENARIOS!$B$14:$D$14, 0))</f>
        <v/>
      </c>
      <c r="F394">
        <f>E394*VLOOKUP(A394,04_PROYECTOS!$A:$N,6,FALSE)</f>
        <v/>
      </c>
      <c r="G394">
        <f>E394+F394</f>
        <v/>
      </c>
      <c r="H394">
        <f>IF(VLOOKUP(A394,04_PROYECTOS!$A:$N,10,FALSE)="", IF(VLOOKUP(A394,04_PROYECTOS!$A:$N,4,FALSE)="Privado", INDEX(02B_ESCENARIOS!$B$4:$D$11, MATCH("DSO_PRIVADO_DEFAULT", 02B_ESCENARIOS!$A$4:$A$11, 0), MATCH("Conservador", 02B_ESCENARIOS!$B$3:$D$3, 0)), IF(VLOOKUP(A394,04_PROYECTOS!$A:$N,4,FALSE)="Publico_&lt;10M",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VLOOKUP(A394,04_PROYECTOS!$A:$N,10,FALSE))</f>
        <v/>
      </c>
      <c r="I394">
        <f>ROUNDUP(H394/30,0)</f>
        <v/>
      </c>
      <c r="J394">
        <f>EDATE(C394,I394)</f>
        <v/>
      </c>
      <c r="K394">
        <f>G394</f>
        <v/>
      </c>
    </row>
    <row r="395">
      <c r="E395">
        <f>D395*VLOOKUP(A395,04_PROYECTOS!$A:$N,5,FALSE)*(INDEX(02B_ESCENARIOS!$B$4:$D$11, MATCH("MULT_PRECIO", 02B_ESCENARIOS!$A$4:$A$11, 0), MATCH("Conservador", 02B_ESCENARIOS!$B$3:$D$3, 0)))*INDEX(02B_ESCENARIOS!$B$15:$D$19, MATCH(VLOOKUP(A395,04_PROYECTOS!$A:$N,9,FALSE), 02B_ESCENARIOS!$A$15:$A$19, 0), MATCH("Conservador", 02B_ESCENARIOS!$B$14:$D$14, 0))</f>
        <v/>
      </c>
      <c r="F395">
        <f>E395*VLOOKUP(A395,04_PROYECTOS!$A:$N,6,FALSE)</f>
        <v/>
      </c>
      <c r="G395">
        <f>E395+F395</f>
        <v/>
      </c>
      <c r="H395">
        <f>IF(VLOOKUP(A395,04_PROYECTOS!$A:$N,10,FALSE)="", IF(VLOOKUP(A395,04_PROYECTOS!$A:$N,4,FALSE)="Privado", INDEX(02B_ESCENARIOS!$B$4:$D$11, MATCH("DSO_PRIVADO_DEFAULT", 02B_ESCENARIOS!$A$4:$A$11, 0), MATCH("Conservador", 02B_ESCENARIOS!$B$3:$D$3, 0)), IF(VLOOKUP(A395,04_PROYECTOS!$A:$N,4,FALSE)="Publico_&lt;10M",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VLOOKUP(A395,04_PROYECTOS!$A:$N,10,FALSE))</f>
        <v/>
      </c>
      <c r="I395">
        <f>ROUNDUP(H395/30,0)</f>
        <v/>
      </c>
      <c r="J395">
        <f>EDATE(C395,I395)</f>
        <v/>
      </c>
      <c r="K395">
        <f>G395</f>
        <v/>
      </c>
    </row>
    <row r="396">
      <c r="E396">
        <f>D396*VLOOKUP(A396,04_PROYECTOS!$A:$N,5,FALSE)*(INDEX(02B_ESCENARIOS!$B$4:$D$11, MATCH("MULT_PRECIO", 02B_ESCENARIOS!$A$4:$A$11, 0), MATCH("Conservador", 02B_ESCENARIOS!$B$3:$D$3, 0)))*INDEX(02B_ESCENARIOS!$B$15:$D$19, MATCH(VLOOKUP(A396,04_PROYECTOS!$A:$N,9,FALSE), 02B_ESCENARIOS!$A$15:$A$19, 0), MATCH("Conservador", 02B_ESCENARIOS!$B$14:$D$14, 0))</f>
        <v/>
      </c>
      <c r="F396">
        <f>E396*VLOOKUP(A396,04_PROYECTOS!$A:$N,6,FALSE)</f>
        <v/>
      </c>
      <c r="G396">
        <f>E396+F396</f>
        <v/>
      </c>
      <c r="H396">
        <f>IF(VLOOKUP(A396,04_PROYECTOS!$A:$N,10,FALSE)="", IF(VLOOKUP(A396,04_PROYECTOS!$A:$N,4,FALSE)="Privado", INDEX(02B_ESCENARIOS!$B$4:$D$11, MATCH("DSO_PRIVADO_DEFAULT", 02B_ESCENARIOS!$A$4:$A$11, 0), MATCH("Conservador", 02B_ESCENARIOS!$B$3:$D$3, 0)), IF(VLOOKUP(A396,04_PROYECTOS!$A:$N,4,FALSE)="Publico_&lt;10M",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VLOOKUP(A396,04_PROYECTOS!$A:$N,10,FALSE))</f>
        <v/>
      </c>
      <c r="I396">
        <f>ROUNDUP(H396/30,0)</f>
        <v/>
      </c>
      <c r="J396">
        <f>EDATE(C396,I396)</f>
        <v/>
      </c>
      <c r="K396">
        <f>G396</f>
        <v/>
      </c>
    </row>
    <row r="397">
      <c r="E397">
        <f>D397*VLOOKUP(A397,04_PROYECTOS!$A:$N,5,FALSE)*(INDEX(02B_ESCENARIOS!$B$4:$D$11, MATCH("MULT_PRECIO", 02B_ESCENARIOS!$A$4:$A$11, 0), MATCH("Conservador", 02B_ESCENARIOS!$B$3:$D$3, 0)))*INDEX(02B_ESCENARIOS!$B$15:$D$19, MATCH(VLOOKUP(A397,04_PROYECTOS!$A:$N,9,FALSE), 02B_ESCENARIOS!$A$15:$A$19, 0), MATCH("Conservador", 02B_ESCENARIOS!$B$14:$D$14, 0))</f>
        <v/>
      </c>
      <c r="F397">
        <f>E397*VLOOKUP(A397,04_PROYECTOS!$A:$N,6,FALSE)</f>
        <v/>
      </c>
      <c r="G397">
        <f>E397+F397</f>
        <v/>
      </c>
      <c r="H397">
        <f>IF(VLOOKUP(A397,04_PROYECTOS!$A:$N,10,FALSE)="", IF(VLOOKUP(A397,04_PROYECTOS!$A:$N,4,FALSE)="Privado", INDEX(02B_ESCENARIOS!$B$4:$D$11, MATCH("DSO_PRIVADO_DEFAULT", 02B_ESCENARIOS!$A$4:$A$11, 0), MATCH("Conservador", 02B_ESCENARIOS!$B$3:$D$3, 0)), IF(VLOOKUP(A397,04_PROYECTOS!$A:$N,4,FALSE)="Publico_&lt;10M",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VLOOKUP(A397,04_PROYECTOS!$A:$N,10,FALSE))</f>
        <v/>
      </c>
      <c r="I397">
        <f>ROUNDUP(H397/30,0)</f>
        <v/>
      </c>
      <c r="J397">
        <f>EDATE(C397,I397)</f>
        <v/>
      </c>
      <c r="K397">
        <f>G397</f>
        <v/>
      </c>
    </row>
    <row r="398">
      <c r="E398">
        <f>D398*VLOOKUP(A398,04_PROYECTOS!$A:$N,5,FALSE)*(INDEX(02B_ESCENARIOS!$B$4:$D$11, MATCH("MULT_PRECIO", 02B_ESCENARIOS!$A$4:$A$11, 0), MATCH("Conservador", 02B_ESCENARIOS!$B$3:$D$3, 0)))*INDEX(02B_ESCENARIOS!$B$15:$D$19, MATCH(VLOOKUP(A398,04_PROYECTOS!$A:$N,9,FALSE), 02B_ESCENARIOS!$A$15:$A$19, 0), MATCH("Conservador", 02B_ESCENARIOS!$B$14:$D$14, 0))</f>
        <v/>
      </c>
      <c r="F398">
        <f>E398*VLOOKUP(A398,04_PROYECTOS!$A:$N,6,FALSE)</f>
        <v/>
      </c>
      <c r="G398">
        <f>E398+F398</f>
        <v/>
      </c>
      <c r="H398">
        <f>IF(VLOOKUP(A398,04_PROYECTOS!$A:$N,10,FALSE)="", IF(VLOOKUP(A398,04_PROYECTOS!$A:$N,4,FALSE)="Privado", INDEX(02B_ESCENARIOS!$B$4:$D$11, MATCH("DSO_PRIVADO_DEFAULT", 02B_ESCENARIOS!$A$4:$A$11, 0), MATCH("Conservador", 02B_ESCENARIOS!$B$3:$D$3, 0)), IF(VLOOKUP(A398,04_PROYECTOS!$A:$N,4,FALSE)="Publico_&lt;10M",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VLOOKUP(A398,04_PROYECTOS!$A:$N,10,FALSE))</f>
        <v/>
      </c>
      <c r="I398">
        <f>ROUNDUP(H398/30,0)</f>
        <v/>
      </c>
      <c r="J398">
        <f>EDATE(C398,I398)</f>
        <v/>
      </c>
      <c r="K398">
        <f>G398</f>
        <v/>
      </c>
    </row>
    <row r="399">
      <c r="E399">
        <f>D399*VLOOKUP(A399,04_PROYECTOS!$A:$N,5,FALSE)*(INDEX(02B_ESCENARIOS!$B$4:$D$11, MATCH("MULT_PRECIO", 02B_ESCENARIOS!$A$4:$A$11, 0), MATCH("Conservador", 02B_ESCENARIOS!$B$3:$D$3, 0)))*INDEX(02B_ESCENARIOS!$B$15:$D$19, MATCH(VLOOKUP(A399,04_PROYECTOS!$A:$N,9,FALSE), 02B_ESCENARIOS!$A$15:$A$19, 0), MATCH("Conservador", 02B_ESCENARIOS!$B$14:$D$14, 0))</f>
        <v/>
      </c>
      <c r="F399">
        <f>E399*VLOOKUP(A399,04_PROYECTOS!$A:$N,6,FALSE)</f>
        <v/>
      </c>
      <c r="G399">
        <f>E399+F399</f>
        <v/>
      </c>
      <c r="H399">
        <f>IF(VLOOKUP(A399,04_PROYECTOS!$A:$N,10,FALSE)="", IF(VLOOKUP(A399,04_PROYECTOS!$A:$N,4,FALSE)="Privado", INDEX(02B_ESCENARIOS!$B$4:$D$11, MATCH("DSO_PRIVADO_DEFAULT", 02B_ESCENARIOS!$A$4:$A$11, 0), MATCH("Conservador", 02B_ESCENARIOS!$B$3:$D$3, 0)), IF(VLOOKUP(A399,04_PROYECTOS!$A:$N,4,FALSE)="Publico_&lt;10M",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VLOOKUP(A399,04_PROYECTOS!$A:$N,10,FALSE))</f>
        <v/>
      </c>
      <c r="I399">
        <f>ROUNDUP(H399/30,0)</f>
        <v/>
      </c>
      <c r="J399">
        <f>EDATE(C399,I399)</f>
        <v/>
      </c>
      <c r="K399">
        <f>G399</f>
        <v/>
      </c>
    </row>
    <row r="400">
      <c r="E400">
        <f>D400*VLOOKUP(A400,04_PROYECTOS!$A:$N,5,FALSE)*(INDEX(02B_ESCENARIOS!$B$4:$D$11, MATCH("MULT_PRECIO", 02B_ESCENARIOS!$A$4:$A$11, 0), MATCH("Conservador", 02B_ESCENARIOS!$B$3:$D$3, 0)))*INDEX(02B_ESCENARIOS!$B$15:$D$19, MATCH(VLOOKUP(A400,04_PROYECTOS!$A:$N,9,FALSE), 02B_ESCENARIOS!$A$15:$A$19, 0), MATCH("Conservador", 02B_ESCENARIOS!$B$14:$D$14, 0))</f>
        <v/>
      </c>
      <c r="F400">
        <f>E400*VLOOKUP(A400,04_PROYECTOS!$A:$N,6,FALSE)</f>
        <v/>
      </c>
      <c r="G400">
        <f>E400+F400</f>
        <v/>
      </c>
      <c r="H400">
        <f>IF(VLOOKUP(A400,04_PROYECTOS!$A:$N,10,FALSE)="", IF(VLOOKUP(A400,04_PROYECTOS!$A:$N,4,FALSE)="Privado", INDEX(02B_ESCENARIOS!$B$4:$D$11, MATCH("DSO_PRIVADO_DEFAULT", 02B_ESCENARIOS!$A$4:$A$11, 0), MATCH("Conservador", 02B_ESCENARIOS!$B$3:$D$3, 0)), IF(VLOOKUP(A400,04_PROYECTOS!$A:$N,4,FALSE)="Publico_&lt;10M",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VLOOKUP(A400,04_PROYECTOS!$A:$N,10,FALSE))</f>
        <v/>
      </c>
      <c r="I400">
        <f>ROUNDUP(H400/30,0)</f>
        <v/>
      </c>
      <c r="J400">
        <f>EDATE(C400,I400)</f>
        <v/>
      </c>
      <c r="K400">
        <f>G400</f>
        <v/>
      </c>
    </row>
    <row r="401">
      <c r="E401">
        <f>D401*VLOOKUP(A401,04_PROYECTOS!$A:$N,5,FALSE)*(INDEX(02B_ESCENARIOS!$B$4:$D$11, MATCH("MULT_PRECIO", 02B_ESCENARIOS!$A$4:$A$11, 0), MATCH("Conservador", 02B_ESCENARIOS!$B$3:$D$3, 0)))*INDEX(02B_ESCENARIOS!$B$15:$D$19, MATCH(VLOOKUP(A401,04_PROYECTOS!$A:$N,9,FALSE), 02B_ESCENARIOS!$A$15:$A$19, 0), MATCH("Conservador", 02B_ESCENARIOS!$B$14:$D$14, 0))</f>
        <v/>
      </c>
      <c r="F401">
        <f>E401*VLOOKUP(A401,04_PROYECTOS!$A:$N,6,FALSE)</f>
        <v/>
      </c>
      <c r="G401">
        <f>E401+F401</f>
        <v/>
      </c>
      <c r="H401">
        <f>IF(VLOOKUP(A401,04_PROYECTOS!$A:$N,10,FALSE)="", IF(VLOOKUP(A401,04_PROYECTOS!$A:$N,4,FALSE)="Privado", INDEX(02B_ESCENARIOS!$B$4:$D$11, MATCH("DSO_PRIVADO_DEFAULT", 02B_ESCENARIOS!$A$4:$A$11, 0), MATCH("Conservador", 02B_ESCENARIOS!$B$3:$D$3, 0)), IF(VLOOKUP(A401,04_PROYECTOS!$A:$N,4,FALSE)="Publico_&lt;10M",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VLOOKUP(A401,04_PROYECTOS!$A:$N,10,FALSE))</f>
        <v/>
      </c>
      <c r="I401">
        <f>ROUNDUP(H401/30,0)</f>
        <v/>
      </c>
      <c r="J401">
        <f>EDATE(C401,I401)</f>
        <v/>
      </c>
      <c r="K401">
        <f>G401</f>
        <v/>
      </c>
    </row>
    <row r="402">
      <c r="E402">
        <f>D402*VLOOKUP(A402,04_PROYECTOS!$A:$N,5,FALSE)*(INDEX(02B_ESCENARIOS!$B$4:$D$11, MATCH("MULT_PRECIO", 02B_ESCENARIOS!$A$4:$A$11, 0), MATCH("Conservador", 02B_ESCENARIOS!$B$3:$D$3, 0)))*INDEX(02B_ESCENARIOS!$B$15:$D$19, MATCH(VLOOKUP(A402,04_PROYECTOS!$A:$N,9,FALSE), 02B_ESCENARIOS!$A$15:$A$19, 0), MATCH("Conservador", 02B_ESCENARIOS!$B$14:$D$14, 0))</f>
        <v/>
      </c>
      <c r="F402">
        <f>E402*VLOOKUP(A402,04_PROYECTOS!$A:$N,6,FALSE)</f>
        <v/>
      </c>
      <c r="G402">
        <f>E402+F402</f>
        <v/>
      </c>
      <c r="H402">
        <f>IF(VLOOKUP(A402,04_PROYECTOS!$A:$N,10,FALSE)="", IF(VLOOKUP(A402,04_PROYECTOS!$A:$N,4,FALSE)="Privado", INDEX(02B_ESCENARIOS!$B$4:$D$11, MATCH("DSO_PRIVADO_DEFAULT", 02B_ESCENARIOS!$A$4:$A$11, 0), MATCH("Conservador", 02B_ESCENARIOS!$B$3:$D$3, 0)), IF(VLOOKUP(A402,04_PROYECTOS!$A:$N,4,FALSE)="Publico_&lt;10M",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VLOOKUP(A402,04_PROYECTOS!$A:$N,10,FALSE))</f>
        <v/>
      </c>
      <c r="I402">
        <f>ROUNDUP(H402/30,0)</f>
        <v/>
      </c>
      <c r="J402">
        <f>EDATE(C402,I402)</f>
        <v/>
      </c>
      <c r="K402">
        <f>G402</f>
        <v/>
      </c>
    </row>
    <row r="403">
      <c r="E403">
        <f>D403*VLOOKUP(A403,04_PROYECTOS!$A:$N,5,FALSE)*(INDEX(02B_ESCENARIOS!$B$4:$D$11, MATCH("MULT_PRECIO", 02B_ESCENARIOS!$A$4:$A$11, 0), MATCH("Conservador", 02B_ESCENARIOS!$B$3:$D$3, 0)))*INDEX(02B_ESCENARIOS!$B$15:$D$19, MATCH(VLOOKUP(A403,04_PROYECTOS!$A:$N,9,FALSE), 02B_ESCENARIOS!$A$15:$A$19, 0), MATCH("Conservador", 02B_ESCENARIOS!$B$14:$D$14, 0))</f>
        <v/>
      </c>
      <c r="F403">
        <f>E403*VLOOKUP(A403,04_PROYECTOS!$A:$N,6,FALSE)</f>
        <v/>
      </c>
      <c r="G403">
        <f>E403+F403</f>
        <v/>
      </c>
      <c r="H403">
        <f>IF(VLOOKUP(A403,04_PROYECTOS!$A:$N,10,FALSE)="", IF(VLOOKUP(A403,04_PROYECTOS!$A:$N,4,FALSE)="Privado", INDEX(02B_ESCENARIOS!$B$4:$D$11, MATCH("DSO_PRIVADO_DEFAULT", 02B_ESCENARIOS!$A$4:$A$11, 0), MATCH("Conservador", 02B_ESCENARIOS!$B$3:$D$3, 0)), IF(VLOOKUP(A403,04_PROYECTOS!$A:$N,4,FALSE)="Publico_&lt;10M",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VLOOKUP(A403,04_PROYECTOS!$A:$N,10,FALSE))</f>
        <v/>
      </c>
      <c r="I403">
        <f>ROUNDUP(H403/30,0)</f>
        <v/>
      </c>
      <c r="J403">
        <f>EDATE(C403,I403)</f>
        <v/>
      </c>
      <c r="K403">
        <f>G403</f>
        <v/>
      </c>
    </row>
    <row r="404">
      <c r="E404">
        <f>D404*VLOOKUP(A404,04_PROYECTOS!$A:$N,5,FALSE)*(INDEX(02B_ESCENARIOS!$B$4:$D$11, MATCH("MULT_PRECIO", 02B_ESCENARIOS!$A$4:$A$11, 0), MATCH("Conservador", 02B_ESCENARIOS!$B$3:$D$3, 0)))*INDEX(02B_ESCENARIOS!$B$15:$D$19, MATCH(VLOOKUP(A404,04_PROYECTOS!$A:$N,9,FALSE), 02B_ESCENARIOS!$A$15:$A$19, 0), MATCH("Conservador", 02B_ESCENARIOS!$B$14:$D$14, 0))</f>
        <v/>
      </c>
      <c r="F404">
        <f>E404*VLOOKUP(A404,04_PROYECTOS!$A:$N,6,FALSE)</f>
        <v/>
      </c>
      <c r="G404">
        <f>E404+F404</f>
        <v/>
      </c>
      <c r="H404">
        <f>IF(VLOOKUP(A404,04_PROYECTOS!$A:$N,10,FALSE)="", IF(VLOOKUP(A404,04_PROYECTOS!$A:$N,4,FALSE)="Privado", INDEX(02B_ESCENARIOS!$B$4:$D$11, MATCH("DSO_PRIVADO_DEFAULT", 02B_ESCENARIOS!$A$4:$A$11, 0), MATCH("Conservador", 02B_ESCENARIOS!$B$3:$D$3, 0)), IF(VLOOKUP(A404,04_PROYECTOS!$A:$N,4,FALSE)="Publico_&lt;10M",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VLOOKUP(A404,04_PROYECTOS!$A:$N,10,FALSE))</f>
        <v/>
      </c>
      <c r="I404">
        <f>ROUNDUP(H404/30,0)</f>
        <v/>
      </c>
      <c r="J404">
        <f>EDATE(C404,I404)</f>
        <v/>
      </c>
      <c r="K404">
        <f>G404</f>
        <v/>
      </c>
    </row>
    <row r="405">
      <c r="E405">
        <f>D405*VLOOKUP(A405,04_PROYECTOS!$A:$N,5,FALSE)*(INDEX(02B_ESCENARIOS!$B$4:$D$11, MATCH("MULT_PRECIO", 02B_ESCENARIOS!$A$4:$A$11, 0), MATCH("Conservador", 02B_ESCENARIOS!$B$3:$D$3, 0)))*INDEX(02B_ESCENARIOS!$B$15:$D$19, MATCH(VLOOKUP(A405,04_PROYECTOS!$A:$N,9,FALSE), 02B_ESCENARIOS!$A$15:$A$19, 0), MATCH("Conservador", 02B_ESCENARIOS!$B$14:$D$14, 0))</f>
        <v/>
      </c>
      <c r="F405">
        <f>E405*VLOOKUP(A405,04_PROYECTOS!$A:$N,6,FALSE)</f>
        <v/>
      </c>
      <c r="G405">
        <f>E405+F405</f>
        <v/>
      </c>
      <c r="H405">
        <f>IF(VLOOKUP(A405,04_PROYECTOS!$A:$N,10,FALSE)="", IF(VLOOKUP(A405,04_PROYECTOS!$A:$N,4,FALSE)="Privado", INDEX(02B_ESCENARIOS!$B$4:$D$11, MATCH("DSO_PRIVADO_DEFAULT", 02B_ESCENARIOS!$A$4:$A$11, 0), MATCH("Conservador", 02B_ESCENARIOS!$B$3:$D$3, 0)), IF(VLOOKUP(A405,04_PROYECTOS!$A:$N,4,FALSE)="Publico_&lt;10M",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VLOOKUP(A405,04_PROYECTOS!$A:$N,10,FALSE))</f>
        <v/>
      </c>
      <c r="I405">
        <f>ROUNDUP(H405/30,0)</f>
        <v/>
      </c>
      <c r="J405">
        <f>EDATE(C405,I405)</f>
        <v/>
      </c>
      <c r="K405">
        <f>G405</f>
        <v/>
      </c>
    </row>
    <row r="406">
      <c r="E406">
        <f>D406*VLOOKUP(A406,04_PROYECTOS!$A:$N,5,FALSE)*(INDEX(02B_ESCENARIOS!$B$4:$D$11, MATCH("MULT_PRECIO", 02B_ESCENARIOS!$A$4:$A$11, 0), MATCH("Conservador", 02B_ESCENARIOS!$B$3:$D$3, 0)))*INDEX(02B_ESCENARIOS!$B$15:$D$19, MATCH(VLOOKUP(A406,04_PROYECTOS!$A:$N,9,FALSE), 02B_ESCENARIOS!$A$15:$A$19, 0), MATCH("Conservador", 02B_ESCENARIOS!$B$14:$D$14, 0))</f>
        <v/>
      </c>
      <c r="F406">
        <f>E406*VLOOKUP(A406,04_PROYECTOS!$A:$N,6,FALSE)</f>
        <v/>
      </c>
      <c r="G406">
        <f>E406+F406</f>
        <v/>
      </c>
      <c r="H406">
        <f>IF(VLOOKUP(A406,04_PROYECTOS!$A:$N,10,FALSE)="", IF(VLOOKUP(A406,04_PROYECTOS!$A:$N,4,FALSE)="Privado", INDEX(02B_ESCENARIOS!$B$4:$D$11, MATCH("DSO_PRIVADO_DEFAULT", 02B_ESCENARIOS!$A$4:$A$11, 0), MATCH("Conservador", 02B_ESCENARIOS!$B$3:$D$3, 0)), IF(VLOOKUP(A406,04_PROYECTOS!$A:$N,4,FALSE)="Publico_&lt;10M",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VLOOKUP(A406,04_PROYECTOS!$A:$N,10,FALSE))</f>
        <v/>
      </c>
      <c r="I406">
        <f>ROUNDUP(H406/30,0)</f>
        <v/>
      </c>
      <c r="J406">
        <f>EDATE(C406,I406)</f>
        <v/>
      </c>
      <c r="K406">
        <f>G406</f>
        <v/>
      </c>
    </row>
    <row r="407">
      <c r="E407">
        <f>D407*VLOOKUP(A407,04_PROYECTOS!$A:$N,5,FALSE)*(INDEX(02B_ESCENARIOS!$B$4:$D$11, MATCH("MULT_PRECIO", 02B_ESCENARIOS!$A$4:$A$11, 0), MATCH("Conservador", 02B_ESCENARIOS!$B$3:$D$3, 0)))*INDEX(02B_ESCENARIOS!$B$15:$D$19, MATCH(VLOOKUP(A407,04_PROYECTOS!$A:$N,9,FALSE), 02B_ESCENARIOS!$A$15:$A$19, 0), MATCH("Conservador", 02B_ESCENARIOS!$B$14:$D$14, 0))</f>
        <v/>
      </c>
      <c r="F407">
        <f>E407*VLOOKUP(A407,04_PROYECTOS!$A:$N,6,FALSE)</f>
        <v/>
      </c>
      <c r="G407">
        <f>E407+F407</f>
        <v/>
      </c>
      <c r="H407">
        <f>IF(VLOOKUP(A407,04_PROYECTOS!$A:$N,10,FALSE)="", IF(VLOOKUP(A407,04_PROYECTOS!$A:$N,4,FALSE)="Privado", INDEX(02B_ESCENARIOS!$B$4:$D$11, MATCH("DSO_PRIVADO_DEFAULT", 02B_ESCENARIOS!$A$4:$A$11, 0), MATCH("Conservador", 02B_ESCENARIOS!$B$3:$D$3, 0)), IF(VLOOKUP(A407,04_PROYECTOS!$A:$N,4,FALSE)="Publico_&lt;10M",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VLOOKUP(A407,04_PROYECTOS!$A:$N,10,FALSE))</f>
        <v/>
      </c>
      <c r="I407">
        <f>ROUNDUP(H407/30,0)</f>
        <v/>
      </c>
      <c r="J407">
        <f>EDATE(C407,I407)</f>
        <v/>
      </c>
      <c r="K407">
        <f>G407</f>
        <v/>
      </c>
    </row>
    <row r="408">
      <c r="E408">
        <f>D408*VLOOKUP(A408,04_PROYECTOS!$A:$N,5,FALSE)*(INDEX(02B_ESCENARIOS!$B$4:$D$11, MATCH("MULT_PRECIO", 02B_ESCENARIOS!$A$4:$A$11, 0), MATCH("Conservador", 02B_ESCENARIOS!$B$3:$D$3, 0)))*INDEX(02B_ESCENARIOS!$B$15:$D$19, MATCH(VLOOKUP(A408,04_PROYECTOS!$A:$N,9,FALSE), 02B_ESCENARIOS!$A$15:$A$19, 0), MATCH("Conservador", 02B_ESCENARIOS!$B$14:$D$14, 0))</f>
        <v/>
      </c>
      <c r="F408">
        <f>E408*VLOOKUP(A408,04_PROYECTOS!$A:$N,6,FALSE)</f>
        <v/>
      </c>
      <c r="G408">
        <f>E408+F408</f>
        <v/>
      </c>
      <c r="H408">
        <f>IF(VLOOKUP(A408,04_PROYECTOS!$A:$N,10,FALSE)="", IF(VLOOKUP(A408,04_PROYECTOS!$A:$N,4,FALSE)="Privado", INDEX(02B_ESCENARIOS!$B$4:$D$11, MATCH("DSO_PRIVADO_DEFAULT", 02B_ESCENARIOS!$A$4:$A$11, 0), MATCH("Conservador", 02B_ESCENARIOS!$B$3:$D$3, 0)), IF(VLOOKUP(A408,04_PROYECTOS!$A:$N,4,FALSE)="Publico_&lt;10M",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VLOOKUP(A408,04_PROYECTOS!$A:$N,10,FALSE))</f>
        <v/>
      </c>
      <c r="I408">
        <f>ROUNDUP(H408/30,0)</f>
        <v/>
      </c>
      <c r="J408">
        <f>EDATE(C408,I408)</f>
        <v/>
      </c>
      <c r="K408">
        <f>G408</f>
        <v/>
      </c>
    </row>
    <row r="409">
      <c r="E409">
        <f>D409*VLOOKUP(A409,04_PROYECTOS!$A:$N,5,FALSE)*(INDEX(02B_ESCENARIOS!$B$4:$D$11, MATCH("MULT_PRECIO", 02B_ESCENARIOS!$A$4:$A$11, 0), MATCH("Conservador", 02B_ESCENARIOS!$B$3:$D$3, 0)))*INDEX(02B_ESCENARIOS!$B$15:$D$19, MATCH(VLOOKUP(A409,04_PROYECTOS!$A:$N,9,FALSE), 02B_ESCENARIOS!$A$15:$A$19, 0), MATCH("Conservador", 02B_ESCENARIOS!$B$14:$D$14, 0))</f>
        <v/>
      </c>
      <c r="F409">
        <f>E409*VLOOKUP(A409,04_PROYECTOS!$A:$N,6,FALSE)</f>
        <v/>
      </c>
      <c r="G409">
        <f>E409+F409</f>
        <v/>
      </c>
      <c r="H409">
        <f>IF(VLOOKUP(A409,04_PROYECTOS!$A:$N,10,FALSE)="", IF(VLOOKUP(A409,04_PROYECTOS!$A:$N,4,FALSE)="Privado", INDEX(02B_ESCENARIOS!$B$4:$D$11, MATCH("DSO_PRIVADO_DEFAULT", 02B_ESCENARIOS!$A$4:$A$11, 0), MATCH("Conservador", 02B_ESCENARIOS!$B$3:$D$3, 0)), IF(VLOOKUP(A409,04_PROYECTOS!$A:$N,4,FALSE)="Publico_&lt;10M",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VLOOKUP(A409,04_PROYECTOS!$A:$N,10,FALSE))</f>
        <v/>
      </c>
      <c r="I409">
        <f>ROUNDUP(H409/30,0)</f>
        <v/>
      </c>
      <c r="J409">
        <f>EDATE(C409,I409)</f>
        <v/>
      </c>
      <c r="K409">
        <f>G409</f>
        <v/>
      </c>
    </row>
    <row r="410">
      <c r="E410">
        <f>D410*VLOOKUP(A410,04_PROYECTOS!$A:$N,5,FALSE)*(INDEX(02B_ESCENARIOS!$B$4:$D$11, MATCH("MULT_PRECIO", 02B_ESCENARIOS!$A$4:$A$11, 0), MATCH("Conservador", 02B_ESCENARIOS!$B$3:$D$3, 0)))*INDEX(02B_ESCENARIOS!$B$15:$D$19, MATCH(VLOOKUP(A410,04_PROYECTOS!$A:$N,9,FALSE), 02B_ESCENARIOS!$A$15:$A$19, 0), MATCH("Conservador", 02B_ESCENARIOS!$B$14:$D$14, 0))</f>
        <v/>
      </c>
      <c r="F410">
        <f>E410*VLOOKUP(A410,04_PROYECTOS!$A:$N,6,FALSE)</f>
        <v/>
      </c>
      <c r="G410">
        <f>E410+F410</f>
        <v/>
      </c>
      <c r="H410">
        <f>IF(VLOOKUP(A410,04_PROYECTOS!$A:$N,10,FALSE)="", IF(VLOOKUP(A410,04_PROYECTOS!$A:$N,4,FALSE)="Privado", INDEX(02B_ESCENARIOS!$B$4:$D$11, MATCH("DSO_PRIVADO_DEFAULT", 02B_ESCENARIOS!$A$4:$A$11, 0), MATCH("Conservador", 02B_ESCENARIOS!$B$3:$D$3, 0)), IF(VLOOKUP(A410,04_PROYECTOS!$A:$N,4,FALSE)="Publico_&lt;10M",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VLOOKUP(A410,04_PROYECTOS!$A:$N,10,FALSE))</f>
        <v/>
      </c>
      <c r="I410">
        <f>ROUNDUP(H410/30,0)</f>
        <v/>
      </c>
      <c r="J410">
        <f>EDATE(C410,I410)</f>
        <v/>
      </c>
      <c r="K410">
        <f>G410</f>
        <v/>
      </c>
    </row>
    <row r="411">
      <c r="E411">
        <f>D411*VLOOKUP(A411,04_PROYECTOS!$A:$N,5,FALSE)*(INDEX(02B_ESCENARIOS!$B$4:$D$11, MATCH("MULT_PRECIO", 02B_ESCENARIOS!$A$4:$A$11, 0), MATCH("Conservador", 02B_ESCENARIOS!$B$3:$D$3, 0)))*INDEX(02B_ESCENARIOS!$B$15:$D$19, MATCH(VLOOKUP(A411,04_PROYECTOS!$A:$N,9,FALSE), 02B_ESCENARIOS!$A$15:$A$19, 0), MATCH("Conservador", 02B_ESCENARIOS!$B$14:$D$14, 0))</f>
        <v/>
      </c>
      <c r="F411">
        <f>E411*VLOOKUP(A411,04_PROYECTOS!$A:$N,6,FALSE)</f>
        <v/>
      </c>
      <c r="G411">
        <f>E411+F411</f>
        <v/>
      </c>
      <c r="H411">
        <f>IF(VLOOKUP(A411,04_PROYECTOS!$A:$N,10,FALSE)="", IF(VLOOKUP(A411,04_PROYECTOS!$A:$N,4,FALSE)="Privado", INDEX(02B_ESCENARIOS!$B$4:$D$11, MATCH("DSO_PRIVADO_DEFAULT", 02B_ESCENARIOS!$A$4:$A$11, 0), MATCH("Conservador", 02B_ESCENARIOS!$B$3:$D$3, 0)), IF(VLOOKUP(A411,04_PROYECTOS!$A:$N,4,FALSE)="Publico_&lt;10M",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VLOOKUP(A411,04_PROYECTOS!$A:$N,10,FALSE))</f>
        <v/>
      </c>
      <c r="I411">
        <f>ROUNDUP(H411/30,0)</f>
        <v/>
      </c>
      <c r="J411">
        <f>EDATE(C411,I411)</f>
        <v/>
      </c>
      <c r="K411">
        <f>G411</f>
        <v/>
      </c>
    </row>
    <row r="412">
      <c r="E412">
        <f>D412*VLOOKUP(A412,04_PROYECTOS!$A:$N,5,FALSE)*(INDEX(02B_ESCENARIOS!$B$4:$D$11, MATCH("MULT_PRECIO", 02B_ESCENARIOS!$A$4:$A$11, 0), MATCH("Conservador", 02B_ESCENARIOS!$B$3:$D$3, 0)))*INDEX(02B_ESCENARIOS!$B$15:$D$19, MATCH(VLOOKUP(A412,04_PROYECTOS!$A:$N,9,FALSE), 02B_ESCENARIOS!$A$15:$A$19, 0), MATCH("Conservador", 02B_ESCENARIOS!$B$14:$D$14, 0))</f>
        <v/>
      </c>
      <c r="F412">
        <f>E412*VLOOKUP(A412,04_PROYECTOS!$A:$N,6,FALSE)</f>
        <v/>
      </c>
      <c r="G412">
        <f>E412+F412</f>
        <v/>
      </c>
      <c r="H412">
        <f>IF(VLOOKUP(A412,04_PROYECTOS!$A:$N,10,FALSE)="", IF(VLOOKUP(A412,04_PROYECTOS!$A:$N,4,FALSE)="Privado", INDEX(02B_ESCENARIOS!$B$4:$D$11, MATCH("DSO_PRIVADO_DEFAULT", 02B_ESCENARIOS!$A$4:$A$11, 0), MATCH("Conservador", 02B_ESCENARIOS!$B$3:$D$3, 0)), IF(VLOOKUP(A412,04_PROYECTOS!$A:$N,4,FALSE)="Publico_&lt;10M",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VLOOKUP(A412,04_PROYECTOS!$A:$N,10,FALSE))</f>
        <v/>
      </c>
      <c r="I412">
        <f>ROUNDUP(H412/30,0)</f>
        <v/>
      </c>
      <c r="J412">
        <f>EDATE(C412,I412)</f>
        <v/>
      </c>
      <c r="K412">
        <f>G412</f>
        <v/>
      </c>
    </row>
    <row r="413">
      <c r="E413">
        <f>D413*VLOOKUP(A413,04_PROYECTOS!$A:$N,5,FALSE)*(INDEX(02B_ESCENARIOS!$B$4:$D$11, MATCH("MULT_PRECIO", 02B_ESCENARIOS!$A$4:$A$11, 0), MATCH("Conservador", 02B_ESCENARIOS!$B$3:$D$3, 0)))*INDEX(02B_ESCENARIOS!$B$15:$D$19, MATCH(VLOOKUP(A413,04_PROYECTOS!$A:$N,9,FALSE), 02B_ESCENARIOS!$A$15:$A$19, 0), MATCH("Conservador", 02B_ESCENARIOS!$B$14:$D$14, 0))</f>
        <v/>
      </c>
      <c r="F413">
        <f>E413*VLOOKUP(A413,04_PROYECTOS!$A:$N,6,FALSE)</f>
        <v/>
      </c>
      <c r="G413">
        <f>E413+F413</f>
        <v/>
      </c>
      <c r="H413">
        <f>IF(VLOOKUP(A413,04_PROYECTOS!$A:$N,10,FALSE)="", IF(VLOOKUP(A413,04_PROYECTOS!$A:$N,4,FALSE)="Privado", INDEX(02B_ESCENARIOS!$B$4:$D$11, MATCH("DSO_PRIVADO_DEFAULT", 02B_ESCENARIOS!$A$4:$A$11, 0), MATCH("Conservador", 02B_ESCENARIOS!$B$3:$D$3, 0)), IF(VLOOKUP(A413,04_PROYECTOS!$A:$N,4,FALSE)="Publico_&lt;10M",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VLOOKUP(A413,04_PROYECTOS!$A:$N,10,FALSE))</f>
        <v/>
      </c>
      <c r="I413">
        <f>ROUNDUP(H413/30,0)</f>
        <v/>
      </c>
      <c r="J413">
        <f>EDATE(C413,I413)</f>
        <v/>
      </c>
      <c r="K413">
        <f>G413</f>
        <v/>
      </c>
    </row>
    <row r="414">
      <c r="E414">
        <f>D414*VLOOKUP(A414,04_PROYECTOS!$A:$N,5,FALSE)*(INDEX(02B_ESCENARIOS!$B$4:$D$11, MATCH("MULT_PRECIO", 02B_ESCENARIOS!$A$4:$A$11, 0), MATCH("Conservador", 02B_ESCENARIOS!$B$3:$D$3, 0)))*INDEX(02B_ESCENARIOS!$B$15:$D$19, MATCH(VLOOKUP(A414,04_PROYECTOS!$A:$N,9,FALSE), 02B_ESCENARIOS!$A$15:$A$19, 0), MATCH("Conservador", 02B_ESCENARIOS!$B$14:$D$14, 0))</f>
        <v/>
      </c>
      <c r="F414">
        <f>E414*VLOOKUP(A414,04_PROYECTOS!$A:$N,6,FALSE)</f>
        <v/>
      </c>
      <c r="G414">
        <f>E414+F414</f>
        <v/>
      </c>
      <c r="H414">
        <f>IF(VLOOKUP(A414,04_PROYECTOS!$A:$N,10,FALSE)="", IF(VLOOKUP(A414,04_PROYECTOS!$A:$N,4,FALSE)="Privado", INDEX(02B_ESCENARIOS!$B$4:$D$11, MATCH("DSO_PRIVADO_DEFAULT", 02B_ESCENARIOS!$A$4:$A$11, 0), MATCH("Conservador", 02B_ESCENARIOS!$B$3:$D$3, 0)), IF(VLOOKUP(A414,04_PROYECTOS!$A:$N,4,FALSE)="Publico_&lt;10M",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VLOOKUP(A414,04_PROYECTOS!$A:$N,10,FALSE))</f>
        <v/>
      </c>
      <c r="I414">
        <f>ROUNDUP(H414/30,0)</f>
        <v/>
      </c>
      <c r="J414">
        <f>EDATE(C414,I414)</f>
        <v/>
      </c>
      <c r="K414">
        <f>G414</f>
        <v/>
      </c>
    </row>
    <row r="415">
      <c r="E415">
        <f>D415*VLOOKUP(A415,04_PROYECTOS!$A:$N,5,FALSE)*(INDEX(02B_ESCENARIOS!$B$4:$D$11, MATCH("MULT_PRECIO", 02B_ESCENARIOS!$A$4:$A$11, 0), MATCH("Conservador", 02B_ESCENARIOS!$B$3:$D$3, 0)))*INDEX(02B_ESCENARIOS!$B$15:$D$19, MATCH(VLOOKUP(A415,04_PROYECTOS!$A:$N,9,FALSE), 02B_ESCENARIOS!$A$15:$A$19, 0), MATCH("Conservador", 02B_ESCENARIOS!$B$14:$D$14, 0))</f>
        <v/>
      </c>
      <c r="F415">
        <f>E415*VLOOKUP(A415,04_PROYECTOS!$A:$N,6,FALSE)</f>
        <v/>
      </c>
      <c r="G415">
        <f>E415+F415</f>
        <v/>
      </c>
      <c r="H415">
        <f>IF(VLOOKUP(A415,04_PROYECTOS!$A:$N,10,FALSE)="", IF(VLOOKUP(A415,04_PROYECTOS!$A:$N,4,FALSE)="Privado", INDEX(02B_ESCENARIOS!$B$4:$D$11, MATCH("DSO_PRIVADO_DEFAULT", 02B_ESCENARIOS!$A$4:$A$11, 0), MATCH("Conservador", 02B_ESCENARIOS!$B$3:$D$3, 0)), IF(VLOOKUP(A415,04_PROYECTOS!$A:$N,4,FALSE)="Publico_&lt;10M",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VLOOKUP(A415,04_PROYECTOS!$A:$N,10,FALSE))</f>
        <v/>
      </c>
      <c r="I415">
        <f>ROUNDUP(H415/30,0)</f>
        <v/>
      </c>
      <c r="J415">
        <f>EDATE(C415,I415)</f>
        <v/>
      </c>
      <c r="K415">
        <f>G415</f>
        <v/>
      </c>
    </row>
    <row r="416">
      <c r="E416">
        <f>D416*VLOOKUP(A416,04_PROYECTOS!$A:$N,5,FALSE)*(INDEX(02B_ESCENARIOS!$B$4:$D$11, MATCH("MULT_PRECIO", 02B_ESCENARIOS!$A$4:$A$11, 0), MATCH("Conservador", 02B_ESCENARIOS!$B$3:$D$3, 0)))*INDEX(02B_ESCENARIOS!$B$15:$D$19, MATCH(VLOOKUP(A416,04_PROYECTOS!$A:$N,9,FALSE), 02B_ESCENARIOS!$A$15:$A$19, 0), MATCH("Conservador", 02B_ESCENARIOS!$B$14:$D$14, 0))</f>
        <v/>
      </c>
      <c r="F416">
        <f>E416*VLOOKUP(A416,04_PROYECTOS!$A:$N,6,FALSE)</f>
        <v/>
      </c>
      <c r="G416">
        <f>E416+F416</f>
        <v/>
      </c>
      <c r="H416">
        <f>IF(VLOOKUP(A416,04_PROYECTOS!$A:$N,10,FALSE)="", IF(VLOOKUP(A416,04_PROYECTOS!$A:$N,4,FALSE)="Privado", INDEX(02B_ESCENARIOS!$B$4:$D$11, MATCH("DSO_PRIVADO_DEFAULT", 02B_ESCENARIOS!$A$4:$A$11, 0), MATCH("Conservador", 02B_ESCENARIOS!$B$3:$D$3, 0)), IF(VLOOKUP(A416,04_PROYECTOS!$A:$N,4,FALSE)="Publico_&lt;10M",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VLOOKUP(A416,04_PROYECTOS!$A:$N,10,FALSE))</f>
        <v/>
      </c>
      <c r="I416">
        <f>ROUNDUP(H416/30,0)</f>
        <v/>
      </c>
      <c r="J416">
        <f>EDATE(C416,I416)</f>
        <v/>
      </c>
      <c r="K416">
        <f>G416</f>
        <v/>
      </c>
    </row>
    <row r="417">
      <c r="E417">
        <f>D417*VLOOKUP(A417,04_PROYECTOS!$A:$N,5,FALSE)*(INDEX(02B_ESCENARIOS!$B$4:$D$11, MATCH("MULT_PRECIO", 02B_ESCENARIOS!$A$4:$A$11, 0), MATCH("Conservador", 02B_ESCENARIOS!$B$3:$D$3, 0)))*INDEX(02B_ESCENARIOS!$B$15:$D$19, MATCH(VLOOKUP(A417,04_PROYECTOS!$A:$N,9,FALSE), 02B_ESCENARIOS!$A$15:$A$19, 0), MATCH("Conservador", 02B_ESCENARIOS!$B$14:$D$14, 0))</f>
        <v/>
      </c>
      <c r="F417">
        <f>E417*VLOOKUP(A417,04_PROYECTOS!$A:$N,6,FALSE)</f>
        <v/>
      </c>
      <c r="G417">
        <f>E417+F417</f>
        <v/>
      </c>
      <c r="H417">
        <f>IF(VLOOKUP(A417,04_PROYECTOS!$A:$N,10,FALSE)="", IF(VLOOKUP(A417,04_PROYECTOS!$A:$N,4,FALSE)="Privado", INDEX(02B_ESCENARIOS!$B$4:$D$11, MATCH("DSO_PRIVADO_DEFAULT", 02B_ESCENARIOS!$A$4:$A$11, 0), MATCH("Conservador", 02B_ESCENARIOS!$B$3:$D$3, 0)), IF(VLOOKUP(A417,04_PROYECTOS!$A:$N,4,FALSE)="Publico_&lt;10M",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VLOOKUP(A417,04_PROYECTOS!$A:$N,10,FALSE))</f>
        <v/>
      </c>
      <c r="I417">
        <f>ROUNDUP(H417/30,0)</f>
        <v/>
      </c>
      <c r="J417">
        <f>EDATE(C417,I417)</f>
        <v/>
      </c>
      <c r="K417">
        <f>G417</f>
        <v/>
      </c>
    </row>
    <row r="418">
      <c r="E418">
        <f>D418*VLOOKUP(A418,04_PROYECTOS!$A:$N,5,FALSE)*(INDEX(02B_ESCENARIOS!$B$4:$D$11, MATCH("MULT_PRECIO", 02B_ESCENARIOS!$A$4:$A$11, 0), MATCH("Conservador", 02B_ESCENARIOS!$B$3:$D$3, 0)))*INDEX(02B_ESCENARIOS!$B$15:$D$19, MATCH(VLOOKUP(A418,04_PROYECTOS!$A:$N,9,FALSE), 02B_ESCENARIOS!$A$15:$A$19, 0), MATCH("Conservador", 02B_ESCENARIOS!$B$14:$D$14, 0))</f>
        <v/>
      </c>
      <c r="F418">
        <f>E418*VLOOKUP(A418,04_PROYECTOS!$A:$N,6,FALSE)</f>
        <v/>
      </c>
      <c r="G418">
        <f>E418+F418</f>
        <v/>
      </c>
      <c r="H418">
        <f>IF(VLOOKUP(A418,04_PROYECTOS!$A:$N,10,FALSE)="", IF(VLOOKUP(A418,04_PROYECTOS!$A:$N,4,FALSE)="Privado", INDEX(02B_ESCENARIOS!$B$4:$D$11, MATCH("DSO_PRIVADO_DEFAULT", 02B_ESCENARIOS!$A$4:$A$11, 0), MATCH("Conservador", 02B_ESCENARIOS!$B$3:$D$3, 0)), IF(VLOOKUP(A418,04_PROYECTOS!$A:$N,4,FALSE)="Publico_&lt;10M",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VLOOKUP(A418,04_PROYECTOS!$A:$N,10,FALSE))</f>
        <v/>
      </c>
      <c r="I418">
        <f>ROUNDUP(H418/30,0)</f>
        <v/>
      </c>
      <c r="J418">
        <f>EDATE(C418,I418)</f>
        <v/>
      </c>
      <c r="K418">
        <f>G418</f>
        <v/>
      </c>
    </row>
    <row r="419">
      <c r="E419">
        <f>D419*VLOOKUP(A419,04_PROYECTOS!$A:$N,5,FALSE)*(INDEX(02B_ESCENARIOS!$B$4:$D$11, MATCH("MULT_PRECIO", 02B_ESCENARIOS!$A$4:$A$11, 0), MATCH("Conservador", 02B_ESCENARIOS!$B$3:$D$3, 0)))*INDEX(02B_ESCENARIOS!$B$15:$D$19, MATCH(VLOOKUP(A419,04_PROYECTOS!$A:$N,9,FALSE), 02B_ESCENARIOS!$A$15:$A$19, 0), MATCH("Conservador", 02B_ESCENARIOS!$B$14:$D$14, 0))</f>
        <v/>
      </c>
      <c r="F419">
        <f>E419*VLOOKUP(A419,04_PROYECTOS!$A:$N,6,FALSE)</f>
        <v/>
      </c>
      <c r="G419">
        <f>E419+F419</f>
        <v/>
      </c>
      <c r="H419">
        <f>IF(VLOOKUP(A419,04_PROYECTOS!$A:$N,10,FALSE)="", IF(VLOOKUP(A419,04_PROYECTOS!$A:$N,4,FALSE)="Privado", INDEX(02B_ESCENARIOS!$B$4:$D$11, MATCH("DSO_PRIVADO_DEFAULT", 02B_ESCENARIOS!$A$4:$A$11, 0), MATCH("Conservador", 02B_ESCENARIOS!$B$3:$D$3, 0)), IF(VLOOKUP(A419,04_PROYECTOS!$A:$N,4,FALSE)="Publico_&lt;10M",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VLOOKUP(A419,04_PROYECTOS!$A:$N,10,FALSE))</f>
        <v/>
      </c>
      <c r="I419">
        <f>ROUNDUP(H419/30,0)</f>
        <v/>
      </c>
      <c r="J419">
        <f>EDATE(C419,I419)</f>
        <v/>
      </c>
      <c r="K419">
        <f>G419</f>
        <v/>
      </c>
    </row>
    <row r="420">
      <c r="E420">
        <f>D420*VLOOKUP(A420,04_PROYECTOS!$A:$N,5,FALSE)*(INDEX(02B_ESCENARIOS!$B$4:$D$11, MATCH("MULT_PRECIO", 02B_ESCENARIOS!$A$4:$A$11, 0), MATCH("Conservador", 02B_ESCENARIOS!$B$3:$D$3, 0)))*INDEX(02B_ESCENARIOS!$B$15:$D$19, MATCH(VLOOKUP(A420,04_PROYECTOS!$A:$N,9,FALSE), 02B_ESCENARIOS!$A$15:$A$19, 0), MATCH("Conservador", 02B_ESCENARIOS!$B$14:$D$14, 0))</f>
        <v/>
      </c>
      <c r="F420">
        <f>E420*VLOOKUP(A420,04_PROYECTOS!$A:$N,6,FALSE)</f>
        <v/>
      </c>
      <c r="G420">
        <f>E420+F420</f>
        <v/>
      </c>
      <c r="H420">
        <f>IF(VLOOKUP(A420,04_PROYECTOS!$A:$N,10,FALSE)="", IF(VLOOKUP(A420,04_PROYECTOS!$A:$N,4,FALSE)="Privado", INDEX(02B_ESCENARIOS!$B$4:$D$11, MATCH("DSO_PRIVADO_DEFAULT", 02B_ESCENARIOS!$A$4:$A$11, 0), MATCH("Conservador", 02B_ESCENARIOS!$B$3:$D$3, 0)), IF(VLOOKUP(A420,04_PROYECTOS!$A:$N,4,FALSE)="Publico_&lt;10M",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VLOOKUP(A420,04_PROYECTOS!$A:$N,10,FALSE))</f>
        <v/>
      </c>
      <c r="I420">
        <f>ROUNDUP(H420/30,0)</f>
        <v/>
      </c>
      <c r="J420">
        <f>EDATE(C420,I420)</f>
        <v/>
      </c>
      <c r="K420">
        <f>G420</f>
        <v/>
      </c>
    </row>
    <row r="421">
      <c r="E421">
        <f>D421*VLOOKUP(A421,04_PROYECTOS!$A:$N,5,FALSE)*(INDEX(02B_ESCENARIOS!$B$4:$D$11, MATCH("MULT_PRECIO", 02B_ESCENARIOS!$A$4:$A$11, 0), MATCH("Conservador", 02B_ESCENARIOS!$B$3:$D$3, 0)))*INDEX(02B_ESCENARIOS!$B$15:$D$19, MATCH(VLOOKUP(A421,04_PROYECTOS!$A:$N,9,FALSE), 02B_ESCENARIOS!$A$15:$A$19, 0), MATCH("Conservador", 02B_ESCENARIOS!$B$14:$D$14, 0))</f>
        <v/>
      </c>
      <c r="F421">
        <f>E421*VLOOKUP(A421,04_PROYECTOS!$A:$N,6,FALSE)</f>
        <v/>
      </c>
      <c r="G421">
        <f>E421+F421</f>
        <v/>
      </c>
      <c r="H421">
        <f>IF(VLOOKUP(A421,04_PROYECTOS!$A:$N,10,FALSE)="", IF(VLOOKUP(A421,04_PROYECTOS!$A:$N,4,FALSE)="Privado", INDEX(02B_ESCENARIOS!$B$4:$D$11, MATCH("DSO_PRIVADO_DEFAULT", 02B_ESCENARIOS!$A$4:$A$11, 0), MATCH("Conservador", 02B_ESCENARIOS!$B$3:$D$3, 0)), IF(VLOOKUP(A421,04_PROYECTOS!$A:$N,4,FALSE)="Publico_&lt;10M",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VLOOKUP(A421,04_PROYECTOS!$A:$N,10,FALSE))</f>
        <v/>
      </c>
      <c r="I421">
        <f>ROUNDUP(H421/30,0)</f>
        <v/>
      </c>
      <c r="J421">
        <f>EDATE(C421,I421)</f>
        <v/>
      </c>
      <c r="K421">
        <f>G421</f>
        <v/>
      </c>
    </row>
    <row r="422">
      <c r="E422">
        <f>D422*VLOOKUP(A422,04_PROYECTOS!$A:$N,5,FALSE)*(INDEX(02B_ESCENARIOS!$B$4:$D$11, MATCH("MULT_PRECIO", 02B_ESCENARIOS!$A$4:$A$11, 0), MATCH("Conservador", 02B_ESCENARIOS!$B$3:$D$3, 0)))*INDEX(02B_ESCENARIOS!$B$15:$D$19, MATCH(VLOOKUP(A422,04_PROYECTOS!$A:$N,9,FALSE), 02B_ESCENARIOS!$A$15:$A$19, 0), MATCH("Conservador", 02B_ESCENARIOS!$B$14:$D$14, 0))</f>
        <v/>
      </c>
      <c r="F422">
        <f>E422*VLOOKUP(A422,04_PROYECTOS!$A:$N,6,FALSE)</f>
        <v/>
      </c>
      <c r="G422">
        <f>E422+F422</f>
        <v/>
      </c>
      <c r="H422">
        <f>IF(VLOOKUP(A422,04_PROYECTOS!$A:$N,10,FALSE)="", IF(VLOOKUP(A422,04_PROYECTOS!$A:$N,4,FALSE)="Privado", INDEX(02B_ESCENARIOS!$B$4:$D$11, MATCH("DSO_PRIVADO_DEFAULT", 02B_ESCENARIOS!$A$4:$A$11, 0), MATCH("Conservador", 02B_ESCENARIOS!$B$3:$D$3, 0)), IF(VLOOKUP(A422,04_PROYECTOS!$A:$N,4,FALSE)="Publico_&lt;10M",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VLOOKUP(A422,04_PROYECTOS!$A:$N,10,FALSE))</f>
        <v/>
      </c>
      <c r="I422">
        <f>ROUNDUP(H422/30,0)</f>
        <v/>
      </c>
      <c r="J422">
        <f>EDATE(C422,I422)</f>
        <v/>
      </c>
      <c r="K422">
        <f>G422</f>
        <v/>
      </c>
    </row>
    <row r="423">
      <c r="E423">
        <f>D423*VLOOKUP(A423,04_PROYECTOS!$A:$N,5,FALSE)*(INDEX(02B_ESCENARIOS!$B$4:$D$11, MATCH("MULT_PRECIO", 02B_ESCENARIOS!$A$4:$A$11, 0), MATCH("Conservador", 02B_ESCENARIOS!$B$3:$D$3, 0)))*INDEX(02B_ESCENARIOS!$B$15:$D$19, MATCH(VLOOKUP(A423,04_PROYECTOS!$A:$N,9,FALSE), 02B_ESCENARIOS!$A$15:$A$19, 0), MATCH("Conservador", 02B_ESCENARIOS!$B$14:$D$14, 0))</f>
        <v/>
      </c>
      <c r="F423">
        <f>E423*VLOOKUP(A423,04_PROYECTOS!$A:$N,6,FALSE)</f>
        <v/>
      </c>
      <c r="G423">
        <f>E423+F423</f>
        <v/>
      </c>
      <c r="H423">
        <f>IF(VLOOKUP(A423,04_PROYECTOS!$A:$N,10,FALSE)="", IF(VLOOKUP(A423,04_PROYECTOS!$A:$N,4,FALSE)="Privado", INDEX(02B_ESCENARIOS!$B$4:$D$11, MATCH("DSO_PRIVADO_DEFAULT", 02B_ESCENARIOS!$A$4:$A$11, 0), MATCH("Conservador", 02B_ESCENARIOS!$B$3:$D$3, 0)), IF(VLOOKUP(A423,04_PROYECTOS!$A:$N,4,FALSE)="Publico_&lt;10M",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VLOOKUP(A423,04_PROYECTOS!$A:$N,10,FALSE))</f>
        <v/>
      </c>
      <c r="I423">
        <f>ROUNDUP(H423/30,0)</f>
        <v/>
      </c>
      <c r="J423">
        <f>EDATE(C423,I423)</f>
        <v/>
      </c>
      <c r="K423">
        <f>G423</f>
        <v/>
      </c>
    </row>
    <row r="424">
      <c r="E424">
        <f>D424*VLOOKUP(A424,04_PROYECTOS!$A:$N,5,FALSE)*(INDEX(02B_ESCENARIOS!$B$4:$D$11, MATCH("MULT_PRECIO", 02B_ESCENARIOS!$A$4:$A$11, 0), MATCH("Conservador", 02B_ESCENARIOS!$B$3:$D$3, 0)))*INDEX(02B_ESCENARIOS!$B$15:$D$19, MATCH(VLOOKUP(A424,04_PROYECTOS!$A:$N,9,FALSE), 02B_ESCENARIOS!$A$15:$A$19, 0), MATCH("Conservador", 02B_ESCENARIOS!$B$14:$D$14, 0))</f>
        <v/>
      </c>
      <c r="F424">
        <f>E424*VLOOKUP(A424,04_PROYECTOS!$A:$N,6,FALSE)</f>
        <v/>
      </c>
      <c r="G424">
        <f>E424+F424</f>
        <v/>
      </c>
      <c r="H424">
        <f>IF(VLOOKUP(A424,04_PROYECTOS!$A:$N,10,FALSE)="", IF(VLOOKUP(A424,04_PROYECTOS!$A:$N,4,FALSE)="Privado", INDEX(02B_ESCENARIOS!$B$4:$D$11, MATCH("DSO_PRIVADO_DEFAULT", 02B_ESCENARIOS!$A$4:$A$11, 0), MATCH("Conservador", 02B_ESCENARIOS!$B$3:$D$3, 0)), IF(VLOOKUP(A424,04_PROYECTOS!$A:$N,4,FALSE)="Publico_&lt;10M",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VLOOKUP(A424,04_PROYECTOS!$A:$N,10,FALSE))</f>
        <v/>
      </c>
      <c r="I424">
        <f>ROUNDUP(H424/30,0)</f>
        <v/>
      </c>
      <c r="J424">
        <f>EDATE(C424,I424)</f>
        <v/>
      </c>
      <c r="K424">
        <f>G424</f>
        <v/>
      </c>
    </row>
    <row r="425">
      <c r="E425">
        <f>D425*VLOOKUP(A425,04_PROYECTOS!$A:$N,5,FALSE)*(INDEX(02B_ESCENARIOS!$B$4:$D$11, MATCH("MULT_PRECIO", 02B_ESCENARIOS!$A$4:$A$11, 0), MATCH("Conservador", 02B_ESCENARIOS!$B$3:$D$3, 0)))*INDEX(02B_ESCENARIOS!$B$15:$D$19, MATCH(VLOOKUP(A425,04_PROYECTOS!$A:$N,9,FALSE), 02B_ESCENARIOS!$A$15:$A$19, 0), MATCH("Conservador", 02B_ESCENARIOS!$B$14:$D$14, 0))</f>
        <v/>
      </c>
      <c r="F425">
        <f>E425*VLOOKUP(A425,04_PROYECTOS!$A:$N,6,FALSE)</f>
        <v/>
      </c>
      <c r="G425">
        <f>E425+F425</f>
        <v/>
      </c>
      <c r="H425">
        <f>IF(VLOOKUP(A425,04_PROYECTOS!$A:$N,10,FALSE)="", IF(VLOOKUP(A425,04_PROYECTOS!$A:$N,4,FALSE)="Privado", INDEX(02B_ESCENARIOS!$B$4:$D$11, MATCH("DSO_PRIVADO_DEFAULT", 02B_ESCENARIOS!$A$4:$A$11, 0), MATCH("Conservador", 02B_ESCENARIOS!$B$3:$D$3, 0)), IF(VLOOKUP(A425,04_PROYECTOS!$A:$N,4,FALSE)="Publico_&lt;10M",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VLOOKUP(A425,04_PROYECTOS!$A:$N,10,FALSE))</f>
        <v/>
      </c>
      <c r="I425">
        <f>ROUNDUP(H425/30,0)</f>
        <v/>
      </c>
      <c r="J425">
        <f>EDATE(C425,I425)</f>
        <v/>
      </c>
      <c r="K425">
        <f>G425</f>
        <v/>
      </c>
    </row>
    <row r="426">
      <c r="E426">
        <f>D426*VLOOKUP(A426,04_PROYECTOS!$A:$N,5,FALSE)*(INDEX(02B_ESCENARIOS!$B$4:$D$11, MATCH("MULT_PRECIO", 02B_ESCENARIOS!$A$4:$A$11, 0), MATCH("Conservador", 02B_ESCENARIOS!$B$3:$D$3, 0)))*INDEX(02B_ESCENARIOS!$B$15:$D$19, MATCH(VLOOKUP(A426,04_PROYECTOS!$A:$N,9,FALSE), 02B_ESCENARIOS!$A$15:$A$19, 0), MATCH("Conservador", 02B_ESCENARIOS!$B$14:$D$14, 0))</f>
        <v/>
      </c>
      <c r="F426">
        <f>E426*VLOOKUP(A426,04_PROYECTOS!$A:$N,6,FALSE)</f>
        <v/>
      </c>
      <c r="G426">
        <f>E426+F426</f>
        <v/>
      </c>
      <c r="H426">
        <f>IF(VLOOKUP(A426,04_PROYECTOS!$A:$N,10,FALSE)="", IF(VLOOKUP(A426,04_PROYECTOS!$A:$N,4,FALSE)="Privado", INDEX(02B_ESCENARIOS!$B$4:$D$11, MATCH("DSO_PRIVADO_DEFAULT", 02B_ESCENARIOS!$A$4:$A$11, 0), MATCH("Conservador", 02B_ESCENARIOS!$B$3:$D$3, 0)), IF(VLOOKUP(A426,04_PROYECTOS!$A:$N,4,FALSE)="Publico_&lt;10M",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VLOOKUP(A426,04_PROYECTOS!$A:$N,10,FALSE))</f>
        <v/>
      </c>
      <c r="I426">
        <f>ROUNDUP(H426/30,0)</f>
        <v/>
      </c>
      <c r="J426">
        <f>EDATE(C426,I426)</f>
        <v/>
      </c>
      <c r="K426">
        <f>G426</f>
        <v/>
      </c>
    </row>
    <row r="427">
      <c r="E427">
        <f>D427*VLOOKUP(A427,04_PROYECTOS!$A:$N,5,FALSE)*(INDEX(02B_ESCENARIOS!$B$4:$D$11, MATCH("MULT_PRECIO", 02B_ESCENARIOS!$A$4:$A$11, 0), MATCH("Conservador", 02B_ESCENARIOS!$B$3:$D$3, 0)))*INDEX(02B_ESCENARIOS!$B$15:$D$19, MATCH(VLOOKUP(A427,04_PROYECTOS!$A:$N,9,FALSE), 02B_ESCENARIOS!$A$15:$A$19, 0), MATCH("Conservador", 02B_ESCENARIOS!$B$14:$D$14, 0))</f>
        <v/>
      </c>
      <c r="F427">
        <f>E427*VLOOKUP(A427,04_PROYECTOS!$A:$N,6,FALSE)</f>
        <v/>
      </c>
      <c r="G427">
        <f>E427+F427</f>
        <v/>
      </c>
      <c r="H427">
        <f>IF(VLOOKUP(A427,04_PROYECTOS!$A:$N,10,FALSE)="", IF(VLOOKUP(A427,04_PROYECTOS!$A:$N,4,FALSE)="Privado", INDEX(02B_ESCENARIOS!$B$4:$D$11, MATCH("DSO_PRIVADO_DEFAULT", 02B_ESCENARIOS!$A$4:$A$11, 0), MATCH("Conservador", 02B_ESCENARIOS!$B$3:$D$3, 0)), IF(VLOOKUP(A427,04_PROYECTOS!$A:$N,4,FALSE)="Publico_&lt;10M",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VLOOKUP(A427,04_PROYECTOS!$A:$N,10,FALSE))</f>
        <v/>
      </c>
      <c r="I427">
        <f>ROUNDUP(H427/30,0)</f>
        <v/>
      </c>
      <c r="J427">
        <f>EDATE(C427,I427)</f>
        <v/>
      </c>
      <c r="K427">
        <f>G427</f>
        <v/>
      </c>
    </row>
    <row r="428">
      <c r="E428">
        <f>D428*VLOOKUP(A428,04_PROYECTOS!$A:$N,5,FALSE)*(INDEX(02B_ESCENARIOS!$B$4:$D$11, MATCH("MULT_PRECIO", 02B_ESCENARIOS!$A$4:$A$11, 0), MATCH("Conservador", 02B_ESCENARIOS!$B$3:$D$3, 0)))*INDEX(02B_ESCENARIOS!$B$15:$D$19, MATCH(VLOOKUP(A428,04_PROYECTOS!$A:$N,9,FALSE), 02B_ESCENARIOS!$A$15:$A$19, 0), MATCH("Conservador", 02B_ESCENARIOS!$B$14:$D$14, 0))</f>
        <v/>
      </c>
      <c r="F428">
        <f>E428*VLOOKUP(A428,04_PROYECTOS!$A:$N,6,FALSE)</f>
        <v/>
      </c>
      <c r="G428">
        <f>E428+F428</f>
        <v/>
      </c>
      <c r="H428">
        <f>IF(VLOOKUP(A428,04_PROYECTOS!$A:$N,10,FALSE)="", IF(VLOOKUP(A428,04_PROYECTOS!$A:$N,4,FALSE)="Privado", INDEX(02B_ESCENARIOS!$B$4:$D$11, MATCH("DSO_PRIVADO_DEFAULT", 02B_ESCENARIOS!$A$4:$A$11, 0), MATCH("Conservador", 02B_ESCENARIOS!$B$3:$D$3, 0)), IF(VLOOKUP(A428,04_PROYECTOS!$A:$N,4,FALSE)="Publico_&lt;10M",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VLOOKUP(A428,04_PROYECTOS!$A:$N,10,FALSE))</f>
        <v/>
      </c>
      <c r="I428">
        <f>ROUNDUP(H428/30,0)</f>
        <v/>
      </c>
      <c r="J428">
        <f>EDATE(C428,I428)</f>
        <v/>
      </c>
      <c r="K428">
        <f>G428</f>
        <v/>
      </c>
    </row>
    <row r="429">
      <c r="E429">
        <f>D429*VLOOKUP(A429,04_PROYECTOS!$A:$N,5,FALSE)*(INDEX(02B_ESCENARIOS!$B$4:$D$11, MATCH("MULT_PRECIO", 02B_ESCENARIOS!$A$4:$A$11, 0), MATCH("Conservador", 02B_ESCENARIOS!$B$3:$D$3, 0)))*INDEX(02B_ESCENARIOS!$B$15:$D$19, MATCH(VLOOKUP(A429,04_PROYECTOS!$A:$N,9,FALSE), 02B_ESCENARIOS!$A$15:$A$19, 0), MATCH("Conservador", 02B_ESCENARIOS!$B$14:$D$14, 0))</f>
        <v/>
      </c>
      <c r="F429">
        <f>E429*VLOOKUP(A429,04_PROYECTOS!$A:$N,6,FALSE)</f>
        <v/>
      </c>
      <c r="G429">
        <f>E429+F429</f>
        <v/>
      </c>
      <c r="H429">
        <f>IF(VLOOKUP(A429,04_PROYECTOS!$A:$N,10,FALSE)="", IF(VLOOKUP(A429,04_PROYECTOS!$A:$N,4,FALSE)="Privado", INDEX(02B_ESCENARIOS!$B$4:$D$11, MATCH("DSO_PRIVADO_DEFAULT", 02B_ESCENARIOS!$A$4:$A$11, 0), MATCH("Conservador", 02B_ESCENARIOS!$B$3:$D$3, 0)), IF(VLOOKUP(A429,04_PROYECTOS!$A:$N,4,FALSE)="Publico_&lt;10M",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VLOOKUP(A429,04_PROYECTOS!$A:$N,10,FALSE))</f>
        <v/>
      </c>
      <c r="I429">
        <f>ROUNDUP(H429/30,0)</f>
        <v/>
      </c>
      <c r="J429">
        <f>EDATE(C429,I429)</f>
        <v/>
      </c>
      <c r="K429">
        <f>G429</f>
        <v/>
      </c>
    </row>
    <row r="430">
      <c r="E430">
        <f>D430*VLOOKUP(A430,04_PROYECTOS!$A:$N,5,FALSE)*(INDEX(02B_ESCENARIOS!$B$4:$D$11, MATCH("MULT_PRECIO", 02B_ESCENARIOS!$A$4:$A$11, 0), MATCH("Conservador", 02B_ESCENARIOS!$B$3:$D$3, 0)))*INDEX(02B_ESCENARIOS!$B$15:$D$19, MATCH(VLOOKUP(A430,04_PROYECTOS!$A:$N,9,FALSE), 02B_ESCENARIOS!$A$15:$A$19, 0), MATCH("Conservador", 02B_ESCENARIOS!$B$14:$D$14, 0))</f>
        <v/>
      </c>
      <c r="F430">
        <f>E430*VLOOKUP(A430,04_PROYECTOS!$A:$N,6,FALSE)</f>
        <v/>
      </c>
      <c r="G430">
        <f>E430+F430</f>
        <v/>
      </c>
      <c r="H430">
        <f>IF(VLOOKUP(A430,04_PROYECTOS!$A:$N,10,FALSE)="", IF(VLOOKUP(A430,04_PROYECTOS!$A:$N,4,FALSE)="Privado", INDEX(02B_ESCENARIOS!$B$4:$D$11, MATCH("DSO_PRIVADO_DEFAULT", 02B_ESCENARIOS!$A$4:$A$11, 0), MATCH("Conservador", 02B_ESCENARIOS!$B$3:$D$3, 0)), IF(VLOOKUP(A430,04_PROYECTOS!$A:$N,4,FALSE)="Publico_&lt;10M",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VLOOKUP(A430,04_PROYECTOS!$A:$N,10,FALSE))</f>
        <v/>
      </c>
      <c r="I430">
        <f>ROUNDUP(H430/30,0)</f>
        <v/>
      </c>
      <c r="J430">
        <f>EDATE(C430,I430)</f>
        <v/>
      </c>
      <c r="K430">
        <f>G430</f>
        <v/>
      </c>
    </row>
    <row r="431">
      <c r="E431">
        <f>D431*VLOOKUP(A431,04_PROYECTOS!$A:$N,5,FALSE)*(INDEX(02B_ESCENARIOS!$B$4:$D$11, MATCH("MULT_PRECIO", 02B_ESCENARIOS!$A$4:$A$11, 0), MATCH("Conservador", 02B_ESCENARIOS!$B$3:$D$3, 0)))*INDEX(02B_ESCENARIOS!$B$15:$D$19, MATCH(VLOOKUP(A431,04_PROYECTOS!$A:$N,9,FALSE), 02B_ESCENARIOS!$A$15:$A$19, 0), MATCH("Conservador", 02B_ESCENARIOS!$B$14:$D$14, 0))</f>
        <v/>
      </c>
      <c r="F431">
        <f>E431*VLOOKUP(A431,04_PROYECTOS!$A:$N,6,FALSE)</f>
        <v/>
      </c>
      <c r="G431">
        <f>E431+F431</f>
        <v/>
      </c>
      <c r="H431">
        <f>IF(VLOOKUP(A431,04_PROYECTOS!$A:$N,10,FALSE)="", IF(VLOOKUP(A431,04_PROYECTOS!$A:$N,4,FALSE)="Privado", INDEX(02B_ESCENARIOS!$B$4:$D$11, MATCH("DSO_PRIVADO_DEFAULT", 02B_ESCENARIOS!$A$4:$A$11, 0), MATCH("Conservador", 02B_ESCENARIOS!$B$3:$D$3, 0)), IF(VLOOKUP(A431,04_PROYECTOS!$A:$N,4,FALSE)="Publico_&lt;10M",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VLOOKUP(A431,04_PROYECTOS!$A:$N,10,FALSE))</f>
        <v/>
      </c>
      <c r="I431">
        <f>ROUNDUP(H431/30,0)</f>
        <v/>
      </c>
      <c r="J431">
        <f>EDATE(C431,I431)</f>
        <v/>
      </c>
      <c r="K431">
        <f>G431</f>
        <v/>
      </c>
    </row>
    <row r="432">
      <c r="E432">
        <f>D432*VLOOKUP(A432,04_PROYECTOS!$A:$N,5,FALSE)*(INDEX(02B_ESCENARIOS!$B$4:$D$11, MATCH("MULT_PRECIO", 02B_ESCENARIOS!$A$4:$A$11, 0), MATCH("Conservador", 02B_ESCENARIOS!$B$3:$D$3, 0)))*INDEX(02B_ESCENARIOS!$B$15:$D$19, MATCH(VLOOKUP(A432,04_PROYECTOS!$A:$N,9,FALSE), 02B_ESCENARIOS!$A$15:$A$19, 0), MATCH("Conservador", 02B_ESCENARIOS!$B$14:$D$14, 0))</f>
        <v/>
      </c>
      <c r="F432">
        <f>E432*VLOOKUP(A432,04_PROYECTOS!$A:$N,6,FALSE)</f>
        <v/>
      </c>
      <c r="G432">
        <f>E432+F432</f>
        <v/>
      </c>
      <c r="H432">
        <f>IF(VLOOKUP(A432,04_PROYECTOS!$A:$N,10,FALSE)="", IF(VLOOKUP(A432,04_PROYECTOS!$A:$N,4,FALSE)="Privado", INDEX(02B_ESCENARIOS!$B$4:$D$11, MATCH("DSO_PRIVADO_DEFAULT", 02B_ESCENARIOS!$A$4:$A$11, 0), MATCH("Conservador", 02B_ESCENARIOS!$B$3:$D$3, 0)), IF(VLOOKUP(A432,04_PROYECTOS!$A:$N,4,FALSE)="Publico_&lt;10M",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VLOOKUP(A432,04_PROYECTOS!$A:$N,10,FALSE))</f>
        <v/>
      </c>
      <c r="I432">
        <f>ROUNDUP(H432/30,0)</f>
        <v/>
      </c>
      <c r="J432">
        <f>EDATE(C432,I432)</f>
        <v/>
      </c>
      <c r="K432">
        <f>G432</f>
        <v/>
      </c>
    </row>
    <row r="433">
      <c r="E433">
        <f>D433*VLOOKUP(A433,04_PROYECTOS!$A:$N,5,FALSE)*(INDEX(02B_ESCENARIOS!$B$4:$D$11, MATCH("MULT_PRECIO", 02B_ESCENARIOS!$A$4:$A$11, 0), MATCH("Conservador", 02B_ESCENARIOS!$B$3:$D$3, 0)))*INDEX(02B_ESCENARIOS!$B$15:$D$19, MATCH(VLOOKUP(A433,04_PROYECTOS!$A:$N,9,FALSE), 02B_ESCENARIOS!$A$15:$A$19, 0), MATCH("Conservador", 02B_ESCENARIOS!$B$14:$D$14, 0))</f>
        <v/>
      </c>
      <c r="F433">
        <f>E433*VLOOKUP(A433,04_PROYECTOS!$A:$N,6,FALSE)</f>
        <v/>
      </c>
      <c r="G433">
        <f>E433+F433</f>
        <v/>
      </c>
      <c r="H433">
        <f>IF(VLOOKUP(A433,04_PROYECTOS!$A:$N,10,FALSE)="", IF(VLOOKUP(A433,04_PROYECTOS!$A:$N,4,FALSE)="Privado", INDEX(02B_ESCENARIOS!$B$4:$D$11, MATCH("DSO_PRIVADO_DEFAULT", 02B_ESCENARIOS!$A$4:$A$11, 0), MATCH("Conservador", 02B_ESCENARIOS!$B$3:$D$3, 0)), IF(VLOOKUP(A433,04_PROYECTOS!$A:$N,4,FALSE)="Publico_&lt;10M",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VLOOKUP(A433,04_PROYECTOS!$A:$N,10,FALSE))</f>
        <v/>
      </c>
      <c r="I433">
        <f>ROUNDUP(H433/30,0)</f>
        <v/>
      </c>
      <c r="J433">
        <f>EDATE(C433,I433)</f>
        <v/>
      </c>
      <c r="K433">
        <f>G433</f>
        <v/>
      </c>
    </row>
    <row r="434">
      <c r="E434">
        <f>D434*VLOOKUP(A434,04_PROYECTOS!$A:$N,5,FALSE)*(INDEX(02B_ESCENARIOS!$B$4:$D$11, MATCH("MULT_PRECIO", 02B_ESCENARIOS!$A$4:$A$11, 0), MATCH("Conservador", 02B_ESCENARIOS!$B$3:$D$3, 0)))*INDEX(02B_ESCENARIOS!$B$15:$D$19, MATCH(VLOOKUP(A434,04_PROYECTOS!$A:$N,9,FALSE), 02B_ESCENARIOS!$A$15:$A$19, 0), MATCH("Conservador", 02B_ESCENARIOS!$B$14:$D$14, 0))</f>
        <v/>
      </c>
      <c r="F434">
        <f>E434*VLOOKUP(A434,04_PROYECTOS!$A:$N,6,FALSE)</f>
        <v/>
      </c>
      <c r="G434">
        <f>E434+F434</f>
        <v/>
      </c>
      <c r="H434">
        <f>IF(VLOOKUP(A434,04_PROYECTOS!$A:$N,10,FALSE)="", IF(VLOOKUP(A434,04_PROYECTOS!$A:$N,4,FALSE)="Privado", INDEX(02B_ESCENARIOS!$B$4:$D$11, MATCH("DSO_PRIVADO_DEFAULT", 02B_ESCENARIOS!$A$4:$A$11, 0), MATCH("Conservador", 02B_ESCENARIOS!$B$3:$D$3, 0)), IF(VLOOKUP(A434,04_PROYECTOS!$A:$N,4,FALSE)="Publico_&lt;10M",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VLOOKUP(A434,04_PROYECTOS!$A:$N,10,FALSE))</f>
        <v/>
      </c>
      <c r="I434">
        <f>ROUNDUP(H434/30,0)</f>
        <v/>
      </c>
      <c r="J434">
        <f>EDATE(C434,I434)</f>
        <v/>
      </c>
      <c r="K434">
        <f>G434</f>
        <v/>
      </c>
    </row>
    <row r="435">
      <c r="E435">
        <f>D435*VLOOKUP(A435,04_PROYECTOS!$A:$N,5,FALSE)*(INDEX(02B_ESCENARIOS!$B$4:$D$11, MATCH("MULT_PRECIO", 02B_ESCENARIOS!$A$4:$A$11, 0), MATCH("Conservador", 02B_ESCENARIOS!$B$3:$D$3, 0)))*INDEX(02B_ESCENARIOS!$B$15:$D$19, MATCH(VLOOKUP(A435,04_PROYECTOS!$A:$N,9,FALSE), 02B_ESCENARIOS!$A$15:$A$19, 0), MATCH("Conservador", 02B_ESCENARIOS!$B$14:$D$14, 0))</f>
        <v/>
      </c>
      <c r="F435">
        <f>E435*VLOOKUP(A435,04_PROYECTOS!$A:$N,6,FALSE)</f>
        <v/>
      </c>
      <c r="G435">
        <f>E435+F435</f>
        <v/>
      </c>
      <c r="H435">
        <f>IF(VLOOKUP(A435,04_PROYECTOS!$A:$N,10,FALSE)="", IF(VLOOKUP(A435,04_PROYECTOS!$A:$N,4,FALSE)="Privado", INDEX(02B_ESCENARIOS!$B$4:$D$11, MATCH("DSO_PRIVADO_DEFAULT", 02B_ESCENARIOS!$A$4:$A$11, 0), MATCH("Conservador", 02B_ESCENARIOS!$B$3:$D$3, 0)), IF(VLOOKUP(A435,04_PROYECTOS!$A:$N,4,FALSE)="Publico_&lt;10M",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VLOOKUP(A435,04_PROYECTOS!$A:$N,10,FALSE))</f>
        <v/>
      </c>
      <c r="I435">
        <f>ROUNDUP(H435/30,0)</f>
        <v/>
      </c>
      <c r="J435">
        <f>EDATE(C435,I435)</f>
        <v/>
      </c>
      <c r="K435">
        <f>G435</f>
        <v/>
      </c>
    </row>
    <row r="436">
      <c r="E436">
        <f>D436*VLOOKUP(A436,04_PROYECTOS!$A:$N,5,FALSE)*(INDEX(02B_ESCENARIOS!$B$4:$D$11, MATCH("MULT_PRECIO", 02B_ESCENARIOS!$A$4:$A$11, 0), MATCH("Conservador", 02B_ESCENARIOS!$B$3:$D$3, 0)))*INDEX(02B_ESCENARIOS!$B$15:$D$19, MATCH(VLOOKUP(A436,04_PROYECTOS!$A:$N,9,FALSE), 02B_ESCENARIOS!$A$15:$A$19, 0), MATCH("Conservador", 02B_ESCENARIOS!$B$14:$D$14, 0))</f>
        <v/>
      </c>
      <c r="F436">
        <f>E436*VLOOKUP(A436,04_PROYECTOS!$A:$N,6,FALSE)</f>
        <v/>
      </c>
      <c r="G436">
        <f>E436+F436</f>
        <v/>
      </c>
      <c r="H436">
        <f>IF(VLOOKUP(A436,04_PROYECTOS!$A:$N,10,FALSE)="", IF(VLOOKUP(A436,04_PROYECTOS!$A:$N,4,FALSE)="Privado", INDEX(02B_ESCENARIOS!$B$4:$D$11, MATCH("DSO_PRIVADO_DEFAULT", 02B_ESCENARIOS!$A$4:$A$11, 0), MATCH("Conservador", 02B_ESCENARIOS!$B$3:$D$3, 0)), IF(VLOOKUP(A436,04_PROYECTOS!$A:$N,4,FALSE)="Publico_&lt;10M",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VLOOKUP(A436,04_PROYECTOS!$A:$N,10,FALSE))</f>
        <v/>
      </c>
      <c r="I436">
        <f>ROUNDUP(H436/30,0)</f>
        <v/>
      </c>
      <c r="J436">
        <f>EDATE(C436,I436)</f>
        <v/>
      </c>
      <c r="K436">
        <f>G436</f>
        <v/>
      </c>
    </row>
    <row r="437">
      <c r="E437">
        <f>D437*VLOOKUP(A437,04_PROYECTOS!$A:$N,5,FALSE)*(INDEX(02B_ESCENARIOS!$B$4:$D$11, MATCH("MULT_PRECIO", 02B_ESCENARIOS!$A$4:$A$11, 0), MATCH("Conservador", 02B_ESCENARIOS!$B$3:$D$3, 0)))*INDEX(02B_ESCENARIOS!$B$15:$D$19, MATCH(VLOOKUP(A437,04_PROYECTOS!$A:$N,9,FALSE), 02B_ESCENARIOS!$A$15:$A$19, 0), MATCH("Conservador", 02B_ESCENARIOS!$B$14:$D$14, 0))</f>
        <v/>
      </c>
      <c r="F437">
        <f>E437*VLOOKUP(A437,04_PROYECTOS!$A:$N,6,FALSE)</f>
        <v/>
      </c>
      <c r="G437">
        <f>E437+F437</f>
        <v/>
      </c>
      <c r="H437">
        <f>IF(VLOOKUP(A437,04_PROYECTOS!$A:$N,10,FALSE)="", IF(VLOOKUP(A437,04_PROYECTOS!$A:$N,4,FALSE)="Privado", INDEX(02B_ESCENARIOS!$B$4:$D$11, MATCH("DSO_PRIVADO_DEFAULT", 02B_ESCENARIOS!$A$4:$A$11, 0), MATCH("Conservador", 02B_ESCENARIOS!$B$3:$D$3, 0)), IF(VLOOKUP(A437,04_PROYECTOS!$A:$N,4,FALSE)="Publico_&lt;10M",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VLOOKUP(A437,04_PROYECTOS!$A:$N,10,FALSE))</f>
        <v/>
      </c>
      <c r="I437">
        <f>ROUNDUP(H437/30,0)</f>
        <v/>
      </c>
      <c r="J437">
        <f>EDATE(C437,I437)</f>
        <v/>
      </c>
      <c r="K437">
        <f>G437</f>
        <v/>
      </c>
    </row>
    <row r="438">
      <c r="E438">
        <f>D438*VLOOKUP(A438,04_PROYECTOS!$A:$N,5,FALSE)*(INDEX(02B_ESCENARIOS!$B$4:$D$11, MATCH("MULT_PRECIO", 02B_ESCENARIOS!$A$4:$A$11, 0), MATCH("Conservador", 02B_ESCENARIOS!$B$3:$D$3, 0)))*INDEX(02B_ESCENARIOS!$B$15:$D$19, MATCH(VLOOKUP(A438,04_PROYECTOS!$A:$N,9,FALSE), 02B_ESCENARIOS!$A$15:$A$19, 0), MATCH("Conservador", 02B_ESCENARIOS!$B$14:$D$14, 0))</f>
        <v/>
      </c>
      <c r="F438">
        <f>E438*VLOOKUP(A438,04_PROYECTOS!$A:$N,6,FALSE)</f>
        <v/>
      </c>
      <c r="G438">
        <f>E438+F438</f>
        <v/>
      </c>
      <c r="H438">
        <f>IF(VLOOKUP(A438,04_PROYECTOS!$A:$N,10,FALSE)="", IF(VLOOKUP(A438,04_PROYECTOS!$A:$N,4,FALSE)="Privado", INDEX(02B_ESCENARIOS!$B$4:$D$11, MATCH("DSO_PRIVADO_DEFAULT", 02B_ESCENARIOS!$A$4:$A$11, 0), MATCH("Conservador", 02B_ESCENARIOS!$B$3:$D$3, 0)), IF(VLOOKUP(A438,04_PROYECTOS!$A:$N,4,FALSE)="Publico_&lt;10M",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VLOOKUP(A438,04_PROYECTOS!$A:$N,10,FALSE))</f>
        <v/>
      </c>
      <c r="I438">
        <f>ROUNDUP(H438/30,0)</f>
        <v/>
      </c>
      <c r="J438">
        <f>EDATE(C438,I438)</f>
        <v/>
      </c>
      <c r="K438">
        <f>G438</f>
        <v/>
      </c>
    </row>
    <row r="439">
      <c r="E439">
        <f>D439*VLOOKUP(A439,04_PROYECTOS!$A:$N,5,FALSE)*(INDEX(02B_ESCENARIOS!$B$4:$D$11, MATCH("MULT_PRECIO", 02B_ESCENARIOS!$A$4:$A$11, 0), MATCH("Conservador", 02B_ESCENARIOS!$B$3:$D$3, 0)))*INDEX(02B_ESCENARIOS!$B$15:$D$19, MATCH(VLOOKUP(A439,04_PROYECTOS!$A:$N,9,FALSE), 02B_ESCENARIOS!$A$15:$A$19, 0), MATCH("Conservador", 02B_ESCENARIOS!$B$14:$D$14, 0))</f>
        <v/>
      </c>
      <c r="F439">
        <f>E439*VLOOKUP(A439,04_PROYECTOS!$A:$N,6,FALSE)</f>
        <v/>
      </c>
      <c r="G439">
        <f>E439+F439</f>
        <v/>
      </c>
      <c r="H439">
        <f>IF(VLOOKUP(A439,04_PROYECTOS!$A:$N,10,FALSE)="", IF(VLOOKUP(A439,04_PROYECTOS!$A:$N,4,FALSE)="Privado", INDEX(02B_ESCENARIOS!$B$4:$D$11, MATCH("DSO_PRIVADO_DEFAULT", 02B_ESCENARIOS!$A$4:$A$11, 0), MATCH("Conservador", 02B_ESCENARIOS!$B$3:$D$3, 0)), IF(VLOOKUP(A439,04_PROYECTOS!$A:$N,4,FALSE)="Publico_&lt;10M",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VLOOKUP(A439,04_PROYECTOS!$A:$N,10,FALSE))</f>
        <v/>
      </c>
      <c r="I439">
        <f>ROUNDUP(H439/30,0)</f>
        <v/>
      </c>
      <c r="J439">
        <f>EDATE(C439,I439)</f>
        <v/>
      </c>
      <c r="K439">
        <f>G439</f>
        <v/>
      </c>
    </row>
    <row r="440">
      <c r="E440">
        <f>D440*VLOOKUP(A440,04_PROYECTOS!$A:$N,5,FALSE)*(INDEX(02B_ESCENARIOS!$B$4:$D$11, MATCH("MULT_PRECIO", 02B_ESCENARIOS!$A$4:$A$11, 0), MATCH("Conservador", 02B_ESCENARIOS!$B$3:$D$3, 0)))*INDEX(02B_ESCENARIOS!$B$15:$D$19, MATCH(VLOOKUP(A440,04_PROYECTOS!$A:$N,9,FALSE), 02B_ESCENARIOS!$A$15:$A$19, 0), MATCH("Conservador", 02B_ESCENARIOS!$B$14:$D$14, 0))</f>
        <v/>
      </c>
      <c r="F440">
        <f>E440*VLOOKUP(A440,04_PROYECTOS!$A:$N,6,FALSE)</f>
        <v/>
      </c>
      <c r="G440">
        <f>E440+F440</f>
        <v/>
      </c>
      <c r="H440">
        <f>IF(VLOOKUP(A440,04_PROYECTOS!$A:$N,10,FALSE)="", IF(VLOOKUP(A440,04_PROYECTOS!$A:$N,4,FALSE)="Privado", INDEX(02B_ESCENARIOS!$B$4:$D$11, MATCH("DSO_PRIVADO_DEFAULT", 02B_ESCENARIOS!$A$4:$A$11, 0), MATCH("Conservador", 02B_ESCENARIOS!$B$3:$D$3, 0)), IF(VLOOKUP(A440,04_PROYECTOS!$A:$N,4,FALSE)="Publico_&lt;10M",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VLOOKUP(A440,04_PROYECTOS!$A:$N,10,FALSE))</f>
        <v/>
      </c>
      <c r="I440">
        <f>ROUNDUP(H440/30,0)</f>
        <v/>
      </c>
      <c r="J440">
        <f>EDATE(C440,I440)</f>
        <v/>
      </c>
      <c r="K440">
        <f>G440</f>
        <v/>
      </c>
    </row>
    <row r="441">
      <c r="E441">
        <f>D441*VLOOKUP(A441,04_PROYECTOS!$A:$N,5,FALSE)*(INDEX(02B_ESCENARIOS!$B$4:$D$11, MATCH("MULT_PRECIO", 02B_ESCENARIOS!$A$4:$A$11, 0), MATCH("Conservador", 02B_ESCENARIOS!$B$3:$D$3, 0)))*INDEX(02B_ESCENARIOS!$B$15:$D$19, MATCH(VLOOKUP(A441,04_PROYECTOS!$A:$N,9,FALSE), 02B_ESCENARIOS!$A$15:$A$19, 0), MATCH("Conservador", 02B_ESCENARIOS!$B$14:$D$14, 0))</f>
        <v/>
      </c>
      <c r="F441">
        <f>E441*VLOOKUP(A441,04_PROYECTOS!$A:$N,6,FALSE)</f>
        <v/>
      </c>
      <c r="G441">
        <f>E441+F441</f>
        <v/>
      </c>
      <c r="H441">
        <f>IF(VLOOKUP(A441,04_PROYECTOS!$A:$N,10,FALSE)="", IF(VLOOKUP(A441,04_PROYECTOS!$A:$N,4,FALSE)="Privado", INDEX(02B_ESCENARIOS!$B$4:$D$11, MATCH("DSO_PRIVADO_DEFAULT", 02B_ESCENARIOS!$A$4:$A$11, 0), MATCH("Conservador", 02B_ESCENARIOS!$B$3:$D$3, 0)), IF(VLOOKUP(A441,04_PROYECTOS!$A:$N,4,FALSE)="Publico_&lt;10M",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VLOOKUP(A441,04_PROYECTOS!$A:$N,10,FALSE))</f>
        <v/>
      </c>
      <c r="I441">
        <f>ROUNDUP(H441/30,0)</f>
        <v/>
      </c>
      <c r="J441">
        <f>EDATE(C441,I441)</f>
        <v/>
      </c>
      <c r="K441">
        <f>G441</f>
        <v/>
      </c>
    </row>
    <row r="442">
      <c r="E442">
        <f>D442*VLOOKUP(A442,04_PROYECTOS!$A:$N,5,FALSE)*(INDEX(02B_ESCENARIOS!$B$4:$D$11, MATCH("MULT_PRECIO", 02B_ESCENARIOS!$A$4:$A$11, 0), MATCH("Conservador", 02B_ESCENARIOS!$B$3:$D$3, 0)))*INDEX(02B_ESCENARIOS!$B$15:$D$19, MATCH(VLOOKUP(A442,04_PROYECTOS!$A:$N,9,FALSE), 02B_ESCENARIOS!$A$15:$A$19, 0), MATCH("Conservador", 02B_ESCENARIOS!$B$14:$D$14, 0))</f>
        <v/>
      </c>
      <c r="F442">
        <f>E442*VLOOKUP(A442,04_PROYECTOS!$A:$N,6,FALSE)</f>
        <v/>
      </c>
      <c r="G442">
        <f>E442+F442</f>
        <v/>
      </c>
      <c r="H442">
        <f>IF(VLOOKUP(A442,04_PROYECTOS!$A:$N,10,FALSE)="", IF(VLOOKUP(A442,04_PROYECTOS!$A:$N,4,FALSE)="Privado", INDEX(02B_ESCENARIOS!$B$4:$D$11, MATCH("DSO_PRIVADO_DEFAULT", 02B_ESCENARIOS!$A$4:$A$11, 0), MATCH("Conservador", 02B_ESCENARIOS!$B$3:$D$3, 0)), IF(VLOOKUP(A442,04_PROYECTOS!$A:$N,4,FALSE)="Publico_&lt;10M",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VLOOKUP(A442,04_PROYECTOS!$A:$N,10,FALSE))</f>
        <v/>
      </c>
      <c r="I442">
        <f>ROUNDUP(H442/30,0)</f>
        <v/>
      </c>
      <c r="J442">
        <f>EDATE(C442,I442)</f>
        <v/>
      </c>
      <c r="K442">
        <f>G442</f>
        <v/>
      </c>
    </row>
    <row r="443">
      <c r="E443">
        <f>D443*VLOOKUP(A443,04_PROYECTOS!$A:$N,5,FALSE)*(INDEX(02B_ESCENARIOS!$B$4:$D$11, MATCH("MULT_PRECIO", 02B_ESCENARIOS!$A$4:$A$11, 0), MATCH("Conservador", 02B_ESCENARIOS!$B$3:$D$3, 0)))*INDEX(02B_ESCENARIOS!$B$15:$D$19, MATCH(VLOOKUP(A443,04_PROYECTOS!$A:$N,9,FALSE), 02B_ESCENARIOS!$A$15:$A$19, 0), MATCH("Conservador", 02B_ESCENARIOS!$B$14:$D$14, 0))</f>
        <v/>
      </c>
      <c r="F443">
        <f>E443*VLOOKUP(A443,04_PROYECTOS!$A:$N,6,FALSE)</f>
        <v/>
      </c>
      <c r="G443">
        <f>E443+F443</f>
        <v/>
      </c>
      <c r="H443">
        <f>IF(VLOOKUP(A443,04_PROYECTOS!$A:$N,10,FALSE)="", IF(VLOOKUP(A443,04_PROYECTOS!$A:$N,4,FALSE)="Privado", INDEX(02B_ESCENARIOS!$B$4:$D$11, MATCH("DSO_PRIVADO_DEFAULT", 02B_ESCENARIOS!$A$4:$A$11, 0), MATCH("Conservador", 02B_ESCENARIOS!$B$3:$D$3, 0)), IF(VLOOKUP(A443,04_PROYECTOS!$A:$N,4,FALSE)="Publico_&lt;10M",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VLOOKUP(A443,04_PROYECTOS!$A:$N,10,FALSE))</f>
        <v/>
      </c>
      <c r="I443">
        <f>ROUNDUP(H443/30,0)</f>
        <v/>
      </c>
      <c r="J443">
        <f>EDATE(C443,I443)</f>
        <v/>
      </c>
      <c r="K443">
        <f>G443</f>
        <v/>
      </c>
    </row>
    <row r="444">
      <c r="E444">
        <f>D444*VLOOKUP(A444,04_PROYECTOS!$A:$N,5,FALSE)*(INDEX(02B_ESCENARIOS!$B$4:$D$11, MATCH("MULT_PRECIO", 02B_ESCENARIOS!$A$4:$A$11, 0), MATCH("Conservador", 02B_ESCENARIOS!$B$3:$D$3, 0)))*INDEX(02B_ESCENARIOS!$B$15:$D$19, MATCH(VLOOKUP(A444,04_PROYECTOS!$A:$N,9,FALSE), 02B_ESCENARIOS!$A$15:$A$19, 0), MATCH("Conservador", 02B_ESCENARIOS!$B$14:$D$14, 0))</f>
        <v/>
      </c>
      <c r="F444">
        <f>E444*VLOOKUP(A444,04_PROYECTOS!$A:$N,6,FALSE)</f>
        <v/>
      </c>
      <c r="G444">
        <f>E444+F444</f>
        <v/>
      </c>
      <c r="H444">
        <f>IF(VLOOKUP(A444,04_PROYECTOS!$A:$N,10,FALSE)="", IF(VLOOKUP(A444,04_PROYECTOS!$A:$N,4,FALSE)="Privado", INDEX(02B_ESCENARIOS!$B$4:$D$11, MATCH("DSO_PRIVADO_DEFAULT", 02B_ESCENARIOS!$A$4:$A$11, 0), MATCH("Conservador", 02B_ESCENARIOS!$B$3:$D$3, 0)), IF(VLOOKUP(A444,04_PROYECTOS!$A:$N,4,FALSE)="Publico_&lt;10M",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VLOOKUP(A444,04_PROYECTOS!$A:$N,10,FALSE))</f>
        <v/>
      </c>
      <c r="I444">
        <f>ROUNDUP(H444/30,0)</f>
        <v/>
      </c>
      <c r="J444">
        <f>EDATE(C444,I444)</f>
        <v/>
      </c>
      <c r="K444">
        <f>G444</f>
        <v/>
      </c>
    </row>
    <row r="445">
      <c r="E445">
        <f>D445*VLOOKUP(A445,04_PROYECTOS!$A:$N,5,FALSE)*(INDEX(02B_ESCENARIOS!$B$4:$D$11, MATCH("MULT_PRECIO", 02B_ESCENARIOS!$A$4:$A$11, 0), MATCH("Conservador", 02B_ESCENARIOS!$B$3:$D$3, 0)))*INDEX(02B_ESCENARIOS!$B$15:$D$19, MATCH(VLOOKUP(A445,04_PROYECTOS!$A:$N,9,FALSE), 02B_ESCENARIOS!$A$15:$A$19, 0), MATCH("Conservador", 02B_ESCENARIOS!$B$14:$D$14, 0))</f>
        <v/>
      </c>
      <c r="F445">
        <f>E445*VLOOKUP(A445,04_PROYECTOS!$A:$N,6,FALSE)</f>
        <v/>
      </c>
      <c r="G445">
        <f>E445+F445</f>
        <v/>
      </c>
      <c r="H445">
        <f>IF(VLOOKUP(A445,04_PROYECTOS!$A:$N,10,FALSE)="", IF(VLOOKUP(A445,04_PROYECTOS!$A:$N,4,FALSE)="Privado", INDEX(02B_ESCENARIOS!$B$4:$D$11, MATCH("DSO_PRIVADO_DEFAULT", 02B_ESCENARIOS!$A$4:$A$11, 0), MATCH("Conservador", 02B_ESCENARIOS!$B$3:$D$3, 0)), IF(VLOOKUP(A445,04_PROYECTOS!$A:$N,4,FALSE)="Publico_&lt;10M",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VLOOKUP(A445,04_PROYECTOS!$A:$N,10,FALSE))</f>
        <v/>
      </c>
      <c r="I445">
        <f>ROUNDUP(H445/30,0)</f>
        <v/>
      </c>
      <c r="J445">
        <f>EDATE(C445,I445)</f>
        <v/>
      </c>
      <c r="K445">
        <f>G445</f>
        <v/>
      </c>
    </row>
    <row r="446">
      <c r="E446">
        <f>D446*VLOOKUP(A446,04_PROYECTOS!$A:$N,5,FALSE)*(INDEX(02B_ESCENARIOS!$B$4:$D$11, MATCH("MULT_PRECIO", 02B_ESCENARIOS!$A$4:$A$11, 0), MATCH("Conservador", 02B_ESCENARIOS!$B$3:$D$3, 0)))*INDEX(02B_ESCENARIOS!$B$15:$D$19, MATCH(VLOOKUP(A446,04_PROYECTOS!$A:$N,9,FALSE), 02B_ESCENARIOS!$A$15:$A$19, 0), MATCH("Conservador", 02B_ESCENARIOS!$B$14:$D$14, 0))</f>
        <v/>
      </c>
      <c r="F446">
        <f>E446*VLOOKUP(A446,04_PROYECTOS!$A:$N,6,FALSE)</f>
        <v/>
      </c>
      <c r="G446">
        <f>E446+F446</f>
        <v/>
      </c>
      <c r="H446">
        <f>IF(VLOOKUP(A446,04_PROYECTOS!$A:$N,10,FALSE)="", IF(VLOOKUP(A446,04_PROYECTOS!$A:$N,4,FALSE)="Privado", INDEX(02B_ESCENARIOS!$B$4:$D$11, MATCH("DSO_PRIVADO_DEFAULT", 02B_ESCENARIOS!$A$4:$A$11, 0), MATCH("Conservador", 02B_ESCENARIOS!$B$3:$D$3, 0)), IF(VLOOKUP(A446,04_PROYECTOS!$A:$N,4,FALSE)="Publico_&lt;10M",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VLOOKUP(A446,04_PROYECTOS!$A:$N,10,FALSE))</f>
        <v/>
      </c>
      <c r="I446">
        <f>ROUNDUP(H446/30,0)</f>
        <v/>
      </c>
      <c r="J446">
        <f>EDATE(C446,I446)</f>
        <v/>
      </c>
      <c r="K446">
        <f>G446</f>
        <v/>
      </c>
    </row>
    <row r="447">
      <c r="E447">
        <f>D447*VLOOKUP(A447,04_PROYECTOS!$A:$N,5,FALSE)*(INDEX(02B_ESCENARIOS!$B$4:$D$11, MATCH("MULT_PRECIO", 02B_ESCENARIOS!$A$4:$A$11, 0), MATCH("Conservador", 02B_ESCENARIOS!$B$3:$D$3, 0)))*INDEX(02B_ESCENARIOS!$B$15:$D$19, MATCH(VLOOKUP(A447,04_PROYECTOS!$A:$N,9,FALSE), 02B_ESCENARIOS!$A$15:$A$19, 0), MATCH("Conservador", 02B_ESCENARIOS!$B$14:$D$14, 0))</f>
        <v/>
      </c>
      <c r="F447">
        <f>E447*VLOOKUP(A447,04_PROYECTOS!$A:$N,6,FALSE)</f>
        <v/>
      </c>
      <c r="G447">
        <f>E447+F447</f>
        <v/>
      </c>
      <c r="H447">
        <f>IF(VLOOKUP(A447,04_PROYECTOS!$A:$N,10,FALSE)="", IF(VLOOKUP(A447,04_PROYECTOS!$A:$N,4,FALSE)="Privado", INDEX(02B_ESCENARIOS!$B$4:$D$11, MATCH("DSO_PRIVADO_DEFAULT", 02B_ESCENARIOS!$A$4:$A$11, 0), MATCH("Conservador", 02B_ESCENARIOS!$B$3:$D$3, 0)), IF(VLOOKUP(A447,04_PROYECTOS!$A:$N,4,FALSE)="Publico_&lt;10M",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VLOOKUP(A447,04_PROYECTOS!$A:$N,10,FALSE))</f>
        <v/>
      </c>
      <c r="I447">
        <f>ROUNDUP(H447/30,0)</f>
        <v/>
      </c>
      <c r="J447">
        <f>EDATE(C447,I447)</f>
        <v/>
      </c>
      <c r="K447">
        <f>G447</f>
        <v/>
      </c>
    </row>
    <row r="448">
      <c r="E448">
        <f>D448*VLOOKUP(A448,04_PROYECTOS!$A:$N,5,FALSE)*(INDEX(02B_ESCENARIOS!$B$4:$D$11, MATCH("MULT_PRECIO", 02B_ESCENARIOS!$A$4:$A$11, 0), MATCH("Conservador", 02B_ESCENARIOS!$B$3:$D$3, 0)))*INDEX(02B_ESCENARIOS!$B$15:$D$19, MATCH(VLOOKUP(A448,04_PROYECTOS!$A:$N,9,FALSE), 02B_ESCENARIOS!$A$15:$A$19, 0), MATCH("Conservador", 02B_ESCENARIOS!$B$14:$D$14, 0))</f>
        <v/>
      </c>
      <c r="F448">
        <f>E448*VLOOKUP(A448,04_PROYECTOS!$A:$N,6,FALSE)</f>
        <v/>
      </c>
      <c r="G448">
        <f>E448+F448</f>
        <v/>
      </c>
      <c r="H448">
        <f>IF(VLOOKUP(A448,04_PROYECTOS!$A:$N,10,FALSE)="", IF(VLOOKUP(A448,04_PROYECTOS!$A:$N,4,FALSE)="Privado", INDEX(02B_ESCENARIOS!$B$4:$D$11, MATCH("DSO_PRIVADO_DEFAULT", 02B_ESCENARIOS!$A$4:$A$11, 0), MATCH("Conservador", 02B_ESCENARIOS!$B$3:$D$3, 0)), IF(VLOOKUP(A448,04_PROYECTOS!$A:$N,4,FALSE)="Publico_&lt;10M",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VLOOKUP(A448,04_PROYECTOS!$A:$N,10,FALSE))</f>
        <v/>
      </c>
      <c r="I448">
        <f>ROUNDUP(H448/30,0)</f>
        <v/>
      </c>
      <c r="J448">
        <f>EDATE(C448,I448)</f>
        <v/>
      </c>
      <c r="K448">
        <f>G448</f>
        <v/>
      </c>
    </row>
    <row r="449">
      <c r="E449">
        <f>D449*VLOOKUP(A449,04_PROYECTOS!$A:$N,5,FALSE)*(INDEX(02B_ESCENARIOS!$B$4:$D$11, MATCH("MULT_PRECIO", 02B_ESCENARIOS!$A$4:$A$11, 0), MATCH("Conservador", 02B_ESCENARIOS!$B$3:$D$3, 0)))*INDEX(02B_ESCENARIOS!$B$15:$D$19, MATCH(VLOOKUP(A449,04_PROYECTOS!$A:$N,9,FALSE), 02B_ESCENARIOS!$A$15:$A$19, 0), MATCH("Conservador", 02B_ESCENARIOS!$B$14:$D$14, 0))</f>
        <v/>
      </c>
      <c r="F449">
        <f>E449*VLOOKUP(A449,04_PROYECTOS!$A:$N,6,FALSE)</f>
        <v/>
      </c>
      <c r="G449">
        <f>E449+F449</f>
        <v/>
      </c>
      <c r="H449">
        <f>IF(VLOOKUP(A449,04_PROYECTOS!$A:$N,10,FALSE)="", IF(VLOOKUP(A449,04_PROYECTOS!$A:$N,4,FALSE)="Privado", INDEX(02B_ESCENARIOS!$B$4:$D$11, MATCH("DSO_PRIVADO_DEFAULT", 02B_ESCENARIOS!$A$4:$A$11, 0), MATCH("Conservador", 02B_ESCENARIOS!$B$3:$D$3, 0)), IF(VLOOKUP(A449,04_PROYECTOS!$A:$N,4,FALSE)="Publico_&lt;10M",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VLOOKUP(A449,04_PROYECTOS!$A:$N,10,FALSE))</f>
        <v/>
      </c>
      <c r="I449">
        <f>ROUNDUP(H449/30,0)</f>
        <v/>
      </c>
      <c r="J449">
        <f>EDATE(C449,I449)</f>
        <v/>
      </c>
      <c r="K449">
        <f>G449</f>
        <v/>
      </c>
    </row>
    <row r="450">
      <c r="E450">
        <f>D450*VLOOKUP(A450,04_PROYECTOS!$A:$N,5,FALSE)*(INDEX(02B_ESCENARIOS!$B$4:$D$11, MATCH("MULT_PRECIO", 02B_ESCENARIOS!$A$4:$A$11, 0), MATCH("Conservador", 02B_ESCENARIOS!$B$3:$D$3, 0)))*INDEX(02B_ESCENARIOS!$B$15:$D$19, MATCH(VLOOKUP(A450,04_PROYECTOS!$A:$N,9,FALSE), 02B_ESCENARIOS!$A$15:$A$19, 0), MATCH("Conservador", 02B_ESCENARIOS!$B$14:$D$14, 0))</f>
        <v/>
      </c>
      <c r="F450">
        <f>E450*VLOOKUP(A450,04_PROYECTOS!$A:$N,6,FALSE)</f>
        <v/>
      </c>
      <c r="G450">
        <f>E450+F450</f>
        <v/>
      </c>
      <c r="H450">
        <f>IF(VLOOKUP(A450,04_PROYECTOS!$A:$N,10,FALSE)="", IF(VLOOKUP(A450,04_PROYECTOS!$A:$N,4,FALSE)="Privado", INDEX(02B_ESCENARIOS!$B$4:$D$11, MATCH("DSO_PRIVADO_DEFAULT", 02B_ESCENARIOS!$A$4:$A$11, 0), MATCH("Conservador", 02B_ESCENARIOS!$B$3:$D$3, 0)), IF(VLOOKUP(A450,04_PROYECTOS!$A:$N,4,FALSE)="Publico_&lt;10M",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VLOOKUP(A450,04_PROYECTOS!$A:$N,10,FALSE))</f>
        <v/>
      </c>
      <c r="I450">
        <f>ROUNDUP(H450/30,0)</f>
        <v/>
      </c>
      <c r="J450">
        <f>EDATE(C450,I450)</f>
        <v/>
      </c>
      <c r="K450">
        <f>G450</f>
        <v/>
      </c>
    </row>
    <row r="451">
      <c r="E451">
        <f>D451*VLOOKUP(A451,04_PROYECTOS!$A:$N,5,FALSE)*(INDEX(02B_ESCENARIOS!$B$4:$D$11, MATCH("MULT_PRECIO", 02B_ESCENARIOS!$A$4:$A$11, 0), MATCH("Conservador", 02B_ESCENARIOS!$B$3:$D$3, 0)))*INDEX(02B_ESCENARIOS!$B$15:$D$19, MATCH(VLOOKUP(A451,04_PROYECTOS!$A:$N,9,FALSE), 02B_ESCENARIOS!$A$15:$A$19, 0), MATCH("Conservador", 02B_ESCENARIOS!$B$14:$D$14, 0))</f>
        <v/>
      </c>
      <c r="F451">
        <f>E451*VLOOKUP(A451,04_PROYECTOS!$A:$N,6,FALSE)</f>
        <v/>
      </c>
      <c r="G451">
        <f>E451+F451</f>
        <v/>
      </c>
      <c r="H451">
        <f>IF(VLOOKUP(A451,04_PROYECTOS!$A:$N,10,FALSE)="", IF(VLOOKUP(A451,04_PROYECTOS!$A:$N,4,FALSE)="Privado", INDEX(02B_ESCENARIOS!$B$4:$D$11, MATCH("DSO_PRIVADO_DEFAULT", 02B_ESCENARIOS!$A$4:$A$11, 0), MATCH("Conservador", 02B_ESCENARIOS!$B$3:$D$3, 0)), IF(VLOOKUP(A451,04_PROYECTOS!$A:$N,4,FALSE)="Publico_&lt;10M",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VLOOKUP(A451,04_PROYECTOS!$A:$N,10,FALSE))</f>
        <v/>
      </c>
      <c r="I451">
        <f>ROUNDUP(H451/30,0)</f>
        <v/>
      </c>
      <c r="J451">
        <f>EDATE(C451,I451)</f>
        <v/>
      </c>
      <c r="K451">
        <f>G451</f>
        <v/>
      </c>
    </row>
    <row r="452">
      <c r="E452">
        <f>D452*VLOOKUP(A452,04_PROYECTOS!$A:$N,5,FALSE)*(INDEX(02B_ESCENARIOS!$B$4:$D$11, MATCH("MULT_PRECIO", 02B_ESCENARIOS!$A$4:$A$11, 0), MATCH("Conservador", 02B_ESCENARIOS!$B$3:$D$3, 0)))*INDEX(02B_ESCENARIOS!$B$15:$D$19, MATCH(VLOOKUP(A452,04_PROYECTOS!$A:$N,9,FALSE), 02B_ESCENARIOS!$A$15:$A$19, 0), MATCH("Conservador", 02B_ESCENARIOS!$B$14:$D$14, 0))</f>
        <v/>
      </c>
      <c r="F452">
        <f>E452*VLOOKUP(A452,04_PROYECTOS!$A:$N,6,FALSE)</f>
        <v/>
      </c>
      <c r="G452">
        <f>E452+F452</f>
        <v/>
      </c>
      <c r="H452">
        <f>IF(VLOOKUP(A452,04_PROYECTOS!$A:$N,10,FALSE)="", IF(VLOOKUP(A452,04_PROYECTOS!$A:$N,4,FALSE)="Privado", INDEX(02B_ESCENARIOS!$B$4:$D$11, MATCH("DSO_PRIVADO_DEFAULT", 02B_ESCENARIOS!$A$4:$A$11, 0), MATCH("Conservador", 02B_ESCENARIOS!$B$3:$D$3, 0)), IF(VLOOKUP(A452,04_PROYECTOS!$A:$N,4,FALSE)="Publico_&lt;10M",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VLOOKUP(A452,04_PROYECTOS!$A:$N,10,FALSE))</f>
        <v/>
      </c>
      <c r="I452">
        <f>ROUNDUP(H452/30,0)</f>
        <v/>
      </c>
      <c r="J452">
        <f>EDATE(C452,I452)</f>
        <v/>
      </c>
      <c r="K452">
        <f>G452</f>
        <v/>
      </c>
    </row>
    <row r="453">
      <c r="E453">
        <f>D453*VLOOKUP(A453,04_PROYECTOS!$A:$N,5,FALSE)*(INDEX(02B_ESCENARIOS!$B$4:$D$11, MATCH("MULT_PRECIO", 02B_ESCENARIOS!$A$4:$A$11, 0), MATCH("Conservador", 02B_ESCENARIOS!$B$3:$D$3, 0)))*INDEX(02B_ESCENARIOS!$B$15:$D$19, MATCH(VLOOKUP(A453,04_PROYECTOS!$A:$N,9,FALSE), 02B_ESCENARIOS!$A$15:$A$19, 0), MATCH("Conservador", 02B_ESCENARIOS!$B$14:$D$14, 0))</f>
        <v/>
      </c>
      <c r="F453">
        <f>E453*VLOOKUP(A453,04_PROYECTOS!$A:$N,6,FALSE)</f>
        <v/>
      </c>
      <c r="G453">
        <f>E453+F453</f>
        <v/>
      </c>
      <c r="H453">
        <f>IF(VLOOKUP(A453,04_PROYECTOS!$A:$N,10,FALSE)="", IF(VLOOKUP(A453,04_PROYECTOS!$A:$N,4,FALSE)="Privado", INDEX(02B_ESCENARIOS!$B$4:$D$11, MATCH("DSO_PRIVADO_DEFAULT", 02B_ESCENARIOS!$A$4:$A$11, 0), MATCH("Conservador", 02B_ESCENARIOS!$B$3:$D$3, 0)), IF(VLOOKUP(A453,04_PROYECTOS!$A:$N,4,FALSE)="Publico_&lt;10M",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VLOOKUP(A453,04_PROYECTOS!$A:$N,10,FALSE))</f>
        <v/>
      </c>
      <c r="I453">
        <f>ROUNDUP(H453/30,0)</f>
        <v/>
      </c>
      <c r="J453">
        <f>EDATE(C453,I453)</f>
        <v/>
      </c>
      <c r="K453">
        <f>G453</f>
        <v/>
      </c>
    </row>
    <row r="454">
      <c r="E454">
        <f>D454*VLOOKUP(A454,04_PROYECTOS!$A:$N,5,FALSE)*(INDEX(02B_ESCENARIOS!$B$4:$D$11, MATCH("MULT_PRECIO", 02B_ESCENARIOS!$A$4:$A$11, 0), MATCH("Conservador", 02B_ESCENARIOS!$B$3:$D$3, 0)))*INDEX(02B_ESCENARIOS!$B$15:$D$19, MATCH(VLOOKUP(A454,04_PROYECTOS!$A:$N,9,FALSE), 02B_ESCENARIOS!$A$15:$A$19, 0), MATCH("Conservador", 02B_ESCENARIOS!$B$14:$D$14, 0))</f>
        <v/>
      </c>
      <c r="F454">
        <f>E454*VLOOKUP(A454,04_PROYECTOS!$A:$N,6,FALSE)</f>
        <v/>
      </c>
      <c r="G454">
        <f>E454+F454</f>
        <v/>
      </c>
      <c r="H454">
        <f>IF(VLOOKUP(A454,04_PROYECTOS!$A:$N,10,FALSE)="", IF(VLOOKUP(A454,04_PROYECTOS!$A:$N,4,FALSE)="Privado", INDEX(02B_ESCENARIOS!$B$4:$D$11, MATCH("DSO_PRIVADO_DEFAULT", 02B_ESCENARIOS!$A$4:$A$11, 0), MATCH("Conservador", 02B_ESCENARIOS!$B$3:$D$3, 0)), IF(VLOOKUP(A454,04_PROYECTOS!$A:$N,4,FALSE)="Publico_&lt;10M",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VLOOKUP(A454,04_PROYECTOS!$A:$N,10,FALSE))</f>
        <v/>
      </c>
      <c r="I454">
        <f>ROUNDUP(H454/30,0)</f>
        <v/>
      </c>
      <c r="J454">
        <f>EDATE(C454,I454)</f>
        <v/>
      </c>
      <c r="K454">
        <f>G454</f>
        <v/>
      </c>
    </row>
    <row r="455">
      <c r="E455">
        <f>D455*VLOOKUP(A455,04_PROYECTOS!$A:$N,5,FALSE)*(INDEX(02B_ESCENARIOS!$B$4:$D$11, MATCH("MULT_PRECIO", 02B_ESCENARIOS!$A$4:$A$11, 0), MATCH("Conservador", 02B_ESCENARIOS!$B$3:$D$3, 0)))*INDEX(02B_ESCENARIOS!$B$15:$D$19, MATCH(VLOOKUP(A455,04_PROYECTOS!$A:$N,9,FALSE), 02B_ESCENARIOS!$A$15:$A$19, 0), MATCH("Conservador", 02B_ESCENARIOS!$B$14:$D$14, 0))</f>
        <v/>
      </c>
      <c r="F455">
        <f>E455*VLOOKUP(A455,04_PROYECTOS!$A:$N,6,FALSE)</f>
        <v/>
      </c>
      <c r="G455">
        <f>E455+F455</f>
        <v/>
      </c>
      <c r="H455">
        <f>IF(VLOOKUP(A455,04_PROYECTOS!$A:$N,10,FALSE)="", IF(VLOOKUP(A455,04_PROYECTOS!$A:$N,4,FALSE)="Privado", INDEX(02B_ESCENARIOS!$B$4:$D$11, MATCH("DSO_PRIVADO_DEFAULT", 02B_ESCENARIOS!$A$4:$A$11, 0), MATCH("Conservador", 02B_ESCENARIOS!$B$3:$D$3, 0)), IF(VLOOKUP(A455,04_PROYECTOS!$A:$N,4,FALSE)="Publico_&lt;10M",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VLOOKUP(A455,04_PROYECTOS!$A:$N,10,FALSE))</f>
        <v/>
      </c>
      <c r="I455">
        <f>ROUNDUP(H455/30,0)</f>
        <v/>
      </c>
      <c r="J455">
        <f>EDATE(C455,I455)</f>
        <v/>
      </c>
      <c r="K455">
        <f>G455</f>
        <v/>
      </c>
    </row>
    <row r="456">
      <c r="E456">
        <f>D456*VLOOKUP(A456,04_PROYECTOS!$A:$N,5,FALSE)*(INDEX(02B_ESCENARIOS!$B$4:$D$11, MATCH("MULT_PRECIO", 02B_ESCENARIOS!$A$4:$A$11, 0), MATCH("Conservador", 02B_ESCENARIOS!$B$3:$D$3, 0)))*INDEX(02B_ESCENARIOS!$B$15:$D$19, MATCH(VLOOKUP(A456,04_PROYECTOS!$A:$N,9,FALSE), 02B_ESCENARIOS!$A$15:$A$19, 0), MATCH("Conservador", 02B_ESCENARIOS!$B$14:$D$14, 0))</f>
        <v/>
      </c>
      <c r="F456">
        <f>E456*VLOOKUP(A456,04_PROYECTOS!$A:$N,6,FALSE)</f>
        <v/>
      </c>
      <c r="G456">
        <f>E456+F456</f>
        <v/>
      </c>
      <c r="H456">
        <f>IF(VLOOKUP(A456,04_PROYECTOS!$A:$N,10,FALSE)="", IF(VLOOKUP(A456,04_PROYECTOS!$A:$N,4,FALSE)="Privado", INDEX(02B_ESCENARIOS!$B$4:$D$11, MATCH("DSO_PRIVADO_DEFAULT", 02B_ESCENARIOS!$A$4:$A$11, 0), MATCH("Conservador", 02B_ESCENARIOS!$B$3:$D$3, 0)), IF(VLOOKUP(A456,04_PROYECTOS!$A:$N,4,FALSE)="Publico_&lt;10M",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VLOOKUP(A456,04_PROYECTOS!$A:$N,10,FALSE))</f>
        <v/>
      </c>
      <c r="I456">
        <f>ROUNDUP(H456/30,0)</f>
        <v/>
      </c>
      <c r="J456">
        <f>EDATE(C456,I456)</f>
        <v/>
      </c>
      <c r="K456">
        <f>G456</f>
        <v/>
      </c>
    </row>
    <row r="457">
      <c r="E457">
        <f>D457*VLOOKUP(A457,04_PROYECTOS!$A:$N,5,FALSE)*(INDEX(02B_ESCENARIOS!$B$4:$D$11, MATCH("MULT_PRECIO", 02B_ESCENARIOS!$A$4:$A$11, 0), MATCH("Conservador", 02B_ESCENARIOS!$B$3:$D$3, 0)))*INDEX(02B_ESCENARIOS!$B$15:$D$19, MATCH(VLOOKUP(A457,04_PROYECTOS!$A:$N,9,FALSE), 02B_ESCENARIOS!$A$15:$A$19, 0), MATCH("Conservador", 02B_ESCENARIOS!$B$14:$D$14, 0))</f>
        <v/>
      </c>
      <c r="F457">
        <f>E457*VLOOKUP(A457,04_PROYECTOS!$A:$N,6,FALSE)</f>
        <v/>
      </c>
      <c r="G457">
        <f>E457+F457</f>
        <v/>
      </c>
      <c r="H457">
        <f>IF(VLOOKUP(A457,04_PROYECTOS!$A:$N,10,FALSE)="", IF(VLOOKUP(A457,04_PROYECTOS!$A:$N,4,FALSE)="Privado", INDEX(02B_ESCENARIOS!$B$4:$D$11, MATCH("DSO_PRIVADO_DEFAULT", 02B_ESCENARIOS!$A$4:$A$11, 0), MATCH("Conservador", 02B_ESCENARIOS!$B$3:$D$3, 0)), IF(VLOOKUP(A457,04_PROYECTOS!$A:$N,4,FALSE)="Publico_&lt;10M",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VLOOKUP(A457,04_PROYECTOS!$A:$N,10,FALSE))</f>
        <v/>
      </c>
      <c r="I457">
        <f>ROUNDUP(H457/30,0)</f>
        <v/>
      </c>
      <c r="J457">
        <f>EDATE(C457,I457)</f>
        <v/>
      </c>
      <c r="K457">
        <f>G457</f>
        <v/>
      </c>
    </row>
    <row r="458">
      <c r="E458">
        <f>D458*VLOOKUP(A458,04_PROYECTOS!$A:$N,5,FALSE)*(INDEX(02B_ESCENARIOS!$B$4:$D$11, MATCH("MULT_PRECIO", 02B_ESCENARIOS!$A$4:$A$11, 0), MATCH("Conservador", 02B_ESCENARIOS!$B$3:$D$3, 0)))*INDEX(02B_ESCENARIOS!$B$15:$D$19, MATCH(VLOOKUP(A458,04_PROYECTOS!$A:$N,9,FALSE), 02B_ESCENARIOS!$A$15:$A$19, 0), MATCH("Conservador", 02B_ESCENARIOS!$B$14:$D$14, 0))</f>
        <v/>
      </c>
      <c r="F458">
        <f>E458*VLOOKUP(A458,04_PROYECTOS!$A:$N,6,FALSE)</f>
        <v/>
      </c>
      <c r="G458">
        <f>E458+F458</f>
        <v/>
      </c>
      <c r="H458">
        <f>IF(VLOOKUP(A458,04_PROYECTOS!$A:$N,10,FALSE)="", IF(VLOOKUP(A458,04_PROYECTOS!$A:$N,4,FALSE)="Privado", INDEX(02B_ESCENARIOS!$B$4:$D$11, MATCH("DSO_PRIVADO_DEFAULT", 02B_ESCENARIOS!$A$4:$A$11, 0), MATCH("Conservador", 02B_ESCENARIOS!$B$3:$D$3, 0)), IF(VLOOKUP(A458,04_PROYECTOS!$A:$N,4,FALSE)="Publico_&lt;10M",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VLOOKUP(A458,04_PROYECTOS!$A:$N,10,FALSE))</f>
        <v/>
      </c>
      <c r="I458">
        <f>ROUNDUP(H458/30,0)</f>
        <v/>
      </c>
      <c r="J458">
        <f>EDATE(C458,I458)</f>
        <v/>
      </c>
      <c r="K458">
        <f>G458</f>
        <v/>
      </c>
    </row>
    <row r="459">
      <c r="E459">
        <f>D459*VLOOKUP(A459,04_PROYECTOS!$A:$N,5,FALSE)*(INDEX(02B_ESCENARIOS!$B$4:$D$11, MATCH("MULT_PRECIO", 02B_ESCENARIOS!$A$4:$A$11, 0), MATCH("Conservador", 02B_ESCENARIOS!$B$3:$D$3, 0)))*INDEX(02B_ESCENARIOS!$B$15:$D$19, MATCH(VLOOKUP(A459,04_PROYECTOS!$A:$N,9,FALSE), 02B_ESCENARIOS!$A$15:$A$19, 0), MATCH("Conservador", 02B_ESCENARIOS!$B$14:$D$14, 0))</f>
        <v/>
      </c>
      <c r="F459">
        <f>E459*VLOOKUP(A459,04_PROYECTOS!$A:$N,6,FALSE)</f>
        <v/>
      </c>
      <c r="G459">
        <f>E459+F459</f>
        <v/>
      </c>
      <c r="H459">
        <f>IF(VLOOKUP(A459,04_PROYECTOS!$A:$N,10,FALSE)="", IF(VLOOKUP(A459,04_PROYECTOS!$A:$N,4,FALSE)="Privado", INDEX(02B_ESCENARIOS!$B$4:$D$11, MATCH("DSO_PRIVADO_DEFAULT", 02B_ESCENARIOS!$A$4:$A$11, 0), MATCH("Conservador", 02B_ESCENARIOS!$B$3:$D$3, 0)), IF(VLOOKUP(A459,04_PROYECTOS!$A:$N,4,FALSE)="Publico_&lt;10M",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VLOOKUP(A459,04_PROYECTOS!$A:$N,10,FALSE))</f>
        <v/>
      </c>
      <c r="I459">
        <f>ROUNDUP(H459/30,0)</f>
        <v/>
      </c>
      <c r="J459">
        <f>EDATE(C459,I459)</f>
        <v/>
      </c>
      <c r="K459">
        <f>G459</f>
        <v/>
      </c>
    </row>
    <row r="460">
      <c r="E460">
        <f>D460*VLOOKUP(A460,04_PROYECTOS!$A:$N,5,FALSE)*(INDEX(02B_ESCENARIOS!$B$4:$D$11, MATCH("MULT_PRECIO", 02B_ESCENARIOS!$A$4:$A$11, 0), MATCH("Conservador", 02B_ESCENARIOS!$B$3:$D$3, 0)))*INDEX(02B_ESCENARIOS!$B$15:$D$19, MATCH(VLOOKUP(A460,04_PROYECTOS!$A:$N,9,FALSE), 02B_ESCENARIOS!$A$15:$A$19, 0), MATCH("Conservador", 02B_ESCENARIOS!$B$14:$D$14, 0))</f>
        <v/>
      </c>
      <c r="F460">
        <f>E460*VLOOKUP(A460,04_PROYECTOS!$A:$N,6,FALSE)</f>
        <v/>
      </c>
      <c r="G460">
        <f>E460+F460</f>
        <v/>
      </c>
      <c r="H460">
        <f>IF(VLOOKUP(A460,04_PROYECTOS!$A:$N,10,FALSE)="", IF(VLOOKUP(A460,04_PROYECTOS!$A:$N,4,FALSE)="Privado", INDEX(02B_ESCENARIOS!$B$4:$D$11, MATCH("DSO_PRIVADO_DEFAULT", 02B_ESCENARIOS!$A$4:$A$11, 0), MATCH("Conservador", 02B_ESCENARIOS!$B$3:$D$3, 0)), IF(VLOOKUP(A460,04_PROYECTOS!$A:$N,4,FALSE)="Publico_&lt;10M",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VLOOKUP(A460,04_PROYECTOS!$A:$N,10,FALSE))</f>
        <v/>
      </c>
      <c r="I460">
        <f>ROUNDUP(H460/30,0)</f>
        <v/>
      </c>
      <c r="J460">
        <f>EDATE(C460,I460)</f>
        <v/>
      </c>
      <c r="K460">
        <f>G460</f>
        <v/>
      </c>
    </row>
    <row r="461">
      <c r="E461">
        <f>D461*VLOOKUP(A461,04_PROYECTOS!$A:$N,5,FALSE)*(INDEX(02B_ESCENARIOS!$B$4:$D$11, MATCH("MULT_PRECIO", 02B_ESCENARIOS!$A$4:$A$11, 0), MATCH("Conservador", 02B_ESCENARIOS!$B$3:$D$3, 0)))*INDEX(02B_ESCENARIOS!$B$15:$D$19, MATCH(VLOOKUP(A461,04_PROYECTOS!$A:$N,9,FALSE), 02B_ESCENARIOS!$A$15:$A$19, 0), MATCH("Conservador", 02B_ESCENARIOS!$B$14:$D$14, 0))</f>
        <v/>
      </c>
      <c r="F461">
        <f>E461*VLOOKUP(A461,04_PROYECTOS!$A:$N,6,FALSE)</f>
        <v/>
      </c>
      <c r="G461">
        <f>E461+F461</f>
        <v/>
      </c>
      <c r="H461">
        <f>IF(VLOOKUP(A461,04_PROYECTOS!$A:$N,10,FALSE)="", IF(VLOOKUP(A461,04_PROYECTOS!$A:$N,4,FALSE)="Privado", INDEX(02B_ESCENARIOS!$B$4:$D$11, MATCH("DSO_PRIVADO_DEFAULT", 02B_ESCENARIOS!$A$4:$A$11, 0), MATCH("Conservador", 02B_ESCENARIOS!$B$3:$D$3, 0)), IF(VLOOKUP(A461,04_PROYECTOS!$A:$N,4,FALSE)="Publico_&lt;10M",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VLOOKUP(A461,04_PROYECTOS!$A:$N,10,FALSE))</f>
        <v/>
      </c>
      <c r="I461">
        <f>ROUNDUP(H461/30,0)</f>
        <v/>
      </c>
      <c r="J461">
        <f>EDATE(C461,I461)</f>
        <v/>
      </c>
      <c r="K461">
        <f>G461</f>
        <v/>
      </c>
    </row>
    <row r="462">
      <c r="E462">
        <f>D462*VLOOKUP(A462,04_PROYECTOS!$A:$N,5,FALSE)*(INDEX(02B_ESCENARIOS!$B$4:$D$11, MATCH("MULT_PRECIO", 02B_ESCENARIOS!$A$4:$A$11, 0), MATCH("Conservador", 02B_ESCENARIOS!$B$3:$D$3, 0)))*INDEX(02B_ESCENARIOS!$B$15:$D$19, MATCH(VLOOKUP(A462,04_PROYECTOS!$A:$N,9,FALSE), 02B_ESCENARIOS!$A$15:$A$19, 0), MATCH("Conservador", 02B_ESCENARIOS!$B$14:$D$14, 0))</f>
        <v/>
      </c>
      <c r="F462">
        <f>E462*VLOOKUP(A462,04_PROYECTOS!$A:$N,6,FALSE)</f>
        <v/>
      </c>
      <c r="G462">
        <f>E462+F462</f>
        <v/>
      </c>
      <c r="H462">
        <f>IF(VLOOKUP(A462,04_PROYECTOS!$A:$N,10,FALSE)="", IF(VLOOKUP(A462,04_PROYECTOS!$A:$N,4,FALSE)="Privado", INDEX(02B_ESCENARIOS!$B$4:$D$11, MATCH("DSO_PRIVADO_DEFAULT", 02B_ESCENARIOS!$A$4:$A$11, 0), MATCH("Conservador", 02B_ESCENARIOS!$B$3:$D$3, 0)), IF(VLOOKUP(A462,04_PROYECTOS!$A:$N,4,FALSE)="Publico_&lt;10M",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VLOOKUP(A462,04_PROYECTOS!$A:$N,10,FALSE))</f>
        <v/>
      </c>
      <c r="I462">
        <f>ROUNDUP(H462/30,0)</f>
        <v/>
      </c>
      <c r="J462">
        <f>EDATE(C462,I462)</f>
        <v/>
      </c>
      <c r="K462">
        <f>G462</f>
        <v/>
      </c>
    </row>
    <row r="463">
      <c r="E463">
        <f>D463*VLOOKUP(A463,04_PROYECTOS!$A:$N,5,FALSE)*(INDEX(02B_ESCENARIOS!$B$4:$D$11, MATCH("MULT_PRECIO", 02B_ESCENARIOS!$A$4:$A$11, 0), MATCH("Conservador", 02B_ESCENARIOS!$B$3:$D$3, 0)))*INDEX(02B_ESCENARIOS!$B$15:$D$19, MATCH(VLOOKUP(A463,04_PROYECTOS!$A:$N,9,FALSE), 02B_ESCENARIOS!$A$15:$A$19, 0), MATCH("Conservador", 02B_ESCENARIOS!$B$14:$D$14, 0))</f>
        <v/>
      </c>
      <c r="F463">
        <f>E463*VLOOKUP(A463,04_PROYECTOS!$A:$N,6,FALSE)</f>
        <v/>
      </c>
      <c r="G463">
        <f>E463+F463</f>
        <v/>
      </c>
      <c r="H463">
        <f>IF(VLOOKUP(A463,04_PROYECTOS!$A:$N,10,FALSE)="", IF(VLOOKUP(A463,04_PROYECTOS!$A:$N,4,FALSE)="Privado", INDEX(02B_ESCENARIOS!$B$4:$D$11, MATCH("DSO_PRIVADO_DEFAULT", 02B_ESCENARIOS!$A$4:$A$11, 0), MATCH("Conservador", 02B_ESCENARIOS!$B$3:$D$3, 0)), IF(VLOOKUP(A463,04_PROYECTOS!$A:$N,4,FALSE)="Publico_&lt;10M",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VLOOKUP(A463,04_PROYECTOS!$A:$N,10,FALSE))</f>
        <v/>
      </c>
      <c r="I463">
        <f>ROUNDUP(H463/30,0)</f>
        <v/>
      </c>
      <c r="J463">
        <f>EDATE(C463,I463)</f>
        <v/>
      </c>
      <c r="K463">
        <f>G463</f>
        <v/>
      </c>
    </row>
    <row r="464">
      <c r="E464">
        <f>D464*VLOOKUP(A464,04_PROYECTOS!$A:$N,5,FALSE)*(INDEX(02B_ESCENARIOS!$B$4:$D$11, MATCH("MULT_PRECIO", 02B_ESCENARIOS!$A$4:$A$11, 0), MATCH("Conservador", 02B_ESCENARIOS!$B$3:$D$3, 0)))*INDEX(02B_ESCENARIOS!$B$15:$D$19, MATCH(VLOOKUP(A464,04_PROYECTOS!$A:$N,9,FALSE), 02B_ESCENARIOS!$A$15:$A$19, 0), MATCH("Conservador", 02B_ESCENARIOS!$B$14:$D$14, 0))</f>
        <v/>
      </c>
      <c r="F464">
        <f>E464*VLOOKUP(A464,04_PROYECTOS!$A:$N,6,FALSE)</f>
        <v/>
      </c>
      <c r="G464">
        <f>E464+F464</f>
        <v/>
      </c>
      <c r="H464">
        <f>IF(VLOOKUP(A464,04_PROYECTOS!$A:$N,10,FALSE)="", IF(VLOOKUP(A464,04_PROYECTOS!$A:$N,4,FALSE)="Privado", INDEX(02B_ESCENARIOS!$B$4:$D$11, MATCH("DSO_PRIVADO_DEFAULT", 02B_ESCENARIOS!$A$4:$A$11, 0), MATCH("Conservador", 02B_ESCENARIOS!$B$3:$D$3, 0)), IF(VLOOKUP(A464,04_PROYECTOS!$A:$N,4,FALSE)="Publico_&lt;10M",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VLOOKUP(A464,04_PROYECTOS!$A:$N,10,FALSE))</f>
        <v/>
      </c>
      <c r="I464">
        <f>ROUNDUP(H464/30,0)</f>
        <v/>
      </c>
      <c r="J464">
        <f>EDATE(C464,I464)</f>
        <v/>
      </c>
      <c r="K464">
        <f>G464</f>
        <v/>
      </c>
    </row>
    <row r="465">
      <c r="E465">
        <f>D465*VLOOKUP(A465,04_PROYECTOS!$A:$N,5,FALSE)*(INDEX(02B_ESCENARIOS!$B$4:$D$11, MATCH("MULT_PRECIO", 02B_ESCENARIOS!$A$4:$A$11, 0), MATCH("Conservador", 02B_ESCENARIOS!$B$3:$D$3, 0)))*INDEX(02B_ESCENARIOS!$B$15:$D$19, MATCH(VLOOKUP(A465,04_PROYECTOS!$A:$N,9,FALSE), 02B_ESCENARIOS!$A$15:$A$19, 0), MATCH("Conservador", 02B_ESCENARIOS!$B$14:$D$14, 0))</f>
        <v/>
      </c>
      <c r="F465">
        <f>E465*VLOOKUP(A465,04_PROYECTOS!$A:$N,6,FALSE)</f>
        <v/>
      </c>
      <c r="G465">
        <f>E465+F465</f>
        <v/>
      </c>
      <c r="H465">
        <f>IF(VLOOKUP(A465,04_PROYECTOS!$A:$N,10,FALSE)="", IF(VLOOKUP(A465,04_PROYECTOS!$A:$N,4,FALSE)="Privado", INDEX(02B_ESCENARIOS!$B$4:$D$11, MATCH("DSO_PRIVADO_DEFAULT", 02B_ESCENARIOS!$A$4:$A$11, 0), MATCH("Conservador", 02B_ESCENARIOS!$B$3:$D$3, 0)), IF(VLOOKUP(A465,04_PROYECTOS!$A:$N,4,FALSE)="Publico_&lt;10M",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VLOOKUP(A465,04_PROYECTOS!$A:$N,10,FALSE))</f>
        <v/>
      </c>
      <c r="I465">
        <f>ROUNDUP(H465/30,0)</f>
        <v/>
      </c>
      <c r="J465">
        <f>EDATE(C465,I465)</f>
        <v/>
      </c>
      <c r="K465">
        <f>G465</f>
        <v/>
      </c>
    </row>
    <row r="466">
      <c r="E466">
        <f>D466*VLOOKUP(A466,04_PROYECTOS!$A:$N,5,FALSE)*(INDEX(02B_ESCENARIOS!$B$4:$D$11, MATCH("MULT_PRECIO", 02B_ESCENARIOS!$A$4:$A$11, 0), MATCH("Conservador", 02B_ESCENARIOS!$B$3:$D$3, 0)))*INDEX(02B_ESCENARIOS!$B$15:$D$19, MATCH(VLOOKUP(A466,04_PROYECTOS!$A:$N,9,FALSE), 02B_ESCENARIOS!$A$15:$A$19, 0), MATCH("Conservador", 02B_ESCENARIOS!$B$14:$D$14, 0))</f>
        <v/>
      </c>
      <c r="F466">
        <f>E466*VLOOKUP(A466,04_PROYECTOS!$A:$N,6,FALSE)</f>
        <v/>
      </c>
      <c r="G466">
        <f>E466+F466</f>
        <v/>
      </c>
      <c r="H466">
        <f>IF(VLOOKUP(A466,04_PROYECTOS!$A:$N,10,FALSE)="", IF(VLOOKUP(A466,04_PROYECTOS!$A:$N,4,FALSE)="Privado", INDEX(02B_ESCENARIOS!$B$4:$D$11, MATCH("DSO_PRIVADO_DEFAULT", 02B_ESCENARIOS!$A$4:$A$11, 0), MATCH("Conservador", 02B_ESCENARIOS!$B$3:$D$3, 0)), IF(VLOOKUP(A466,04_PROYECTOS!$A:$N,4,FALSE)="Publico_&lt;10M",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VLOOKUP(A466,04_PROYECTOS!$A:$N,10,FALSE))</f>
        <v/>
      </c>
      <c r="I466">
        <f>ROUNDUP(H466/30,0)</f>
        <v/>
      </c>
      <c r="J466">
        <f>EDATE(C466,I466)</f>
        <v/>
      </c>
      <c r="K466">
        <f>G466</f>
        <v/>
      </c>
    </row>
    <row r="467">
      <c r="E467">
        <f>D467*VLOOKUP(A467,04_PROYECTOS!$A:$N,5,FALSE)*(INDEX(02B_ESCENARIOS!$B$4:$D$11, MATCH("MULT_PRECIO", 02B_ESCENARIOS!$A$4:$A$11, 0), MATCH("Conservador", 02B_ESCENARIOS!$B$3:$D$3, 0)))*INDEX(02B_ESCENARIOS!$B$15:$D$19, MATCH(VLOOKUP(A467,04_PROYECTOS!$A:$N,9,FALSE), 02B_ESCENARIOS!$A$15:$A$19, 0), MATCH("Conservador", 02B_ESCENARIOS!$B$14:$D$14, 0))</f>
        <v/>
      </c>
      <c r="F467">
        <f>E467*VLOOKUP(A467,04_PROYECTOS!$A:$N,6,FALSE)</f>
        <v/>
      </c>
      <c r="G467">
        <f>E467+F467</f>
        <v/>
      </c>
      <c r="H467">
        <f>IF(VLOOKUP(A467,04_PROYECTOS!$A:$N,10,FALSE)="", IF(VLOOKUP(A467,04_PROYECTOS!$A:$N,4,FALSE)="Privado", INDEX(02B_ESCENARIOS!$B$4:$D$11, MATCH("DSO_PRIVADO_DEFAULT", 02B_ESCENARIOS!$A$4:$A$11, 0), MATCH("Conservador", 02B_ESCENARIOS!$B$3:$D$3, 0)), IF(VLOOKUP(A467,04_PROYECTOS!$A:$N,4,FALSE)="Publico_&lt;10M",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VLOOKUP(A467,04_PROYECTOS!$A:$N,10,FALSE))</f>
        <v/>
      </c>
      <c r="I467">
        <f>ROUNDUP(H467/30,0)</f>
        <v/>
      </c>
      <c r="J467">
        <f>EDATE(C467,I467)</f>
        <v/>
      </c>
      <c r="K467">
        <f>G467</f>
        <v/>
      </c>
    </row>
    <row r="468">
      <c r="E468">
        <f>D468*VLOOKUP(A468,04_PROYECTOS!$A:$N,5,FALSE)*(INDEX(02B_ESCENARIOS!$B$4:$D$11, MATCH("MULT_PRECIO", 02B_ESCENARIOS!$A$4:$A$11, 0), MATCH("Conservador", 02B_ESCENARIOS!$B$3:$D$3, 0)))*INDEX(02B_ESCENARIOS!$B$15:$D$19, MATCH(VLOOKUP(A468,04_PROYECTOS!$A:$N,9,FALSE), 02B_ESCENARIOS!$A$15:$A$19, 0), MATCH("Conservador", 02B_ESCENARIOS!$B$14:$D$14, 0))</f>
        <v/>
      </c>
      <c r="F468">
        <f>E468*VLOOKUP(A468,04_PROYECTOS!$A:$N,6,FALSE)</f>
        <v/>
      </c>
      <c r="G468">
        <f>E468+F468</f>
        <v/>
      </c>
      <c r="H468">
        <f>IF(VLOOKUP(A468,04_PROYECTOS!$A:$N,10,FALSE)="", IF(VLOOKUP(A468,04_PROYECTOS!$A:$N,4,FALSE)="Privado", INDEX(02B_ESCENARIOS!$B$4:$D$11, MATCH("DSO_PRIVADO_DEFAULT", 02B_ESCENARIOS!$A$4:$A$11, 0), MATCH("Conservador", 02B_ESCENARIOS!$B$3:$D$3, 0)), IF(VLOOKUP(A468,04_PROYECTOS!$A:$N,4,FALSE)="Publico_&lt;10M",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VLOOKUP(A468,04_PROYECTOS!$A:$N,10,FALSE))</f>
        <v/>
      </c>
      <c r="I468">
        <f>ROUNDUP(H468/30,0)</f>
        <v/>
      </c>
      <c r="J468">
        <f>EDATE(C468,I468)</f>
        <v/>
      </c>
      <c r="K468">
        <f>G468</f>
        <v/>
      </c>
    </row>
    <row r="469">
      <c r="E469">
        <f>D469*VLOOKUP(A469,04_PROYECTOS!$A:$N,5,FALSE)*(INDEX(02B_ESCENARIOS!$B$4:$D$11, MATCH("MULT_PRECIO", 02B_ESCENARIOS!$A$4:$A$11, 0), MATCH("Conservador", 02B_ESCENARIOS!$B$3:$D$3, 0)))*INDEX(02B_ESCENARIOS!$B$15:$D$19, MATCH(VLOOKUP(A469,04_PROYECTOS!$A:$N,9,FALSE), 02B_ESCENARIOS!$A$15:$A$19, 0), MATCH("Conservador", 02B_ESCENARIOS!$B$14:$D$14, 0))</f>
        <v/>
      </c>
      <c r="F469">
        <f>E469*VLOOKUP(A469,04_PROYECTOS!$A:$N,6,FALSE)</f>
        <v/>
      </c>
      <c r="G469">
        <f>E469+F469</f>
        <v/>
      </c>
      <c r="H469">
        <f>IF(VLOOKUP(A469,04_PROYECTOS!$A:$N,10,FALSE)="", IF(VLOOKUP(A469,04_PROYECTOS!$A:$N,4,FALSE)="Privado", INDEX(02B_ESCENARIOS!$B$4:$D$11, MATCH("DSO_PRIVADO_DEFAULT", 02B_ESCENARIOS!$A$4:$A$11, 0), MATCH("Conservador", 02B_ESCENARIOS!$B$3:$D$3, 0)), IF(VLOOKUP(A469,04_PROYECTOS!$A:$N,4,FALSE)="Publico_&lt;10M",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VLOOKUP(A469,04_PROYECTOS!$A:$N,10,FALSE))</f>
        <v/>
      </c>
      <c r="I469">
        <f>ROUNDUP(H469/30,0)</f>
        <v/>
      </c>
      <c r="J469">
        <f>EDATE(C469,I469)</f>
        <v/>
      </c>
      <c r="K469">
        <f>G469</f>
        <v/>
      </c>
    </row>
    <row r="470">
      <c r="E470">
        <f>D470*VLOOKUP(A470,04_PROYECTOS!$A:$N,5,FALSE)*(INDEX(02B_ESCENARIOS!$B$4:$D$11, MATCH("MULT_PRECIO", 02B_ESCENARIOS!$A$4:$A$11, 0), MATCH("Conservador", 02B_ESCENARIOS!$B$3:$D$3, 0)))*INDEX(02B_ESCENARIOS!$B$15:$D$19, MATCH(VLOOKUP(A470,04_PROYECTOS!$A:$N,9,FALSE), 02B_ESCENARIOS!$A$15:$A$19, 0), MATCH("Conservador", 02B_ESCENARIOS!$B$14:$D$14, 0))</f>
        <v/>
      </c>
      <c r="F470">
        <f>E470*VLOOKUP(A470,04_PROYECTOS!$A:$N,6,FALSE)</f>
        <v/>
      </c>
      <c r="G470">
        <f>E470+F470</f>
        <v/>
      </c>
      <c r="H470">
        <f>IF(VLOOKUP(A470,04_PROYECTOS!$A:$N,10,FALSE)="", IF(VLOOKUP(A470,04_PROYECTOS!$A:$N,4,FALSE)="Privado", INDEX(02B_ESCENARIOS!$B$4:$D$11, MATCH("DSO_PRIVADO_DEFAULT", 02B_ESCENARIOS!$A$4:$A$11, 0), MATCH("Conservador", 02B_ESCENARIOS!$B$3:$D$3, 0)), IF(VLOOKUP(A470,04_PROYECTOS!$A:$N,4,FALSE)="Publico_&lt;10M",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VLOOKUP(A470,04_PROYECTOS!$A:$N,10,FALSE))</f>
        <v/>
      </c>
      <c r="I470">
        <f>ROUNDUP(H470/30,0)</f>
        <v/>
      </c>
      <c r="J470">
        <f>EDATE(C470,I470)</f>
        <v/>
      </c>
      <c r="K470">
        <f>G470</f>
        <v/>
      </c>
    </row>
    <row r="471">
      <c r="E471">
        <f>D471*VLOOKUP(A471,04_PROYECTOS!$A:$N,5,FALSE)*(INDEX(02B_ESCENARIOS!$B$4:$D$11, MATCH("MULT_PRECIO", 02B_ESCENARIOS!$A$4:$A$11, 0), MATCH("Conservador", 02B_ESCENARIOS!$B$3:$D$3, 0)))*INDEX(02B_ESCENARIOS!$B$15:$D$19, MATCH(VLOOKUP(A471,04_PROYECTOS!$A:$N,9,FALSE), 02B_ESCENARIOS!$A$15:$A$19, 0), MATCH("Conservador", 02B_ESCENARIOS!$B$14:$D$14, 0))</f>
        <v/>
      </c>
      <c r="F471">
        <f>E471*VLOOKUP(A471,04_PROYECTOS!$A:$N,6,FALSE)</f>
        <v/>
      </c>
      <c r="G471">
        <f>E471+F471</f>
        <v/>
      </c>
      <c r="H471">
        <f>IF(VLOOKUP(A471,04_PROYECTOS!$A:$N,10,FALSE)="", IF(VLOOKUP(A471,04_PROYECTOS!$A:$N,4,FALSE)="Privado", INDEX(02B_ESCENARIOS!$B$4:$D$11, MATCH("DSO_PRIVADO_DEFAULT", 02B_ESCENARIOS!$A$4:$A$11, 0), MATCH("Conservador", 02B_ESCENARIOS!$B$3:$D$3, 0)), IF(VLOOKUP(A471,04_PROYECTOS!$A:$N,4,FALSE)="Publico_&lt;10M",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VLOOKUP(A471,04_PROYECTOS!$A:$N,10,FALSE))</f>
        <v/>
      </c>
      <c r="I471">
        <f>ROUNDUP(H471/30,0)</f>
        <v/>
      </c>
      <c r="J471">
        <f>EDATE(C471,I471)</f>
        <v/>
      </c>
      <c r="K471">
        <f>G471</f>
        <v/>
      </c>
    </row>
    <row r="472">
      <c r="E472">
        <f>D472*VLOOKUP(A472,04_PROYECTOS!$A:$N,5,FALSE)*(INDEX(02B_ESCENARIOS!$B$4:$D$11, MATCH("MULT_PRECIO", 02B_ESCENARIOS!$A$4:$A$11, 0), MATCH("Conservador", 02B_ESCENARIOS!$B$3:$D$3, 0)))*INDEX(02B_ESCENARIOS!$B$15:$D$19, MATCH(VLOOKUP(A472,04_PROYECTOS!$A:$N,9,FALSE), 02B_ESCENARIOS!$A$15:$A$19, 0), MATCH("Conservador", 02B_ESCENARIOS!$B$14:$D$14, 0))</f>
        <v/>
      </c>
      <c r="F472">
        <f>E472*VLOOKUP(A472,04_PROYECTOS!$A:$N,6,FALSE)</f>
        <v/>
      </c>
      <c r="G472">
        <f>E472+F472</f>
        <v/>
      </c>
      <c r="H472">
        <f>IF(VLOOKUP(A472,04_PROYECTOS!$A:$N,10,FALSE)="", IF(VLOOKUP(A472,04_PROYECTOS!$A:$N,4,FALSE)="Privado", INDEX(02B_ESCENARIOS!$B$4:$D$11, MATCH("DSO_PRIVADO_DEFAULT", 02B_ESCENARIOS!$A$4:$A$11, 0), MATCH("Conservador", 02B_ESCENARIOS!$B$3:$D$3, 0)), IF(VLOOKUP(A472,04_PROYECTOS!$A:$N,4,FALSE)="Publico_&lt;10M",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VLOOKUP(A472,04_PROYECTOS!$A:$N,10,FALSE))</f>
        <v/>
      </c>
      <c r="I472">
        <f>ROUNDUP(H472/30,0)</f>
        <v/>
      </c>
      <c r="J472">
        <f>EDATE(C472,I472)</f>
        <v/>
      </c>
      <c r="K472">
        <f>G472</f>
        <v/>
      </c>
    </row>
    <row r="473">
      <c r="E473">
        <f>D473*VLOOKUP(A473,04_PROYECTOS!$A:$N,5,FALSE)*(INDEX(02B_ESCENARIOS!$B$4:$D$11, MATCH("MULT_PRECIO", 02B_ESCENARIOS!$A$4:$A$11, 0), MATCH("Conservador", 02B_ESCENARIOS!$B$3:$D$3, 0)))*INDEX(02B_ESCENARIOS!$B$15:$D$19, MATCH(VLOOKUP(A473,04_PROYECTOS!$A:$N,9,FALSE), 02B_ESCENARIOS!$A$15:$A$19, 0), MATCH("Conservador", 02B_ESCENARIOS!$B$14:$D$14, 0))</f>
        <v/>
      </c>
      <c r="F473">
        <f>E473*VLOOKUP(A473,04_PROYECTOS!$A:$N,6,FALSE)</f>
        <v/>
      </c>
      <c r="G473">
        <f>E473+F473</f>
        <v/>
      </c>
      <c r="H473">
        <f>IF(VLOOKUP(A473,04_PROYECTOS!$A:$N,10,FALSE)="", IF(VLOOKUP(A473,04_PROYECTOS!$A:$N,4,FALSE)="Privado", INDEX(02B_ESCENARIOS!$B$4:$D$11, MATCH("DSO_PRIVADO_DEFAULT", 02B_ESCENARIOS!$A$4:$A$11, 0), MATCH("Conservador", 02B_ESCENARIOS!$B$3:$D$3, 0)), IF(VLOOKUP(A473,04_PROYECTOS!$A:$N,4,FALSE)="Publico_&lt;10M",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VLOOKUP(A473,04_PROYECTOS!$A:$N,10,FALSE))</f>
        <v/>
      </c>
      <c r="I473">
        <f>ROUNDUP(H473/30,0)</f>
        <v/>
      </c>
      <c r="J473">
        <f>EDATE(C473,I473)</f>
        <v/>
      </c>
      <c r="K473">
        <f>G473</f>
        <v/>
      </c>
    </row>
    <row r="474">
      <c r="E474">
        <f>D474*VLOOKUP(A474,04_PROYECTOS!$A:$N,5,FALSE)*(INDEX(02B_ESCENARIOS!$B$4:$D$11, MATCH("MULT_PRECIO", 02B_ESCENARIOS!$A$4:$A$11, 0), MATCH("Conservador", 02B_ESCENARIOS!$B$3:$D$3, 0)))*INDEX(02B_ESCENARIOS!$B$15:$D$19, MATCH(VLOOKUP(A474,04_PROYECTOS!$A:$N,9,FALSE), 02B_ESCENARIOS!$A$15:$A$19, 0), MATCH("Conservador", 02B_ESCENARIOS!$B$14:$D$14, 0))</f>
        <v/>
      </c>
      <c r="F474">
        <f>E474*VLOOKUP(A474,04_PROYECTOS!$A:$N,6,FALSE)</f>
        <v/>
      </c>
      <c r="G474">
        <f>E474+F474</f>
        <v/>
      </c>
      <c r="H474">
        <f>IF(VLOOKUP(A474,04_PROYECTOS!$A:$N,10,FALSE)="", IF(VLOOKUP(A474,04_PROYECTOS!$A:$N,4,FALSE)="Privado", INDEX(02B_ESCENARIOS!$B$4:$D$11, MATCH("DSO_PRIVADO_DEFAULT", 02B_ESCENARIOS!$A$4:$A$11, 0), MATCH("Conservador", 02B_ESCENARIOS!$B$3:$D$3, 0)), IF(VLOOKUP(A474,04_PROYECTOS!$A:$N,4,FALSE)="Publico_&lt;10M",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VLOOKUP(A474,04_PROYECTOS!$A:$N,10,FALSE))</f>
        <v/>
      </c>
      <c r="I474">
        <f>ROUNDUP(H474/30,0)</f>
        <v/>
      </c>
      <c r="J474">
        <f>EDATE(C474,I474)</f>
        <v/>
      </c>
      <c r="K474">
        <f>G474</f>
        <v/>
      </c>
    </row>
    <row r="475">
      <c r="E475">
        <f>D475*VLOOKUP(A475,04_PROYECTOS!$A:$N,5,FALSE)*(INDEX(02B_ESCENARIOS!$B$4:$D$11, MATCH("MULT_PRECIO", 02B_ESCENARIOS!$A$4:$A$11, 0), MATCH("Conservador", 02B_ESCENARIOS!$B$3:$D$3, 0)))*INDEX(02B_ESCENARIOS!$B$15:$D$19, MATCH(VLOOKUP(A475,04_PROYECTOS!$A:$N,9,FALSE), 02B_ESCENARIOS!$A$15:$A$19, 0), MATCH("Conservador", 02B_ESCENARIOS!$B$14:$D$14, 0))</f>
        <v/>
      </c>
      <c r="F475">
        <f>E475*VLOOKUP(A475,04_PROYECTOS!$A:$N,6,FALSE)</f>
        <v/>
      </c>
      <c r="G475">
        <f>E475+F475</f>
        <v/>
      </c>
      <c r="H475">
        <f>IF(VLOOKUP(A475,04_PROYECTOS!$A:$N,10,FALSE)="", IF(VLOOKUP(A475,04_PROYECTOS!$A:$N,4,FALSE)="Privado", INDEX(02B_ESCENARIOS!$B$4:$D$11, MATCH("DSO_PRIVADO_DEFAULT", 02B_ESCENARIOS!$A$4:$A$11, 0), MATCH("Conservador", 02B_ESCENARIOS!$B$3:$D$3, 0)), IF(VLOOKUP(A475,04_PROYECTOS!$A:$N,4,FALSE)="Publico_&lt;10M",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VLOOKUP(A475,04_PROYECTOS!$A:$N,10,FALSE))</f>
        <v/>
      </c>
      <c r="I475">
        <f>ROUNDUP(H475/30,0)</f>
        <v/>
      </c>
      <c r="J475">
        <f>EDATE(C475,I475)</f>
        <v/>
      </c>
      <c r="K475">
        <f>G475</f>
        <v/>
      </c>
    </row>
    <row r="476">
      <c r="E476">
        <f>D476*VLOOKUP(A476,04_PROYECTOS!$A:$N,5,FALSE)*(INDEX(02B_ESCENARIOS!$B$4:$D$11, MATCH("MULT_PRECIO", 02B_ESCENARIOS!$A$4:$A$11, 0), MATCH("Conservador", 02B_ESCENARIOS!$B$3:$D$3, 0)))*INDEX(02B_ESCENARIOS!$B$15:$D$19, MATCH(VLOOKUP(A476,04_PROYECTOS!$A:$N,9,FALSE), 02B_ESCENARIOS!$A$15:$A$19, 0), MATCH("Conservador", 02B_ESCENARIOS!$B$14:$D$14, 0))</f>
        <v/>
      </c>
      <c r="F476">
        <f>E476*VLOOKUP(A476,04_PROYECTOS!$A:$N,6,FALSE)</f>
        <v/>
      </c>
      <c r="G476">
        <f>E476+F476</f>
        <v/>
      </c>
      <c r="H476">
        <f>IF(VLOOKUP(A476,04_PROYECTOS!$A:$N,10,FALSE)="", IF(VLOOKUP(A476,04_PROYECTOS!$A:$N,4,FALSE)="Privado", INDEX(02B_ESCENARIOS!$B$4:$D$11, MATCH("DSO_PRIVADO_DEFAULT", 02B_ESCENARIOS!$A$4:$A$11, 0), MATCH("Conservador", 02B_ESCENARIOS!$B$3:$D$3, 0)), IF(VLOOKUP(A476,04_PROYECTOS!$A:$N,4,FALSE)="Publico_&lt;10M",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VLOOKUP(A476,04_PROYECTOS!$A:$N,10,FALSE))</f>
        <v/>
      </c>
      <c r="I476">
        <f>ROUNDUP(H476/30,0)</f>
        <v/>
      </c>
      <c r="J476">
        <f>EDATE(C476,I476)</f>
        <v/>
      </c>
      <c r="K476">
        <f>G476</f>
        <v/>
      </c>
    </row>
    <row r="477">
      <c r="E477">
        <f>D477*VLOOKUP(A477,04_PROYECTOS!$A:$N,5,FALSE)*(INDEX(02B_ESCENARIOS!$B$4:$D$11, MATCH("MULT_PRECIO", 02B_ESCENARIOS!$A$4:$A$11, 0), MATCH("Conservador", 02B_ESCENARIOS!$B$3:$D$3, 0)))*INDEX(02B_ESCENARIOS!$B$15:$D$19, MATCH(VLOOKUP(A477,04_PROYECTOS!$A:$N,9,FALSE), 02B_ESCENARIOS!$A$15:$A$19, 0), MATCH("Conservador", 02B_ESCENARIOS!$B$14:$D$14, 0))</f>
        <v/>
      </c>
      <c r="F477">
        <f>E477*VLOOKUP(A477,04_PROYECTOS!$A:$N,6,FALSE)</f>
        <v/>
      </c>
      <c r="G477">
        <f>E477+F477</f>
        <v/>
      </c>
      <c r="H477">
        <f>IF(VLOOKUP(A477,04_PROYECTOS!$A:$N,10,FALSE)="", IF(VLOOKUP(A477,04_PROYECTOS!$A:$N,4,FALSE)="Privado", INDEX(02B_ESCENARIOS!$B$4:$D$11, MATCH("DSO_PRIVADO_DEFAULT", 02B_ESCENARIOS!$A$4:$A$11, 0), MATCH("Conservador", 02B_ESCENARIOS!$B$3:$D$3, 0)), IF(VLOOKUP(A477,04_PROYECTOS!$A:$N,4,FALSE)="Publico_&lt;10M",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VLOOKUP(A477,04_PROYECTOS!$A:$N,10,FALSE))</f>
        <v/>
      </c>
      <c r="I477">
        <f>ROUNDUP(H477/30,0)</f>
        <v/>
      </c>
      <c r="J477">
        <f>EDATE(C477,I477)</f>
        <v/>
      </c>
      <c r="K477">
        <f>G477</f>
        <v/>
      </c>
    </row>
    <row r="478">
      <c r="E478">
        <f>D478*VLOOKUP(A478,04_PROYECTOS!$A:$N,5,FALSE)*(INDEX(02B_ESCENARIOS!$B$4:$D$11, MATCH("MULT_PRECIO", 02B_ESCENARIOS!$A$4:$A$11, 0), MATCH("Conservador", 02B_ESCENARIOS!$B$3:$D$3, 0)))*INDEX(02B_ESCENARIOS!$B$15:$D$19, MATCH(VLOOKUP(A478,04_PROYECTOS!$A:$N,9,FALSE), 02B_ESCENARIOS!$A$15:$A$19, 0), MATCH("Conservador", 02B_ESCENARIOS!$B$14:$D$14, 0))</f>
        <v/>
      </c>
      <c r="F478">
        <f>E478*VLOOKUP(A478,04_PROYECTOS!$A:$N,6,FALSE)</f>
        <v/>
      </c>
      <c r="G478">
        <f>E478+F478</f>
        <v/>
      </c>
      <c r="H478">
        <f>IF(VLOOKUP(A478,04_PROYECTOS!$A:$N,10,FALSE)="", IF(VLOOKUP(A478,04_PROYECTOS!$A:$N,4,FALSE)="Privado", INDEX(02B_ESCENARIOS!$B$4:$D$11, MATCH("DSO_PRIVADO_DEFAULT", 02B_ESCENARIOS!$A$4:$A$11, 0), MATCH("Conservador", 02B_ESCENARIOS!$B$3:$D$3, 0)), IF(VLOOKUP(A478,04_PROYECTOS!$A:$N,4,FALSE)="Publico_&lt;10M",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VLOOKUP(A478,04_PROYECTOS!$A:$N,10,FALSE))</f>
        <v/>
      </c>
      <c r="I478">
        <f>ROUNDUP(H478/30,0)</f>
        <v/>
      </c>
      <c r="J478">
        <f>EDATE(C478,I478)</f>
        <v/>
      </c>
      <c r="K478">
        <f>G478</f>
        <v/>
      </c>
    </row>
    <row r="479">
      <c r="E479">
        <f>D479*VLOOKUP(A479,04_PROYECTOS!$A:$N,5,FALSE)*(INDEX(02B_ESCENARIOS!$B$4:$D$11, MATCH("MULT_PRECIO", 02B_ESCENARIOS!$A$4:$A$11, 0), MATCH("Conservador", 02B_ESCENARIOS!$B$3:$D$3, 0)))*INDEX(02B_ESCENARIOS!$B$15:$D$19, MATCH(VLOOKUP(A479,04_PROYECTOS!$A:$N,9,FALSE), 02B_ESCENARIOS!$A$15:$A$19, 0), MATCH("Conservador", 02B_ESCENARIOS!$B$14:$D$14, 0))</f>
        <v/>
      </c>
      <c r="F479">
        <f>E479*VLOOKUP(A479,04_PROYECTOS!$A:$N,6,FALSE)</f>
        <v/>
      </c>
      <c r="G479">
        <f>E479+F479</f>
        <v/>
      </c>
      <c r="H479">
        <f>IF(VLOOKUP(A479,04_PROYECTOS!$A:$N,10,FALSE)="", IF(VLOOKUP(A479,04_PROYECTOS!$A:$N,4,FALSE)="Privado", INDEX(02B_ESCENARIOS!$B$4:$D$11, MATCH("DSO_PRIVADO_DEFAULT", 02B_ESCENARIOS!$A$4:$A$11, 0), MATCH("Conservador", 02B_ESCENARIOS!$B$3:$D$3, 0)), IF(VLOOKUP(A479,04_PROYECTOS!$A:$N,4,FALSE)="Publico_&lt;10M",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VLOOKUP(A479,04_PROYECTOS!$A:$N,10,FALSE))</f>
        <v/>
      </c>
      <c r="I479">
        <f>ROUNDUP(H479/30,0)</f>
        <v/>
      </c>
      <c r="J479">
        <f>EDATE(C479,I479)</f>
        <v/>
      </c>
      <c r="K479">
        <f>G479</f>
        <v/>
      </c>
    </row>
    <row r="480">
      <c r="E480">
        <f>D480*VLOOKUP(A480,04_PROYECTOS!$A:$N,5,FALSE)*(INDEX(02B_ESCENARIOS!$B$4:$D$11, MATCH("MULT_PRECIO", 02B_ESCENARIOS!$A$4:$A$11, 0), MATCH("Conservador", 02B_ESCENARIOS!$B$3:$D$3, 0)))*INDEX(02B_ESCENARIOS!$B$15:$D$19, MATCH(VLOOKUP(A480,04_PROYECTOS!$A:$N,9,FALSE), 02B_ESCENARIOS!$A$15:$A$19, 0), MATCH("Conservador", 02B_ESCENARIOS!$B$14:$D$14, 0))</f>
        <v/>
      </c>
      <c r="F480">
        <f>E480*VLOOKUP(A480,04_PROYECTOS!$A:$N,6,FALSE)</f>
        <v/>
      </c>
      <c r="G480">
        <f>E480+F480</f>
        <v/>
      </c>
      <c r="H480">
        <f>IF(VLOOKUP(A480,04_PROYECTOS!$A:$N,10,FALSE)="", IF(VLOOKUP(A480,04_PROYECTOS!$A:$N,4,FALSE)="Privado", INDEX(02B_ESCENARIOS!$B$4:$D$11, MATCH("DSO_PRIVADO_DEFAULT", 02B_ESCENARIOS!$A$4:$A$11, 0), MATCH("Conservador", 02B_ESCENARIOS!$B$3:$D$3, 0)), IF(VLOOKUP(A480,04_PROYECTOS!$A:$N,4,FALSE)="Publico_&lt;10M",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VLOOKUP(A480,04_PROYECTOS!$A:$N,10,FALSE))</f>
        <v/>
      </c>
      <c r="I480">
        <f>ROUNDUP(H480/30,0)</f>
        <v/>
      </c>
      <c r="J480">
        <f>EDATE(C480,I480)</f>
        <v/>
      </c>
      <c r="K480">
        <f>G480</f>
        <v/>
      </c>
    </row>
    <row r="481">
      <c r="E481">
        <f>D481*VLOOKUP(A481,04_PROYECTOS!$A:$N,5,FALSE)*(INDEX(02B_ESCENARIOS!$B$4:$D$11, MATCH("MULT_PRECIO", 02B_ESCENARIOS!$A$4:$A$11, 0), MATCH("Conservador", 02B_ESCENARIOS!$B$3:$D$3, 0)))*INDEX(02B_ESCENARIOS!$B$15:$D$19, MATCH(VLOOKUP(A481,04_PROYECTOS!$A:$N,9,FALSE), 02B_ESCENARIOS!$A$15:$A$19, 0), MATCH("Conservador", 02B_ESCENARIOS!$B$14:$D$14, 0))</f>
        <v/>
      </c>
      <c r="F481">
        <f>E481*VLOOKUP(A481,04_PROYECTOS!$A:$N,6,FALSE)</f>
        <v/>
      </c>
      <c r="G481">
        <f>E481+F481</f>
        <v/>
      </c>
      <c r="H481">
        <f>IF(VLOOKUP(A481,04_PROYECTOS!$A:$N,10,FALSE)="", IF(VLOOKUP(A481,04_PROYECTOS!$A:$N,4,FALSE)="Privado", INDEX(02B_ESCENARIOS!$B$4:$D$11, MATCH("DSO_PRIVADO_DEFAULT", 02B_ESCENARIOS!$A$4:$A$11, 0), MATCH("Conservador", 02B_ESCENARIOS!$B$3:$D$3, 0)), IF(VLOOKUP(A481,04_PROYECTOS!$A:$N,4,FALSE)="Publico_&lt;10M",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VLOOKUP(A481,04_PROYECTOS!$A:$N,10,FALSE))</f>
        <v/>
      </c>
      <c r="I481">
        <f>ROUNDUP(H481/30,0)</f>
        <v/>
      </c>
      <c r="J481">
        <f>EDATE(C481,I481)</f>
        <v/>
      </c>
      <c r="K481">
        <f>G481</f>
        <v/>
      </c>
    </row>
    <row r="482">
      <c r="E482">
        <f>D482*VLOOKUP(A482,04_PROYECTOS!$A:$N,5,FALSE)*(INDEX(02B_ESCENARIOS!$B$4:$D$11, MATCH("MULT_PRECIO", 02B_ESCENARIOS!$A$4:$A$11, 0), MATCH("Conservador", 02B_ESCENARIOS!$B$3:$D$3, 0)))*INDEX(02B_ESCENARIOS!$B$15:$D$19, MATCH(VLOOKUP(A482,04_PROYECTOS!$A:$N,9,FALSE), 02B_ESCENARIOS!$A$15:$A$19, 0), MATCH("Conservador", 02B_ESCENARIOS!$B$14:$D$14, 0))</f>
        <v/>
      </c>
      <c r="F482">
        <f>E482*VLOOKUP(A482,04_PROYECTOS!$A:$N,6,FALSE)</f>
        <v/>
      </c>
      <c r="G482">
        <f>E482+F482</f>
        <v/>
      </c>
      <c r="H482">
        <f>IF(VLOOKUP(A482,04_PROYECTOS!$A:$N,10,FALSE)="", IF(VLOOKUP(A482,04_PROYECTOS!$A:$N,4,FALSE)="Privado", INDEX(02B_ESCENARIOS!$B$4:$D$11, MATCH("DSO_PRIVADO_DEFAULT", 02B_ESCENARIOS!$A$4:$A$11, 0), MATCH("Conservador", 02B_ESCENARIOS!$B$3:$D$3, 0)), IF(VLOOKUP(A482,04_PROYECTOS!$A:$N,4,FALSE)="Publico_&lt;10M",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VLOOKUP(A482,04_PROYECTOS!$A:$N,10,FALSE))</f>
        <v/>
      </c>
      <c r="I482">
        <f>ROUNDUP(H482/30,0)</f>
        <v/>
      </c>
      <c r="J482">
        <f>EDATE(C482,I482)</f>
        <v/>
      </c>
      <c r="K482">
        <f>G482</f>
        <v/>
      </c>
    </row>
    <row r="483">
      <c r="E483">
        <f>D483*VLOOKUP(A483,04_PROYECTOS!$A:$N,5,FALSE)*(INDEX(02B_ESCENARIOS!$B$4:$D$11, MATCH("MULT_PRECIO", 02B_ESCENARIOS!$A$4:$A$11, 0), MATCH("Conservador", 02B_ESCENARIOS!$B$3:$D$3, 0)))*INDEX(02B_ESCENARIOS!$B$15:$D$19, MATCH(VLOOKUP(A483,04_PROYECTOS!$A:$N,9,FALSE), 02B_ESCENARIOS!$A$15:$A$19, 0), MATCH("Conservador", 02B_ESCENARIOS!$B$14:$D$14, 0))</f>
        <v/>
      </c>
      <c r="F483">
        <f>E483*VLOOKUP(A483,04_PROYECTOS!$A:$N,6,FALSE)</f>
        <v/>
      </c>
      <c r="G483">
        <f>E483+F483</f>
        <v/>
      </c>
      <c r="H483">
        <f>IF(VLOOKUP(A483,04_PROYECTOS!$A:$N,10,FALSE)="", IF(VLOOKUP(A483,04_PROYECTOS!$A:$N,4,FALSE)="Privado", INDEX(02B_ESCENARIOS!$B$4:$D$11, MATCH("DSO_PRIVADO_DEFAULT", 02B_ESCENARIOS!$A$4:$A$11, 0), MATCH("Conservador", 02B_ESCENARIOS!$B$3:$D$3, 0)), IF(VLOOKUP(A483,04_PROYECTOS!$A:$N,4,FALSE)="Publico_&lt;10M",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VLOOKUP(A483,04_PROYECTOS!$A:$N,10,FALSE))</f>
        <v/>
      </c>
      <c r="I483">
        <f>ROUNDUP(H483/30,0)</f>
        <v/>
      </c>
      <c r="J483">
        <f>EDATE(C483,I483)</f>
        <v/>
      </c>
      <c r="K483">
        <f>G483</f>
        <v/>
      </c>
    </row>
    <row r="484">
      <c r="E484">
        <f>D484*VLOOKUP(A484,04_PROYECTOS!$A:$N,5,FALSE)*(INDEX(02B_ESCENARIOS!$B$4:$D$11, MATCH("MULT_PRECIO", 02B_ESCENARIOS!$A$4:$A$11, 0), MATCH("Conservador", 02B_ESCENARIOS!$B$3:$D$3, 0)))*INDEX(02B_ESCENARIOS!$B$15:$D$19, MATCH(VLOOKUP(A484,04_PROYECTOS!$A:$N,9,FALSE), 02B_ESCENARIOS!$A$15:$A$19, 0), MATCH("Conservador", 02B_ESCENARIOS!$B$14:$D$14, 0))</f>
        <v/>
      </c>
      <c r="F484">
        <f>E484*VLOOKUP(A484,04_PROYECTOS!$A:$N,6,FALSE)</f>
        <v/>
      </c>
      <c r="G484">
        <f>E484+F484</f>
        <v/>
      </c>
      <c r="H484">
        <f>IF(VLOOKUP(A484,04_PROYECTOS!$A:$N,10,FALSE)="", IF(VLOOKUP(A484,04_PROYECTOS!$A:$N,4,FALSE)="Privado", INDEX(02B_ESCENARIOS!$B$4:$D$11, MATCH("DSO_PRIVADO_DEFAULT", 02B_ESCENARIOS!$A$4:$A$11, 0), MATCH("Conservador", 02B_ESCENARIOS!$B$3:$D$3, 0)), IF(VLOOKUP(A484,04_PROYECTOS!$A:$N,4,FALSE)="Publico_&lt;10M",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VLOOKUP(A484,04_PROYECTOS!$A:$N,10,FALSE))</f>
        <v/>
      </c>
      <c r="I484">
        <f>ROUNDUP(H484/30,0)</f>
        <v/>
      </c>
      <c r="J484">
        <f>EDATE(C484,I484)</f>
        <v/>
      </c>
      <c r="K484">
        <f>G484</f>
        <v/>
      </c>
    </row>
    <row r="485">
      <c r="E485">
        <f>D485*VLOOKUP(A485,04_PROYECTOS!$A:$N,5,FALSE)*(INDEX(02B_ESCENARIOS!$B$4:$D$11, MATCH("MULT_PRECIO", 02B_ESCENARIOS!$A$4:$A$11, 0), MATCH("Conservador", 02B_ESCENARIOS!$B$3:$D$3, 0)))*INDEX(02B_ESCENARIOS!$B$15:$D$19, MATCH(VLOOKUP(A485,04_PROYECTOS!$A:$N,9,FALSE), 02B_ESCENARIOS!$A$15:$A$19, 0), MATCH("Conservador", 02B_ESCENARIOS!$B$14:$D$14, 0))</f>
        <v/>
      </c>
      <c r="F485">
        <f>E485*VLOOKUP(A485,04_PROYECTOS!$A:$N,6,FALSE)</f>
        <v/>
      </c>
      <c r="G485">
        <f>E485+F485</f>
        <v/>
      </c>
      <c r="H485">
        <f>IF(VLOOKUP(A485,04_PROYECTOS!$A:$N,10,FALSE)="", IF(VLOOKUP(A485,04_PROYECTOS!$A:$N,4,FALSE)="Privado", INDEX(02B_ESCENARIOS!$B$4:$D$11, MATCH("DSO_PRIVADO_DEFAULT", 02B_ESCENARIOS!$A$4:$A$11, 0), MATCH("Conservador", 02B_ESCENARIOS!$B$3:$D$3, 0)), IF(VLOOKUP(A485,04_PROYECTOS!$A:$N,4,FALSE)="Publico_&lt;10M",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VLOOKUP(A485,04_PROYECTOS!$A:$N,10,FALSE))</f>
        <v/>
      </c>
      <c r="I485">
        <f>ROUNDUP(H485/30,0)</f>
        <v/>
      </c>
      <c r="J485">
        <f>EDATE(C485,I485)</f>
        <v/>
      </c>
      <c r="K485">
        <f>G485</f>
        <v/>
      </c>
    </row>
    <row r="486">
      <c r="E486">
        <f>D486*VLOOKUP(A486,04_PROYECTOS!$A:$N,5,FALSE)*(INDEX(02B_ESCENARIOS!$B$4:$D$11, MATCH("MULT_PRECIO", 02B_ESCENARIOS!$A$4:$A$11, 0), MATCH("Conservador", 02B_ESCENARIOS!$B$3:$D$3, 0)))*INDEX(02B_ESCENARIOS!$B$15:$D$19, MATCH(VLOOKUP(A486,04_PROYECTOS!$A:$N,9,FALSE), 02B_ESCENARIOS!$A$15:$A$19, 0), MATCH("Conservador", 02B_ESCENARIOS!$B$14:$D$14, 0))</f>
        <v/>
      </c>
      <c r="F486">
        <f>E486*VLOOKUP(A486,04_PROYECTOS!$A:$N,6,FALSE)</f>
        <v/>
      </c>
      <c r="G486">
        <f>E486+F486</f>
        <v/>
      </c>
      <c r="H486">
        <f>IF(VLOOKUP(A486,04_PROYECTOS!$A:$N,10,FALSE)="", IF(VLOOKUP(A486,04_PROYECTOS!$A:$N,4,FALSE)="Privado", INDEX(02B_ESCENARIOS!$B$4:$D$11, MATCH("DSO_PRIVADO_DEFAULT", 02B_ESCENARIOS!$A$4:$A$11, 0), MATCH("Conservador", 02B_ESCENARIOS!$B$3:$D$3, 0)), IF(VLOOKUP(A486,04_PROYECTOS!$A:$N,4,FALSE)="Publico_&lt;10M",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VLOOKUP(A486,04_PROYECTOS!$A:$N,10,FALSE))</f>
        <v/>
      </c>
      <c r="I486">
        <f>ROUNDUP(H486/30,0)</f>
        <v/>
      </c>
      <c r="J486">
        <f>EDATE(C486,I486)</f>
        <v/>
      </c>
      <c r="K486">
        <f>G486</f>
        <v/>
      </c>
    </row>
    <row r="487">
      <c r="E487">
        <f>D487*VLOOKUP(A487,04_PROYECTOS!$A:$N,5,FALSE)*(INDEX(02B_ESCENARIOS!$B$4:$D$11, MATCH("MULT_PRECIO", 02B_ESCENARIOS!$A$4:$A$11, 0), MATCH("Conservador", 02B_ESCENARIOS!$B$3:$D$3, 0)))*INDEX(02B_ESCENARIOS!$B$15:$D$19, MATCH(VLOOKUP(A487,04_PROYECTOS!$A:$N,9,FALSE), 02B_ESCENARIOS!$A$15:$A$19, 0), MATCH("Conservador", 02B_ESCENARIOS!$B$14:$D$14, 0))</f>
        <v/>
      </c>
      <c r="F487">
        <f>E487*VLOOKUP(A487,04_PROYECTOS!$A:$N,6,FALSE)</f>
        <v/>
      </c>
      <c r="G487">
        <f>E487+F487</f>
        <v/>
      </c>
      <c r="H487">
        <f>IF(VLOOKUP(A487,04_PROYECTOS!$A:$N,10,FALSE)="", IF(VLOOKUP(A487,04_PROYECTOS!$A:$N,4,FALSE)="Privado", INDEX(02B_ESCENARIOS!$B$4:$D$11, MATCH("DSO_PRIVADO_DEFAULT", 02B_ESCENARIOS!$A$4:$A$11, 0), MATCH("Conservador", 02B_ESCENARIOS!$B$3:$D$3, 0)), IF(VLOOKUP(A487,04_PROYECTOS!$A:$N,4,FALSE)="Publico_&lt;10M",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VLOOKUP(A487,04_PROYECTOS!$A:$N,10,FALSE))</f>
        <v/>
      </c>
      <c r="I487">
        <f>ROUNDUP(H487/30,0)</f>
        <v/>
      </c>
      <c r="J487">
        <f>EDATE(C487,I487)</f>
        <v/>
      </c>
      <c r="K487">
        <f>G487</f>
        <v/>
      </c>
    </row>
    <row r="488">
      <c r="E488">
        <f>D488*VLOOKUP(A488,04_PROYECTOS!$A:$N,5,FALSE)*(INDEX(02B_ESCENARIOS!$B$4:$D$11, MATCH("MULT_PRECIO", 02B_ESCENARIOS!$A$4:$A$11, 0), MATCH("Conservador", 02B_ESCENARIOS!$B$3:$D$3, 0)))*INDEX(02B_ESCENARIOS!$B$15:$D$19, MATCH(VLOOKUP(A488,04_PROYECTOS!$A:$N,9,FALSE), 02B_ESCENARIOS!$A$15:$A$19, 0), MATCH("Conservador", 02B_ESCENARIOS!$B$14:$D$14, 0))</f>
        <v/>
      </c>
      <c r="F488">
        <f>E488*VLOOKUP(A488,04_PROYECTOS!$A:$N,6,FALSE)</f>
        <v/>
      </c>
      <c r="G488">
        <f>E488+F488</f>
        <v/>
      </c>
      <c r="H488">
        <f>IF(VLOOKUP(A488,04_PROYECTOS!$A:$N,10,FALSE)="", IF(VLOOKUP(A488,04_PROYECTOS!$A:$N,4,FALSE)="Privado", INDEX(02B_ESCENARIOS!$B$4:$D$11, MATCH("DSO_PRIVADO_DEFAULT", 02B_ESCENARIOS!$A$4:$A$11, 0), MATCH("Conservador", 02B_ESCENARIOS!$B$3:$D$3, 0)), IF(VLOOKUP(A488,04_PROYECTOS!$A:$N,4,FALSE)="Publico_&lt;10M",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VLOOKUP(A488,04_PROYECTOS!$A:$N,10,FALSE))</f>
        <v/>
      </c>
      <c r="I488">
        <f>ROUNDUP(H488/30,0)</f>
        <v/>
      </c>
      <c r="J488">
        <f>EDATE(C488,I488)</f>
        <v/>
      </c>
      <c r="K488">
        <f>G488</f>
        <v/>
      </c>
    </row>
    <row r="489">
      <c r="E489">
        <f>D489*VLOOKUP(A489,04_PROYECTOS!$A:$N,5,FALSE)*(INDEX(02B_ESCENARIOS!$B$4:$D$11, MATCH("MULT_PRECIO", 02B_ESCENARIOS!$A$4:$A$11, 0), MATCH("Conservador", 02B_ESCENARIOS!$B$3:$D$3, 0)))*INDEX(02B_ESCENARIOS!$B$15:$D$19, MATCH(VLOOKUP(A489,04_PROYECTOS!$A:$N,9,FALSE), 02B_ESCENARIOS!$A$15:$A$19, 0), MATCH("Conservador", 02B_ESCENARIOS!$B$14:$D$14, 0))</f>
        <v/>
      </c>
      <c r="F489">
        <f>E489*VLOOKUP(A489,04_PROYECTOS!$A:$N,6,FALSE)</f>
        <v/>
      </c>
      <c r="G489">
        <f>E489+F489</f>
        <v/>
      </c>
      <c r="H489">
        <f>IF(VLOOKUP(A489,04_PROYECTOS!$A:$N,10,FALSE)="", IF(VLOOKUP(A489,04_PROYECTOS!$A:$N,4,FALSE)="Privado", INDEX(02B_ESCENARIOS!$B$4:$D$11, MATCH("DSO_PRIVADO_DEFAULT", 02B_ESCENARIOS!$A$4:$A$11, 0), MATCH("Conservador", 02B_ESCENARIOS!$B$3:$D$3, 0)), IF(VLOOKUP(A489,04_PROYECTOS!$A:$N,4,FALSE)="Publico_&lt;10M",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VLOOKUP(A489,04_PROYECTOS!$A:$N,10,FALSE))</f>
        <v/>
      </c>
      <c r="I489">
        <f>ROUNDUP(H489/30,0)</f>
        <v/>
      </c>
      <c r="J489">
        <f>EDATE(C489,I489)</f>
        <v/>
      </c>
      <c r="K489">
        <f>G489</f>
        <v/>
      </c>
    </row>
    <row r="490">
      <c r="E490">
        <f>D490*VLOOKUP(A490,04_PROYECTOS!$A:$N,5,FALSE)*(INDEX(02B_ESCENARIOS!$B$4:$D$11, MATCH("MULT_PRECIO", 02B_ESCENARIOS!$A$4:$A$11, 0), MATCH("Conservador", 02B_ESCENARIOS!$B$3:$D$3, 0)))*INDEX(02B_ESCENARIOS!$B$15:$D$19, MATCH(VLOOKUP(A490,04_PROYECTOS!$A:$N,9,FALSE), 02B_ESCENARIOS!$A$15:$A$19, 0), MATCH("Conservador", 02B_ESCENARIOS!$B$14:$D$14, 0))</f>
        <v/>
      </c>
      <c r="F490">
        <f>E490*VLOOKUP(A490,04_PROYECTOS!$A:$N,6,FALSE)</f>
        <v/>
      </c>
      <c r="G490">
        <f>E490+F490</f>
        <v/>
      </c>
      <c r="H490">
        <f>IF(VLOOKUP(A490,04_PROYECTOS!$A:$N,10,FALSE)="", IF(VLOOKUP(A490,04_PROYECTOS!$A:$N,4,FALSE)="Privado", INDEX(02B_ESCENARIOS!$B$4:$D$11, MATCH("DSO_PRIVADO_DEFAULT", 02B_ESCENARIOS!$A$4:$A$11, 0), MATCH("Conservador", 02B_ESCENARIOS!$B$3:$D$3, 0)), IF(VLOOKUP(A490,04_PROYECTOS!$A:$N,4,FALSE)="Publico_&lt;10M",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VLOOKUP(A490,04_PROYECTOS!$A:$N,10,FALSE))</f>
        <v/>
      </c>
      <c r="I490">
        <f>ROUNDUP(H490/30,0)</f>
        <v/>
      </c>
      <c r="J490">
        <f>EDATE(C490,I490)</f>
        <v/>
      </c>
      <c r="K490">
        <f>G490</f>
        <v/>
      </c>
    </row>
    <row r="491">
      <c r="E491">
        <f>D491*VLOOKUP(A491,04_PROYECTOS!$A:$N,5,FALSE)*(INDEX(02B_ESCENARIOS!$B$4:$D$11, MATCH("MULT_PRECIO", 02B_ESCENARIOS!$A$4:$A$11, 0), MATCH("Conservador", 02B_ESCENARIOS!$B$3:$D$3, 0)))*INDEX(02B_ESCENARIOS!$B$15:$D$19, MATCH(VLOOKUP(A491,04_PROYECTOS!$A:$N,9,FALSE), 02B_ESCENARIOS!$A$15:$A$19, 0), MATCH("Conservador", 02B_ESCENARIOS!$B$14:$D$14, 0))</f>
        <v/>
      </c>
      <c r="F491">
        <f>E491*VLOOKUP(A491,04_PROYECTOS!$A:$N,6,FALSE)</f>
        <v/>
      </c>
      <c r="G491">
        <f>E491+F491</f>
        <v/>
      </c>
      <c r="H491">
        <f>IF(VLOOKUP(A491,04_PROYECTOS!$A:$N,10,FALSE)="", IF(VLOOKUP(A491,04_PROYECTOS!$A:$N,4,FALSE)="Privado", INDEX(02B_ESCENARIOS!$B$4:$D$11, MATCH("DSO_PRIVADO_DEFAULT", 02B_ESCENARIOS!$A$4:$A$11, 0), MATCH("Conservador", 02B_ESCENARIOS!$B$3:$D$3, 0)), IF(VLOOKUP(A491,04_PROYECTOS!$A:$N,4,FALSE)="Publico_&lt;10M",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VLOOKUP(A491,04_PROYECTOS!$A:$N,10,FALSE))</f>
        <v/>
      </c>
      <c r="I491">
        <f>ROUNDUP(H491/30,0)</f>
        <v/>
      </c>
      <c r="J491">
        <f>EDATE(C491,I491)</f>
        <v/>
      </c>
      <c r="K491">
        <f>G491</f>
        <v/>
      </c>
    </row>
    <row r="492">
      <c r="E492">
        <f>D492*VLOOKUP(A492,04_PROYECTOS!$A:$N,5,FALSE)*(INDEX(02B_ESCENARIOS!$B$4:$D$11, MATCH("MULT_PRECIO", 02B_ESCENARIOS!$A$4:$A$11, 0), MATCH("Conservador", 02B_ESCENARIOS!$B$3:$D$3, 0)))*INDEX(02B_ESCENARIOS!$B$15:$D$19, MATCH(VLOOKUP(A492,04_PROYECTOS!$A:$N,9,FALSE), 02B_ESCENARIOS!$A$15:$A$19, 0), MATCH("Conservador", 02B_ESCENARIOS!$B$14:$D$14, 0))</f>
        <v/>
      </c>
      <c r="F492">
        <f>E492*VLOOKUP(A492,04_PROYECTOS!$A:$N,6,FALSE)</f>
        <v/>
      </c>
      <c r="G492">
        <f>E492+F492</f>
        <v/>
      </c>
      <c r="H492">
        <f>IF(VLOOKUP(A492,04_PROYECTOS!$A:$N,10,FALSE)="", IF(VLOOKUP(A492,04_PROYECTOS!$A:$N,4,FALSE)="Privado", INDEX(02B_ESCENARIOS!$B$4:$D$11, MATCH("DSO_PRIVADO_DEFAULT", 02B_ESCENARIOS!$A$4:$A$11, 0), MATCH("Conservador", 02B_ESCENARIOS!$B$3:$D$3, 0)), IF(VLOOKUP(A492,04_PROYECTOS!$A:$N,4,FALSE)="Publico_&lt;10M",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VLOOKUP(A492,04_PROYECTOS!$A:$N,10,FALSE))</f>
        <v/>
      </c>
      <c r="I492">
        <f>ROUNDUP(H492/30,0)</f>
        <v/>
      </c>
      <c r="J492">
        <f>EDATE(C492,I492)</f>
        <v/>
      </c>
      <c r="K492">
        <f>G492</f>
        <v/>
      </c>
    </row>
    <row r="493">
      <c r="E493">
        <f>D493*VLOOKUP(A493,04_PROYECTOS!$A:$N,5,FALSE)*(INDEX(02B_ESCENARIOS!$B$4:$D$11, MATCH("MULT_PRECIO", 02B_ESCENARIOS!$A$4:$A$11, 0), MATCH("Conservador", 02B_ESCENARIOS!$B$3:$D$3, 0)))*INDEX(02B_ESCENARIOS!$B$15:$D$19, MATCH(VLOOKUP(A493,04_PROYECTOS!$A:$N,9,FALSE), 02B_ESCENARIOS!$A$15:$A$19, 0), MATCH("Conservador", 02B_ESCENARIOS!$B$14:$D$14, 0))</f>
        <v/>
      </c>
      <c r="F493">
        <f>E493*VLOOKUP(A493,04_PROYECTOS!$A:$N,6,FALSE)</f>
        <v/>
      </c>
      <c r="G493">
        <f>E493+F493</f>
        <v/>
      </c>
      <c r="H493">
        <f>IF(VLOOKUP(A493,04_PROYECTOS!$A:$N,10,FALSE)="", IF(VLOOKUP(A493,04_PROYECTOS!$A:$N,4,FALSE)="Privado", INDEX(02B_ESCENARIOS!$B$4:$D$11, MATCH("DSO_PRIVADO_DEFAULT", 02B_ESCENARIOS!$A$4:$A$11, 0), MATCH("Conservador", 02B_ESCENARIOS!$B$3:$D$3, 0)), IF(VLOOKUP(A493,04_PROYECTOS!$A:$N,4,FALSE)="Publico_&lt;10M",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VLOOKUP(A493,04_PROYECTOS!$A:$N,10,FALSE))</f>
        <v/>
      </c>
      <c r="I493">
        <f>ROUNDUP(H493/30,0)</f>
        <v/>
      </c>
      <c r="J493">
        <f>EDATE(C493,I493)</f>
        <v/>
      </c>
      <c r="K493">
        <f>G493</f>
        <v/>
      </c>
    </row>
    <row r="494">
      <c r="E494">
        <f>D494*VLOOKUP(A494,04_PROYECTOS!$A:$N,5,FALSE)*(INDEX(02B_ESCENARIOS!$B$4:$D$11, MATCH("MULT_PRECIO", 02B_ESCENARIOS!$A$4:$A$11, 0), MATCH("Conservador", 02B_ESCENARIOS!$B$3:$D$3, 0)))*INDEX(02B_ESCENARIOS!$B$15:$D$19, MATCH(VLOOKUP(A494,04_PROYECTOS!$A:$N,9,FALSE), 02B_ESCENARIOS!$A$15:$A$19, 0), MATCH("Conservador", 02B_ESCENARIOS!$B$14:$D$14, 0))</f>
        <v/>
      </c>
      <c r="F494">
        <f>E494*VLOOKUP(A494,04_PROYECTOS!$A:$N,6,FALSE)</f>
        <v/>
      </c>
      <c r="G494">
        <f>E494+F494</f>
        <v/>
      </c>
      <c r="H494">
        <f>IF(VLOOKUP(A494,04_PROYECTOS!$A:$N,10,FALSE)="", IF(VLOOKUP(A494,04_PROYECTOS!$A:$N,4,FALSE)="Privado", INDEX(02B_ESCENARIOS!$B$4:$D$11, MATCH("DSO_PRIVADO_DEFAULT", 02B_ESCENARIOS!$A$4:$A$11, 0), MATCH("Conservador", 02B_ESCENARIOS!$B$3:$D$3, 0)), IF(VLOOKUP(A494,04_PROYECTOS!$A:$N,4,FALSE)="Publico_&lt;10M",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VLOOKUP(A494,04_PROYECTOS!$A:$N,10,FALSE))</f>
        <v/>
      </c>
      <c r="I494">
        <f>ROUNDUP(H494/30,0)</f>
        <v/>
      </c>
      <c r="J494">
        <f>EDATE(C494,I494)</f>
        <v/>
      </c>
      <c r="K494">
        <f>G494</f>
        <v/>
      </c>
    </row>
    <row r="495">
      <c r="E495">
        <f>D495*VLOOKUP(A495,04_PROYECTOS!$A:$N,5,FALSE)*(INDEX(02B_ESCENARIOS!$B$4:$D$11, MATCH("MULT_PRECIO", 02B_ESCENARIOS!$A$4:$A$11, 0), MATCH("Conservador", 02B_ESCENARIOS!$B$3:$D$3, 0)))*INDEX(02B_ESCENARIOS!$B$15:$D$19, MATCH(VLOOKUP(A495,04_PROYECTOS!$A:$N,9,FALSE), 02B_ESCENARIOS!$A$15:$A$19, 0), MATCH("Conservador", 02B_ESCENARIOS!$B$14:$D$14, 0))</f>
        <v/>
      </c>
      <c r="F495">
        <f>E495*VLOOKUP(A495,04_PROYECTOS!$A:$N,6,FALSE)</f>
        <v/>
      </c>
      <c r="G495">
        <f>E495+F495</f>
        <v/>
      </c>
      <c r="H495">
        <f>IF(VLOOKUP(A495,04_PROYECTOS!$A:$N,10,FALSE)="", IF(VLOOKUP(A495,04_PROYECTOS!$A:$N,4,FALSE)="Privado", INDEX(02B_ESCENARIOS!$B$4:$D$11, MATCH("DSO_PRIVADO_DEFAULT", 02B_ESCENARIOS!$A$4:$A$11, 0), MATCH("Conservador", 02B_ESCENARIOS!$B$3:$D$3, 0)), IF(VLOOKUP(A495,04_PROYECTOS!$A:$N,4,FALSE)="Publico_&lt;10M",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VLOOKUP(A495,04_PROYECTOS!$A:$N,10,FALSE))</f>
        <v/>
      </c>
      <c r="I495">
        <f>ROUNDUP(H495/30,0)</f>
        <v/>
      </c>
      <c r="J495">
        <f>EDATE(C495,I495)</f>
        <v/>
      </c>
      <c r="K495">
        <f>G495</f>
        <v/>
      </c>
    </row>
    <row r="496">
      <c r="E496">
        <f>D496*VLOOKUP(A496,04_PROYECTOS!$A:$N,5,FALSE)*(INDEX(02B_ESCENARIOS!$B$4:$D$11, MATCH("MULT_PRECIO", 02B_ESCENARIOS!$A$4:$A$11, 0), MATCH("Conservador", 02B_ESCENARIOS!$B$3:$D$3, 0)))*INDEX(02B_ESCENARIOS!$B$15:$D$19, MATCH(VLOOKUP(A496,04_PROYECTOS!$A:$N,9,FALSE), 02B_ESCENARIOS!$A$15:$A$19, 0), MATCH("Conservador", 02B_ESCENARIOS!$B$14:$D$14, 0))</f>
        <v/>
      </c>
      <c r="F496">
        <f>E496*VLOOKUP(A496,04_PROYECTOS!$A:$N,6,FALSE)</f>
        <v/>
      </c>
      <c r="G496">
        <f>E496+F496</f>
        <v/>
      </c>
      <c r="H496">
        <f>IF(VLOOKUP(A496,04_PROYECTOS!$A:$N,10,FALSE)="", IF(VLOOKUP(A496,04_PROYECTOS!$A:$N,4,FALSE)="Privado", INDEX(02B_ESCENARIOS!$B$4:$D$11, MATCH("DSO_PRIVADO_DEFAULT", 02B_ESCENARIOS!$A$4:$A$11, 0), MATCH("Conservador", 02B_ESCENARIOS!$B$3:$D$3, 0)), IF(VLOOKUP(A496,04_PROYECTOS!$A:$N,4,FALSE)="Publico_&lt;10M",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VLOOKUP(A496,04_PROYECTOS!$A:$N,10,FALSE))</f>
        <v/>
      </c>
      <c r="I496">
        <f>ROUNDUP(H496/30,0)</f>
        <v/>
      </c>
      <c r="J496">
        <f>EDATE(C496,I496)</f>
        <v/>
      </c>
      <c r="K496">
        <f>G496</f>
        <v/>
      </c>
    </row>
    <row r="497">
      <c r="E497">
        <f>D497*VLOOKUP(A497,04_PROYECTOS!$A:$N,5,FALSE)*(INDEX(02B_ESCENARIOS!$B$4:$D$11, MATCH("MULT_PRECIO", 02B_ESCENARIOS!$A$4:$A$11, 0), MATCH("Conservador", 02B_ESCENARIOS!$B$3:$D$3, 0)))*INDEX(02B_ESCENARIOS!$B$15:$D$19, MATCH(VLOOKUP(A497,04_PROYECTOS!$A:$N,9,FALSE), 02B_ESCENARIOS!$A$15:$A$19, 0), MATCH("Conservador", 02B_ESCENARIOS!$B$14:$D$14, 0))</f>
        <v/>
      </c>
      <c r="F497">
        <f>E497*VLOOKUP(A497,04_PROYECTOS!$A:$N,6,FALSE)</f>
        <v/>
      </c>
      <c r="G497">
        <f>E497+F497</f>
        <v/>
      </c>
      <c r="H497">
        <f>IF(VLOOKUP(A497,04_PROYECTOS!$A:$N,10,FALSE)="", IF(VLOOKUP(A497,04_PROYECTOS!$A:$N,4,FALSE)="Privado", INDEX(02B_ESCENARIOS!$B$4:$D$11, MATCH("DSO_PRIVADO_DEFAULT", 02B_ESCENARIOS!$A$4:$A$11, 0), MATCH("Conservador", 02B_ESCENARIOS!$B$3:$D$3, 0)), IF(VLOOKUP(A497,04_PROYECTOS!$A:$N,4,FALSE)="Publico_&lt;10M",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VLOOKUP(A497,04_PROYECTOS!$A:$N,10,FALSE))</f>
        <v/>
      </c>
      <c r="I497">
        <f>ROUNDUP(H497/30,0)</f>
        <v/>
      </c>
      <c r="J497">
        <f>EDATE(C497,I497)</f>
        <v/>
      </c>
      <c r="K497">
        <f>G497</f>
        <v/>
      </c>
    </row>
    <row r="498">
      <c r="E498">
        <f>D498*VLOOKUP(A498,04_PROYECTOS!$A:$N,5,FALSE)*(INDEX(02B_ESCENARIOS!$B$4:$D$11, MATCH("MULT_PRECIO", 02B_ESCENARIOS!$A$4:$A$11, 0), MATCH("Conservador", 02B_ESCENARIOS!$B$3:$D$3, 0)))*INDEX(02B_ESCENARIOS!$B$15:$D$19, MATCH(VLOOKUP(A498,04_PROYECTOS!$A:$N,9,FALSE), 02B_ESCENARIOS!$A$15:$A$19, 0), MATCH("Conservador", 02B_ESCENARIOS!$B$14:$D$14, 0))</f>
        <v/>
      </c>
      <c r="F498">
        <f>E498*VLOOKUP(A498,04_PROYECTOS!$A:$N,6,FALSE)</f>
        <v/>
      </c>
      <c r="G498">
        <f>E498+F498</f>
        <v/>
      </c>
      <c r="H498">
        <f>IF(VLOOKUP(A498,04_PROYECTOS!$A:$N,10,FALSE)="", IF(VLOOKUP(A498,04_PROYECTOS!$A:$N,4,FALSE)="Privado", INDEX(02B_ESCENARIOS!$B$4:$D$11, MATCH("DSO_PRIVADO_DEFAULT", 02B_ESCENARIOS!$A$4:$A$11, 0), MATCH("Conservador", 02B_ESCENARIOS!$B$3:$D$3, 0)), IF(VLOOKUP(A498,04_PROYECTOS!$A:$N,4,FALSE)="Publico_&lt;10M",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VLOOKUP(A498,04_PROYECTOS!$A:$N,10,FALSE))</f>
        <v/>
      </c>
      <c r="I498">
        <f>ROUNDUP(H498/30,0)</f>
        <v/>
      </c>
      <c r="J498">
        <f>EDATE(C498,I498)</f>
        <v/>
      </c>
      <c r="K498">
        <f>G498</f>
        <v/>
      </c>
    </row>
    <row r="499">
      <c r="E499">
        <f>D499*VLOOKUP(A499,04_PROYECTOS!$A:$N,5,FALSE)*(INDEX(02B_ESCENARIOS!$B$4:$D$11, MATCH("MULT_PRECIO", 02B_ESCENARIOS!$A$4:$A$11, 0), MATCH("Conservador", 02B_ESCENARIOS!$B$3:$D$3, 0)))*INDEX(02B_ESCENARIOS!$B$15:$D$19, MATCH(VLOOKUP(A499,04_PROYECTOS!$A:$N,9,FALSE), 02B_ESCENARIOS!$A$15:$A$19, 0), MATCH("Conservador", 02B_ESCENARIOS!$B$14:$D$14, 0))</f>
        <v/>
      </c>
      <c r="F499">
        <f>E499*VLOOKUP(A499,04_PROYECTOS!$A:$N,6,FALSE)</f>
        <v/>
      </c>
      <c r="G499">
        <f>E499+F499</f>
        <v/>
      </c>
      <c r="H499">
        <f>IF(VLOOKUP(A499,04_PROYECTOS!$A:$N,10,FALSE)="", IF(VLOOKUP(A499,04_PROYECTOS!$A:$N,4,FALSE)="Privado", INDEX(02B_ESCENARIOS!$B$4:$D$11, MATCH("DSO_PRIVADO_DEFAULT", 02B_ESCENARIOS!$A$4:$A$11, 0), MATCH("Conservador", 02B_ESCENARIOS!$B$3:$D$3, 0)), IF(VLOOKUP(A499,04_PROYECTOS!$A:$N,4,FALSE)="Publico_&lt;10M",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VLOOKUP(A499,04_PROYECTOS!$A:$N,10,FALSE))</f>
        <v/>
      </c>
      <c r="I499">
        <f>ROUNDUP(H499/30,0)</f>
        <v/>
      </c>
      <c r="J499">
        <f>EDATE(C499,I499)</f>
        <v/>
      </c>
      <c r="K499">
        <f>G499</f>
        <v/>
      </c>
    </row>
    <row r="500">
      <c r="E500">
        <f>D500*VLOOKUP(A500,04_PROYECTOS!$A:$N,5,FALSE)*(INDEX(02B_ESCENARIOS!$B$4:$D$11, MATCH("MULT_PRECIO", 02B_ESCENARIOS!$A$4:$A$11, 0), MATCH("Conservador", 02B_ESCENARIOS!$B$3:$D$3, 0)))*INDEX(02B_ESCENARIOS!$B$15:$D$19, MATCH(VLOOKUP(A500,04_PROYECTOS!$A:$N,9,FALSE), 02B_ESCENARIOS!$A$15:$A$19, 0), MATCH("Conservador", 02B_ESCENARIOS!$B$14:$D$14, 0))</f>
        <v/>
      </c>
      <c r="F500">
        <f>E500*VLOOKUP(A500,04_PROYECTOS!$A:$N,6,FALSE)</f>
        <v/>
      </c>
      <c r="G500">
        <f>E500+F500</f>
        <v/>
      </c>
      <c r="H500">
        <f>IF(VLOOKUP(A500,04_PROYECTOS!$A:$N,10,FALSE)="", IF(VLOOKUP(A500,04_PROYECTOS!$A:$N,4,FALSE)="Privado", INDEX(02B_ESCENARIOS!$B$4:$D$11, MATCH("DSO_PRIVADO_DEFAULT", 02B_ESCENARIOS!$A$4:$A$11, 0), MATCH("Conservador", 02B_ESCENARIOS!$B$3:$D$3, 0)), IF(VLOOKUP(A500,04_PROYECTOS!$A:$N,4,FALSE)="Publico_&lt;10M", INDEX(02B_ESCENARIOS!$B$4:$D$11, MATCH("DSO_PUBLICO_LT10M_DEFAULT", 02B_ESCENARIOS!$A$4:$A$11, 0), MATCH("Conservador", 02B_ESCENARIOS!$B$3:$D$3, 0)), INDEX(02B_ESCENARIOS!$B$4:$D$11, MATCH("DSO_PUBLICO_GTE10M_DEFAULT", 02B_ESCENARIOS!$A$4:$A$11, 0), MATCH("Conservador", 02B_ESCENARIOS!$B$3:$D$3, 0)))), VLOOKUP(A500,04_PROYECTOS!$A:$N,10,FALSE))</f>
        <v/>
      </c>
      <c r="I500">
        <f>ROUNDUP(H500/30,0)</f>
        <v/>
      </c>
      <c r="J500">
        <f>EDATE(C500,I500)</f>
        <v/>
      </c>
      <c r="K500">
        <f>G500</f>
        <v/>
      </c>
    </row>
  </sheetData>
  <mergeCells count="1">
    <mergeCell ref="A1:M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</cols>
  <sheetData>
    <row r="1">
      <c r="A1" s="7" t="inlineStr">
        <is>
          <t>OPEX — PLAN MENSUAL NETO (Calculado)</t>
        </is>
      </c>
    </row>
    <row r="3">
      <c r="A3" s="8" t="inlineStr">
        <is>
          <t>OPEX_ID</t>
        </is>
      </c>
      <c r="B3" s="8" t="inlineStr">
        <is>
          <t>Concepto</t>
        </is>
      </c>
      <c r="C3" s="8" t="inlineStr">
        <is>
          <t>Recurrencia</t>
        </is>
      </c>
      <c r="D3" s="8" t="inlineStr">
        <is>
          <t>IVA_afecto</t>
        </is>
      </c>
      <c r="E3" s="31" t="n">
        <v>46053</v>
      </c>
      <c r="F3" s="31" t="n">
        <v>46081</v>
      </c>
      <c r="G3" s="31" t="n">
        <v>46112</v>
      </c>
      <c r="H3" s="31" t="n">
        <v>46142</v>
      </c>
      <c r="I3" s="31" t="n">
        <v>46173</v>
      </c>
      <c r="J3" s="31" t="n">
        <v>46203</v>
      </c>
      <c r="K3" s="31" t="n">
        <v>46234</v>
      </c>
      <c r="L3" s="31" t="n">
        <v>46265</v>
      </c>
      <c r="M3" s="31" t="n">
        <v>46295</v>
      </c>
      <c r="N3" s="31" t="n">
        <v>46326</v>
      </c>
      <c r="O3" s="31" t="n">
        <v>46356</v>
      </c>
      <c r="P3" s="31" t="n">
        <v>46387</v>
      </c>
      <c r="Q3" s="8" t="inlineStr">
        <is>
          <t>Total_Año</t>
        </is>
      </c>
    </row>
    <row r="4">
      <c r="A4" s="36" t="inlineStr">
        <is>
          <t>OPEX-001</t>
        </is>
      </c>
      <c r="B4" s="36">
        <f>IFERROR(VLOOKUP($A4,06_OPEX!$A:$L,2,FALSE),"")</f>
        <v/>
      </c>
      <c r="C4" s="37">
        <f>IFERROR(VLOOKUP($A4,06_OPEX!$A:$L,4,FALSE),"")</f>
        <v/>
      </c>
      <c r="D4" s="37">
        <f>IFERROR(VLOOKUP($A4,06_OPEX!$A:$L,7,FALSE),"")</f>
        <v/>
      </c>
      <c r="E4" s="52">
        <f>(IF($C4="Mensual",IF(AND(E$3&gt;=VLOOKUP($A4,06_OPEX!$A:$L,8,FALSE),E$3&lt;=VLOOKUP($A4,06_OPEX!$A:$L,9,FALSE)),-VLOOKUP($A4,06_OPEX!$A:$L,6,FALSE),0),IF($C4="Unico",IF(E$3=VLOOKUP($A4,06_OPEX!$A:$L,10,FALSE),-VLOOKUP($A4,06_OPEX!$A:$L,6,FALSE),0),IF($C4="Custom",-IFERROR(VLOOKUP($A4,06C_OPEX_CUSTOM!$A:$O,2+MATCH(E$3,06C_OPEX_CUSTOM!$C$3:$N$3,0),FALSE),0),0))))*IFERROR(IF(VLOOKUP($A4,06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F4" s="52">
        <f>(IF($C4="Mensual",IF(AND(F$3&gt;=VLOOKUP($A4,06_OPEX!$A:$L,8,FALSE),F$3&lt;=VLOOKUP($A4,06_OPEX!$A:$L,9,FALSE)),-VLOOKUP($A4,06_OPEX!$A:$L,6,FALSE),0),IF($C4="Unico",IF(F$3=VLOOKUP($A4,06_OPEX!$A:$L,10,FALSE),-VLOOKUP($A4,06_OPEX!$A:$L,6,FALSE),0),IF($C4="Custom",-IFERROR(VLOOKUP($A4,06C_OPEX_CUSTOM!$A:$O,2+MATCH(F$3,06C_OPEX_CUSTOM!$C$3:$N$3,0),FALSE),0),0))))*IFERROR(IF(VLOOKUP($A4,06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G4" s="52">
        <f>(IF($C4="Mensual",IF(AND(G$3&gt;=VLOOKUP($A4,06_OPEX!$A:$L,8,FALSE),G$3&lt;=VLOOKUP($A4,06_OPEX!$A:$L,9,FALSE)),-VLOOKUP($A4,06_OPEX!$A:$L,6,FALSE),0),IF($C4="Unico",IF(G$3=VLOOKUP($A4,06_OPEX!$A:$L,10,FALSE),-VLOOKUP($A4,06_OPEX!$A:$L,6,FALSE),0),IF($C4="Custom",-IFERROR(VLOOKUP($A4,06C_OPEX_CUSTOM!$A:$O,2+MATCH(G$3,06C_OPEX_CUSTOM!$C$3:$N$3,0),FALSE),0),0))))*IFERROR(IF(VLOOKUP($A4,06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H4" s="52">
        <f>(IF($C4="Mensual",IF(AND(H$3&gt;=VLOOKUP($A4,06_OPEX!$A:$L,8,FALSE),H$3&lt;=VLOOKUP($A4,06_OPEX!$A:$L,9,FALSE)),-VLOOKUP($A4,06_OPEX!$A:$L,6,FALSE),0),IF($C4="Unico",IF(H$3=VLOOKUP($A4,06_OPEX!$A:$L,10,FALSE),-VLOOKUP($A4,06_OPEX!$A:$L,6,FALSE),0),IF($C4="Custom",-IFERROR(VLOOKUP($A4,06C_OPEX_CUSTOM!$A:$O,2+MATCH(H$3,06C_OPEX_CUSTOM!$C$3:$N$3,0),FALSE),0),0))))*IFERROR(IF(VLOOKUP($A4,06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I4" s="52">
        <f>(IF($C4="Mensual",IF(AND(I$3&gt;=VLOOKUP($A4,06_OPEX!$A:$L,8,FALSE),I$3&lt;=VLOOKUP($A4,06_OPEX!$A:$L,9,FALSE)),-VLOOKUP($A4,06_OPEX!$A:$L,6,FALSE),0),IF($C4="Unico",IF(I$3=VLOOKUP($A4,06_OPEX!$A:$L,10,FALSE),-VLOOKUP($A4,06_OPEX!$A:$L,6,FALSE),0),IF($C4="Custom",-IFERROR(VLOOKUP($A4,06C_OPEX_CUSTOM!$A:$O,2+MATCH(I$3,06C_OPEX_CUSTOM!$C$3:$N$3,0),FALSE),0),0))))*IFERROR(IF(VLOOKUP($A4,06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J4" s="52">
        <f>(IF($C4="Mensual",IF(AND(J$3&gt;=VLOOKUP($A4,06_OPEX!$A:$L,8,FALSE),J$3&lt;=VLOOKUP($A4,06_OPEX!$A:$L,9,FALSE)),-VLOOKUP($A4,06_OPEX!$A:$L,6,FALSE),0),IF($C4="Unico",IF(J$3=VLOOKUP($A4,06_OPEX!$A:$L,10,FALSE),-VLOOKUP($A4,06_OPEX!$A:$L,6,FALSE),0),IF($C4="Custom",-IFERROR(VLOOKUP($A4,06C_OPEX_CUSTOM!$A:$O,2+MATCH(J$3,06C_OPEX_CUSTOM!$C$3:$N$3,0),FALSE),0),0))))*IFERROR(IF(VLOOKUP($A4,06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K4" s="52">
        <f>(IF($C4="Mensual",IF(AND(K$3&gt;=VLOOKUP($A4,06_OPEX!$A:$L,8,FALSE),K$3&lt;=VLOOKUP($A4,06_OPEX!$A:$L,9,FALSE)),-VLOOKUP($A4,06_OPEX!$A:$L,6,FALSE),0),IF($C4="Unico",IF(K$3=VLOOKUP($A4,06_OPEX!$A:$L,10,FALSE),-VLOOKUP($A4,06_OPEX!$A:$L,6,FALSE),0),IF($C4="Custom",-IFERROR(VLOOKUP($A4,06C_OPEX_CUSTOM!$A:$O,2+MATCH(K$3,06C_OPEX_CUSTOM!$C$3:$N$3,0),FALSE),0),0))))*IFERROR(IF(VLOOKUP($A4,06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L4" s="52">
        <f>(IF($C4="Mensual",IF(AND(L$3&gt;=VLOOKUP($A4,06_OPEX!$A:$L,8,FALSE),L$3&lt;=VLOOKUP($A4,06_OPEX!$A:$L,9,FALSE)),-VLOOKUP($A4,06_OPEX!$A:$L,6,FALSE),0),IF($C4="Unico",IF(L$3=VLOOKUP($A4,06_OPEX!$A:$L,10,FALSE),-VLOOKUP($A4,06_OPEX!$A:$L,6,FALSE),0),IF($C4="Custom",-IFERROR(VLOOKUP($A4,06C_OPEX_CUSTOM!$A:$O,2+MATCH(L$3,06C_OPEX_CUSTOM!$C$3:$N$3,0),FALSE),0),0))))*IFERROR(IF(VLOOKUP($A4,06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M4" s="52">
        <f>(IF($C4="Mensual",IF(AND(M$3&gt;=VLOOKUP($A4,06_OPEX!$A:$L,8,FALSE),M$3&lt;=VLOOKUP($A4,06_OPEX!$A:$L,9,FALSE)),-VLOOKUP($A4,06_OPEX!$A:$L,6,FALSE),0),IF($C4="Unico",IF(M$3=VLOOKUP($A4,06_OPEX!$A:$L,10,FALSE),-VLOOKUP($A4,06_OPEX!$A:$L,6,FALSE),0),IF($C4="Custom",-IFERROR(VLOOKUP($A4,06C_OPEX_CUSTOM!$A:$O,2+MATCH(M$3,06C_OPEX_CUSTOM!$C$3:$N$3,0),FALSE),0),0))))*IFERROR(IF(VLOOKUP($A4,06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N4" s="52">
        <f>(IF($C4="Mensual",IF(AND(N$3&gt;=VLOOKUP($A4,06_OPEX!$A:$L,8,FALSE),N$3&lt;=VLOOKUP($A4,06_OPEX!$A:$L,9,FALSE)),-VLOOKUP($A4,06_OPEX!$A:$L,6,FALSE),0),IF($C4="Unico",IF(N$3=VLOOKUP($A4,06_OPEX!$A:$L,10,FALSE),-VLOOKUP($A4,06_OPEX!$A:$L,6,FALSE),0),IF($C4="Custom",-IFERROR(VLOOKUP($A4,06C_OPEX_CUSTOM!$A:$O,2+MATCH(N$3,06C_OPEX_CUSTOM!$C$3:$N$3,0),FALSE),0),0))))*IFERROR(IF(VLOOKUP($A4,06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O4" s="52">
        <f>(IF($C4="Mensual",IF(AND(O$3&gt;=VLOOKUP($A4,06_OPEX!$A:$L,8,FALSE),O$3&lt;=VLOOKUP($A4,06_OPEX!$A:$L,9,FALSE)),-VLOOKUP($A4,06_OPEX!$A:$L,6,FALSE),0),IF($C4="Unico",IF(O$3=VLOOKUP($A4,06_OPEX!$A:$L,10,FALSE),-VLOOKUP($A4,06_OPEX!$A:$L,6,FALSE),0),IF($C4="Custom",-IFERROR(VLOOKUP($A4,06C_OPEX_CUSTOM!$A:$O,2+MATCH(O$3,06C_OPEX_CUSTOM!$C$3:$N$3,0),FALSE),0),0))))*IFERROR(IF(VLOOKUP($A4,06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P4" s="52">
        <f>(IF($C4="Mensual",IF(AND(P$3&gt;=VLOOKUP($A4,06_OPEX!$A:$L,8,FALSE),P$3&lt;=VLOOKUP($A4,06_OPEX!$A:$L,9,FALSE)),-VLOOKUP($A4,06_OPEX!$A:$L,6,FALSE),0),IF($C4="Unico",IF(P$3=VLOOKUP($A4,06_OPEX!$A:$L,10,FALSE),-VLOOKUP($A4,06_OPEX!$A:$L,6,FALSE),0),IF($C4="Custom",-IFERROR(VLOOKUP($A4,06C_OPEX_CUSTOM!$A:$O,2+MATCH(P$3,06C_OPEX_CUSTOM!$C$3:$N$3,0),FALSE),0),0))))*IFERROR(IF(VLOOKUP($A4,06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Q4" s="56">
        <f>SUM(E4:P4)</f>
        <v/>
      </c>
    </row>
    <row r="5">
      <c r="A5" s="36" t="inlineStr">
        <is>
          <t>OPEX-002</t>
        </is>
      </c>
      <c r="B5" s="36">
        <f>IFERROR(VLOOKUP($A5,06_OPEX!$A:$L,2,FALSE),"")</f>
        <v/>
      </c>
      <c r="C5" s="37">
        <f>IFERROR(VLOOKUP($A5,06_OPEX!$A:$L,4,FALSE),"")</f>
        <v/>
      </c>
      <c r="D5" s="37">
        <f>IFERROR(VLOOKUP($A5,06_OPEX!$A:$L,7,FALSE),"")</f>
        <v/>
      </c>
      <c r="E5" s="52">
        <f>(IF($C5="Mensual",IF(AND(E$3&gt;=VLOOKUP($A5,06_OPEX!$A:$L,8,FALSE),E$3&lt;=VLOOKUP($A5,06_OPEX!$A:$L,9,FALSE)),-VLOOKUP($A5,06_OPEX!$A:$L,6,FALSE),0),IF($C5="Unico",IF(E$3=VLOOKUP($A5,06_OPEX!$A:$L,10,FALSE),-VLOOKUP($A5,06_OPEX!$A:$L,6,FALSE),0),IF($C5="Custom",-IFERROR(VLOOKUP($A5,06C_OPEX_CUSTOM!$A:$O,2+MATCH(E$3,06C_OPEX_CUSTOM!$C$3:$N$3,0),FALSE),0),0))))*IFERROR(IF(VLOOKUP($A5,06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F5" s="52">
        <f>(IF($C5="Mensual",IF(AND(F$3&gt;=VLOOKUP($A5,06_OPEX!$A:$L,8,FALSE),F$3&lt;=VLOOKUP($A5,06_OPEX!$A:$L,9,FALSE)),-VLOOKUP($A5,06_OPEX!$A:$L,6,FALSE),0),IF($C5="Unico",IF(F$3=VLOOKUP($A5,06_OPEX!$A:$L,10,FALSE),-VLOOKUP($A5,06_OPEX!$A:$L,6,FALSE),0),IF($C5="Custom",-IFERROR(VLOOKUP($A5,06C_OPEX_CUSTOM!$A:$O,2+MATCH(F$3,06C_OPEX_CUSTOM!$C$3:$N$3,0),FALSE),0),0))))*IFERROR(IF(VLOOKUP($A5,06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G5" s="52">
        <f>(IF($C5="Mensual",IF(AND(G$3&gt;=VLOOKUP($A5,06_OPEX!$A:$L,8,FALSE),G$3&lt;=VLOOKUP($A5,06_OPEX!$A:$L,9,FALSE)),-VLOOKUP($A5,06_OPEX!$A:$L,6,FALSE),0),IF($C5="Unico",IF(G$3=VLOOKUP($A5,06_OPEX!$A:$L,10,FALSE),-VLOOKUP($A5,06_OPEX!$A:$L,6,FALSE),0),IF($C5="Custom",-IFERROR(VLOOKUP($A5,06C_OPEX_CUSTOM!$A:$O,2+MATCH(G$3,06C_OPEX_CUSTOM!$C$3:$N$3,0),FALSE),0),0))))*IFERROR(IF(VLOOKUP($A5,06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H5" s="52">
        <f>(IF($C5="Mensual",IF(AND(H$3&gt;=VLOOKUP($A5,06_OPEX!$A:$L,8,FALSE),H$3&lt;=VLOOKUP($A5,06_OPEX!$A:$L,9,FALSE)),-VLOOKUP($A5,06_OPEX!$A:$L,6,FALSE),0),IF($C5="Unico",IF(H$3=VLOOKUP($A5,06_OPEX!$A:$L,10,FALSE),-VLOOKUP($A5,06_OPEX!$A:$L,6,FALSE),0),IF($C5="Custom",-IFERROR(VLOOKUP($A5,06C_OPEX_CUSTOM!$A:$O,2+MATCH(H$3,06C_OPEX_CUSTOM!$C$3:$N$3,0),FALSE),0),0))))*IFERROR(IF(VLOOKUP($A5,06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I5" s="52">
        <f>(IF($C5="Mensual",IF(AND(I$3&gt;=VLOOKUP($A5,06_OPEX!$A:$L,8,FALSE),I$3&lt;=VLOOKUP($A5,06_OPEX!$A:$L,9,FALSE)),-VLOOKUP($A5,06_OPEX!$A:$L,6,FALSE),0),IF($C5="Unico",IF(I$3=VLOOKUP($A5,06_OPEX!$A:$L,10,FALSE),-VLOOKUP($A5,06_OPEX!$A:$L,6,FALSE),0),IF($C5="Custom",-IFERROR(VLOOKUP($A5,06C_OPEX_CUSTOM!$A:$O,2+MATCH(I$3,06C_OPEX_CUSTOM!$C$3:$N$3,0),FALSE),0),0))))*IFERROR(IF(VLOOKUP($A5,06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J5" s="52">
        <f>(IF($C5="Mensual",IF(AND(J$3&gt;=VLOOKUP($A5,06_OPEX!$A:$L,8,FALSE),J$3&lt;=VLOOKUP($A5,06_OPEX!$A:$L,9,FALSE)),-VLOOKUP($A5,06_OPEX!$A:$L,6,FALSE),0),IF($C5="Unico",IF(J$3=VLOOKUP($A5,06_OPEX!$A:$L,10,FALSE),-VLOOKUP($A5,06_OPEX!$A:$L,6,FALSE),0),IF($C5="Custom",-IFERROR(VLOOKUP($A5,06C_OPEX_CUSTOM!$A:$O,2+MATCH(J$3,06C_OPEX_CUSTOM!$C$3:$N$3,0),FALSE),0),0))))*IFERROR(IF(VLOOKUP($A5,06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K5" s="52">
        <f>(IF($C5="Mensual",IF(AND(K$3&gt;=VLOOKUP($A5,06_OPEX!$A:$L,8,FALSE),K$3&lt;=VLOOKUP($A5,06_OPEX!$A:$L,9,FALSE)),-VLOOKUP($A5,06_OPEX!$A:$L,6,FALSE),0),IF($C5="Unico",IF(K$3=VLOOKUP($A5,06_OPEX!$A:$L,10,FALSE),-VLOOKUP($A5,06_OPEX!$A:$L,6,FALSE),0),IF($C5="Custom",-IFERROR(VLOOKUP($A5,06C_OPEX_CUSTOM!$A:$O,2+MATCH(K$3,06C_OPEX_CUSTOM!$C$3:$N$3,0),FALSE),0),0))))*IFERROR(IF(VLOOKUP($A5,06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L5" s="52">
        <f>(IF($C5="Mensual",IF(AND(L$3&gt;=VLOOKUP($A5,06_OPEX!$A:$L,8,FALSE),L$3&lt;=VLOOKUP($A5,06_OPEX!$A:$L,9,FALSE)),-VLOOKUP($A5,06_OPEX!$A:$L,6,FALSE),0),IF($C5="Unico",IF(L$3=VLOOKUP($A5,06_OPEX!$A:$L,10,FALSE),-VLOOKUP($A5,06_OPEX!$A:$L,6,FALSE),0),IF($C5="Custom",-IFERROR(VLOOKUP($A5,06C_OPEX_CUSTOM!$A:$O,2+MATCH(L$3,06C_OPEX_CUSTOM!$C$3:$N$3,0),FALSE),0),0))))*IFERROR(IF(VLOOKUP($A5,06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M5" s="52">
        <f>(IF($C5="Mensual",IF(AND(M$3&gt;=VLOOKUP($A5,06_OPEX!$A:$L,8,FALSE),M$3&lt;=VLOOKUP($A5,06_OPEX!$A:$L,9,FALSE)),-VLOOKUP($A5,06_OPEX!$A:$L,6,FALSE),0),IF($C5="Unico",IF(M$3=VLOOKUP($A5,06_OPEX!$A:$L,10,FALSE),-VLOOKUP($A5,06_OPEX!$A:$L,6,FALSE),0),IF($C5="Custom",-IFERROR(VLOOKUP($A5,06C_OPEX_CUSTOM!$A:$O,2+MATCH(M$3,06C_OPEX_CUSTOM!$C$3:$N$3,0),FALSE),0),0))))*IFERROR(IF(VLOOKUP($A5,06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N5" s="52">
        <f>(IF($C5="Mensual",IF(AND(N$3&gt;=VLOOKUP($A5,06_OPEX!$A:$L,8,FALSE),N$3&lt;=VLOOKUP($A5,06_OPEX!$A:$L,9,FALSE)),-VLOOKUP($A5,06_OPEX!$A:$L,6,FALSE),0),IF($C5="Unico",IF(N$3=VLOOKUP($A5,06_OPEX!$A:$L,10,FALSE),-VLOOKUP($A5,06_OPEX!$A:$L,6,FALSE),0),IF($C5="Custom",-IFERROR(VLOOKUP($A5,06C_OPEX_CUSTOM!$A:$O,2+MATCH(N$3,06C_OPEX_CUSTOM!$C$3:$N$3,0),FALSE),0),0))))*IFERROR(IF(VLOOKUP($A5,06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O5" s="52">
        <f>(IF($C5="Mensual",IF(AND(O$3&gt;=VLOOKUP($A5,06_OPEX!$A:$L,8,FALSE),O$3&lt;=VLOOKUP($A5,06_OPEX!$A:$L,9,FALSE)),-VLOOKUP($A5,06_OPEX!$A:$L,6,FALSE),0),IF($C5="Unico",IF(O$3=VLOOKUP($A5,06_OPEX!$A:$L,10,FALSE),-VLOOKUP($A5,06_OPEX!$A:$L,6,FALSE),0),IF($C5="Custom",-IFERROR(VLOOKUP($A5,06C_OPEX_CUSTOM!$A:$O,2+MATCH(O$3,06C_OPEX_CUSTOM!$C$3:$N$3,0),FALSE),0),0))))*IFERROR(IF(VLOOKUP($A5,06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P5" s="52">
        <f>(IF($C5="Mensual",IF(AND(P$3&gt;=VLOOKUP($A5,06_OPEX!$A:$L,8,FALSE),P$3&lt;=VLOOKUP($A5,06_OPEX!$A:$L,9,FALSE)),-VLOOKUP($A5,06_OPEX!$A:$L,6,FALSE),0),IF($C5="Unico",IF(P$3=VLOOKUP($A5,06_OPEX!$A:$L,10,FALSE),-VLOOKUP($A5,06_OPEX!$A:$L,6,FALSE),0),IF($C5="Custom",-IFERROR(VLOOKUP($A5,06C_OPEX_CUSTOM!$A:$O,2+MATCH(P$3,06C_OPEX_CUSTOM!$C$3:$N$3,0),FALSE),0),0))))*IFERROR(IF(VLOOKUP($A5,06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Q5" s="56">
        <f>SUM(E5:P5)</f>
        <v/>
      </c>
    </row>
    <row r="6">
      <c r="A6" s="36" t="inlineStr">
        <is>
          <t>OPEX-003</t>
        </is>
      </c>
      <c r="B6" s="36">
        <f>IFERROR(VLOOKUP($A6,06_OPEX!$A:$L,2,FALSE),"")</f>
        <v/>
      </c>
      <c r="C6" s="37">
        <f>IFERROR(VLOOKUP($A6,06_OPEX!$A:$L,4,FALSE),"")</f>
        <v/>
      </c>
      <c r="D6" s="37">
        <f>IFERROR(VLOOKUP($A6,06_OPEX!$A:$L,7,FALSE),"")</f>
        <v/>
      </c>
      <c r="E6" s="52">
        <f>(IF($C6="Mensual",IF(AND(E$3&gt;=VLOOKUP($A6,06_OPEX!$A:$L,8,FALSE),E$3&lt;=VLOOKUP($A6,06_OPEX!$A:$L,9,FALSE)),-VLOOKUP($A6,06_OPEX!$A:$L,6,FALSE),0),IF($C6="Unico",IF(E$3=VLOOKUP($A6,06_OPEX!$A:$L,10,FALSE),-VLOOKUP($A6,06_OPEX!$A:$L,6,FALSE),0),IF($C6="Custom",-IFERROR(VLOOKUP($A6,06C_OPEX_CUSTOM!$A:$O,2+MATCH(E$3,06C_OPEX_CUSTOM!$C$3:$N$3,0),FALSE),0),0))))*IFERROR(IF(VLOOKUP($A6,06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F6" s="52">
        <f>(IF($C6="Mensual",IF(AND(F$3&gt;=VLOOKUP($A6,06_OPEX!$A:$L,8,FALSE),F$3&lt;=VLOOKUP($A6,06_OPEX!$A:$L,9,FALSE)),-VLOOKUP($A6,06_OPEX!$A:$L,6,FALSE),0),IF($C6="Unico",IF(F$3=VLOOKUP($A6,06_OPEX!$A:$L,10,FALSE),-VLOOKUP($A6,06_OPEX!$A:$L,6,FALSE),0),IF($C6="Custom",-IFERROR(VLOOKUP($A6,06C_OPEX_CUSTOM!$A:$O,2+MATCH(F$3,06C_OPEX_CUSTOM!$C$3:$N$3,0),FALSE),0),0))))*IFERROR(IF(VLOOKUP($A6,06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G6" s="52">
        <f>(IF($C6="Mensual",IF(AND(G$3&gt;=VLOOKUP($A6,06_OPEX!$A:$L,8,FALSE),G$3&lt;=VLOOKUP($A6,06_OPEX!$A:$L,9,FALSE)),-VLOOKUP($A6,06_OPEX!$A:$L,6,FALSE),0),IF($C6="Unico",IF(G$3=VLOOKUP($A6,06_OPEX!$A:$L,10,FALSE),-VLOOKUP($A6,06_OPEX!$A:$L,6,FALSE),0),IF($C6="Custom",-IFERROR(VLOOKUP($A6,06C_OPEX_CUSTOM!$A:$O,2+MATCH(G$3,06C_OPEX_CUSTOM!$C$3:$N$3,0),FALSE),0),0))))*IFERROR(IF(VLOOKUP($A6,06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H6" s="52">
        <f>(IF($C6="Mensual",IF(AND(H$3&gt;=VLOOKUP($A6,06_OPEX!$A:$L,8,FALSE),H$3&lt;=VLOOKUP($A6,06_OPEX!$A:$L,9,FALSE)),-VLOOKUP($A6,06_OPEX!$A:$L,6,FALSE),0),IF($C6="Unico",IF(H$3=VLOOKUP($A6,06_OPEX!$A:$L,10,FALSE),-VLOOKUP($A6,06_OPEX!$A:$L,6,FALSE),0),IF($C6="Custom",-IFERROR(VLOOKUP($A6,06C_OPEX_CUSTOM!$A:$O,2+MATCH(H$3,06C_OPEX_CUSTOM!$C$3:$N$3,0),FALSE),0),0))))*IFERROR(IF(VLOOKUP($A6,06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I6" s="52">
        <f>(IF($C6="Mensual",IF(AND(I$3&gt;=VLOOKUP($A6,06_OPEX!$A:$L,8,FALSE),I$3&lt;=VLOOKUP($A6,06_OPEX!$A:$L,9,FALSE)),-VLOOKUP($A6,06_OPEX!$A:$L,6,FALSE),0),IF($C6="Unico",IF(I$3=VLOOKUP($A6,06_OPEX!$A:$L,10,FALSE),-VLOOKUP($A6,06_OPEX!$A:$L,6,FALSE),0),IF($C6="Custom",-IFERROR(VLOOKUP($A6,06C_OPEX_CUSTOM!$A:$O,2+MATCH(I$3,06C_OPEX_CUSTOM!$C$3:$N$3,0),FALSE),0),0))))*IFERROR(IF(VLOOKUP($A6,06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J6" s="52">
        <f>(IF($C6="Mensual",IF(AND(J$3&gt;=VLOOKUP($A6,06_OPEX!$A:$L,8,FALSE),J$3&lt;=VLOOKUP($A6,06_OPEX!$A:$L,9,FALSE)),-VLOOKUP($A6,06_OPEX!$A:$L,6,FALSE),0),IF($C6="Unico",IF(J$3=VLOOKUP($A6,06_OPEX!$A:$L,10,FALSE),-VLOOKUP($A6,06_OPEX!$A:$L,6,FALSE),0),IF($C6="Custom",-IFERROR(VLOOKUP($A6,06C_OPEX_CUSTOM!$A:$O,2+MATCH(J$3,06C_OPEX_CUSTOM!$C$3:$N$3,0),FALSE),0),0))))*IFERROR(IF(VLOOKUP($A6,06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K6" s="52">
        <f>(IF($C6="Mensual",IF(AND(K$3&gt;=VLOOKUP($A6,06_OPEX!$A:$L,8,FALSE),K$3&lt;=VLOOKUP($A6,06_OPEX!$A:$L,9,FALSE)),-VLOOKUP($A6,06_OPEX!$A:$L,6,FALSE),0),IF($C6="Unico",IF(K$3=VLOOKUP($A6,06_OPEX!$A:$L,10,FALSE),-VLOOKUP($A6,06_OPEX!$A:$L,6,FALSE),0),IF($C6="Custom",-IFERROR(VLOOKUP($A6,06C_OPEX_CUSTOM!$A:$O,2+MATCH(K$3,06C_OPEX_CUSTOM!$C$3:$N$3,0),FALSE),0),0))))*IFERROR(IF(VLOOKUP($A6,06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L6" s="52">
        <f>(IF($C6="Mensual",IF(AND(L$3&gt;=VLOOKUP($A6,06_OPEX!$A:$L,8,FALSE),L$3&lt;=VLOOKUP($A6,06_OPEX!$A:$L,9,FALSE)),-VLOOKUP($A6,06_OPEX!$A:$L,6,FALSE),0),IF($C6="Unico",IF(L$3=VLOOKUP($A6,06_OPEX!$A:$L,10,FALSE),-VLOOKUP($A6,06_OPEX!$A:$L,6,FALSE),0),IF($C6="Custom",-IFERROR(VLOOKUP($A6,06C_OPEX_CUSTOM!$A:$O,2+MATCH(L$3,06C_OPEX_CUSTOM!$C$3:$N$3,0),FALSE),0),0))))*IFERROR(IF(VLOOKUP($A6,06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M6" s="52">
        <f>(IF($C6="Mensual",IF(AND(M$3&gt;=VLOOKUP($A6,06_OPEX!$A:$L,8,FALSE),M$3&lt;=VLOOKUP($A6,06_OPEX!$A:$L,9,FALSE)),-VLOOKUP($A6,06_OPEX!$A:$L,6,FALSE),0),IF($C6="Unico",IF(M$3=VLOOKUP($A6,06_OPEX!$A:$L,10,FALSE),-VLOOKUP($A6,06_OPEX!$A:$L,6,FALSE),0),IF($C6="Custom",-IFERROR(VLOOKUP($A6,06C_OPEX_CUSTOM!$A:$O,2+MATCH(M$3,06C_OPEX_CUSTOM!$C$3:$N$3,0),FALSE),0),0))))*IFERROR(IF(VLOOKUP($A6,06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N6" s="52">
        <f>(IF($C6="Mensual",IF(AND(N$3&gt;=VLOOKUP($A6,06_OPEX!$A:$L,8,FALSE),N$3&lt;=VLOOKUP($A6,06_OPEX!$A:$L,9,FALSE)),-VLOOKUP($A6,06_OPEX!$A:$L,6,FALSE),0),IF($C6="Unico",IF(N$3=VLOOKUP($A6,06_OPEX!$A:$L,10,FALSE),-VLOOKUP($A6,06_OPEX!$A:$L,6,FALSE),0),IF($C6="Custom",-IFERROR(VLOOKUP($A6,06C_OPEX_CUSTOM!$A:$O,2+MATCH(N$3,06C_OPEX_CUSTOM!$C$3:$N$3,0),FALSE),0),0))))*IFERROR(IF(VLOOKUP($A6,06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O6" s="52">
        <f>(IF($C6="Mensual",IF(AND(O$3&gt;=VLOOKUP($A6,06_OPEX!$A:$L,8,FALSE),O$3&lt;=VLOOKUP($A6,06_OPEX!$A:$L,9,FALSE)),-VLOOKUP($A6,06_OPEX!$A:$L,6,FALSE),0),IF($C6="Unico",IF(O$3=VLOOKUP($A6,06_OPEX!$A:$L,10,FALSE),-VLOOKUP($A6,06_OPEX!$A:$L,6,FALSE),0),IF($C6="Custom",-IFERROR(VLOOKUP($A6,06C_OPEX_CUSTOM!$A:$O,2+MATCH(O$3,06C_OPEX_CUSTOM!$C$3:$N$3,0),FALSE),0),0))))*IFERROR(IF(VLOOKUP($A6,06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P6" s="52">
        <f>(IF($C6="Mensual",IF(AND(P$3&gt;=VLOOKUP($A6,06_OPEX!$A:$L,8,FALSE),P$3&lt;=VLOOKUP($A6,06_OPEX!$A:$L,9,FALSE)),-VLOOKUP($A6,06_OPEX!$A:$L,6,FALSE),0),IF($C6="Unico",IF(P$3=VLOOKUP($A6,06_OPEX!$A:$L,10,FALSE),-VLOOKUP($A6,06_OPEX!$A:$L,6,FALSE),0),IF($C6="Custom",-IFERROR(VLOOKUP($A6,06C_OPEX_CUSTOM!$A:$O,2+MATCH(P$3,06C_OPEX_CUSTOM!$C$3:$N$3,0),FALSE),0),0))))*IFERROR(IF(VLOOKUP($A6,06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Q6" s="56">
        <f>SUM(E6:P6)</f>
        <v/>
      </c>
    </row>
    <row r="7">
      <c r="A7" s="36" t="inlineStr">
        <is>
          <t>OPEX-004</t>
        </is>
      </c>
      <c r="B7" s="36">
        <f>IFERROR(VLOOKUP($A7,06_OPEX!$A:$L,2,FALSE),"")</f>
        <v/>
      </c>
      <c r="C7" s="37">
        <f>IFERROR(VLOOKUP($A7,06_OPEX!$A:$L,4,FALSE),"")</f>
        <v/>
      </c>
      <c r="D7" s="37">
        <f>IFERROR(VLOOKUP($A7,06_OPEX!$A:$L,7,FALSE),"")</f>
        <v/>
      </c>
      <c r="E7" s="52">
        <f>(IF($C7="Mensual",IF(AND(E$3&gt;=VLOOKUP($A7,06_OPEX!$A:$L,8,FALSE),E$3&lt;=VLOOKUP($A7,06_OPEX!$A:$L,9,FALSE)),-VLOOKUP($A7,06_OPEX!$A:$L,6,FALSE),0),IF($C7="Unico",IF(E$3=VLOOKUP($A7,06_OPEX!$A:$L,10,FALSE),-VLOOKUP($A7,06_OPEX!$A:$L,6,FALSE),0),IF($C7="Custom",-IFERROR(VLOOKUP($A7,06C_OPEX_CUSTOM!$A:$O,2+MATCH(E$3,06C_OPEX_CUSTOM!$C$3:$N$3,0),FALSE),0),0))))*IFERROR(IF(VLOOKUP($A7,06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F7" s="52">
        <f>(IF($C7="Mensual",IF(AND(F$3&gt;=VLOOKUP($A7,06_OPEX!$A:$L,8,FALSE),F$3&lt;=VLOOKUP($A7,06_OPEX!$A:$L,9,FALSE)),-VLOOKUP($A7,06_OPEX!$A:$L,6,FALSE),0),IF($C7="Unico",IF(F$3=VLOOKUP($A7,06_OPEX!$A:$L,10,FALSE),-VLOOKUP($A7,06_OPEX!$A:$L,6,FALSE),0),IF($C7="Custom",-IFERROR(VLOOKUP($A7,06C_OPEX_CUSTOM!$A:$O,2+MATCH(F$3,06C_OPEX_CUSTOM!$C$3:$N$3,0),FALSE),0),0))))*IFERROR(IF(VLOOKUP($A7,06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G7" s="52">
        <f>(IF($C7="Mensual",IF(AND(G$3&gt;=VLOOKUP($A7,06_OPEX!$A:$L,8,FALSE),G$3&lt;=VLOOKUP($A7,06_OPEX!$A:$L,9,FALSE)),-VLOOKUP($A7,06_OPEX!$A:$L,6,FALSE),0),IF($C7="Unico",IF(G$3=VLOOKUP($A7,06_OPEX!$A:$L,10,FALSE),-VLOOKUP($A7,06_OPEX!$A:$L,6,FALSE),0),IF($C7="Custom",-IFERROR(VLOOKUP($A7,06C_OPEX_CUSTOM!$A:$O,2+MATCH(G$3,06C_OPEX_CUSTOM!$C$3:$N$3,0),FALSE),0),0))))*IFERROR(IF(VLOOKUP($A7,06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H7" s="52">
        <f>(IF($C7="Mensual",IF(AND(H$3&gt;=VLOOKUP($A7,06_OPEX!$A:$L,8,FALSE),H$3&lt;=VLOOKUP($A7,06_OPEX!$A:$L,9,FALSE)),-VLOOKUP($A7,06_OPEX!$A:$L,6,FALSE),0),IF($C7="Unico",IF(H$3=VLOOKUP($A7,06_OPEX!$A:$L,10,FALSE),-VLOOKUP($A7,06_OPEX!$A:$L,6,FALSE),0),IF($C7="Custom",-IFERROR(VLOOKUP($A7,06C_OPEX_CUSTOM!$A:$O,2+MATCH(H$3,06C_OPEX_CUSTOM!$C$3:$N$3,0),FALSE),0),0))))*IFERROR(IF(VLOOKUP($A7,06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I7" s="52">
        <f>(IF($C7="Mensual",IF(AND(I$3&gt;=VLOOKUP($A7,06_OPEX!$A:$L,8,FALSE),I$3&lt;=VLOOKUP($A7,06_OPEX!$A:$L,9,FALSE)),-VLOOKUP($A7,06_OPEX!$A:$L,6,FALSE),0),IF($C7="Unico",IF(I$3=VLOOKUP($A7,06_OPEX!$A:$L,10,FALSE),-VLOOKUP($A7,06_OPEX!$A:$L,6,FALSE),0),IF($C7="Custom",-IFERROR(VLOOKUP($A7,06C_OPEX_CUSTOM!$A:$O,2+MATCH(I$3,06C_OPEX_CUSTOM!$C$3:$N$3,0),FALSE),0),0))))*IFERROR(IF(VLOOKUP($A7,06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J7" s="52">
        <f>(IF($C7="Mensual",IF(AND(J$3&gt;=VLOOKUP($A7,06_OPEX!$A:$L,8,FALSE),J$3&lt;=VLOOKUP($A7,06_OPEX!$A:$L,9,FALSE)),-VLOOKUP($A7,06_OPEX!$A:$L,6,FALSE),0),IF($C7="Unico",IF(J$3=VLOOKUP($A7,06_OPEX!$A:$L,10,FALSE),-VLOOKUP($A7,06_OPEX!$A:$L,6,FALSE),0),IF($C7="Custom",-IFERROR(VLOOKUP($A7,06C_OPEX_CUSTOM!$A:$O,2+MATCH(J$3,06C_OPEX_CUSTOM!$C$3:$N$3,0),FALSE),0),0))))*IFERROR(IF(VLOOKUP($A7,06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K7" s="52">
        <f>(IF($C7="Mensual",IF(AND(K$3&gt;=VLOOKUP($A7,06_OPEX!$A:$L,8,FALSE),K$3&lt;=VLOOKUP($A7,06_OPEX!$A:$L,9,FALSE)),-VLOOKUP($A7,06_OPEX!$A:$L,6,FALSE),0),IF($C7="Unico",IF(K$3=VLOOKUP($A7,06_OPEX!$A:$L,10,FALSE),-VLOOKUP($A7,06_OPEX!$A:$L,6,FALSE),0),IF($C7="Custom",-IFERROR(VLOOKUP($A7,06C_OPEX_CUSTOM!$A:$O,2+MATCH(K$3,06C_OPEX_CUSTOM!$C$3:$N$3,0),FALSE),0),0))))*IFERROR(IF(VLOOKUP($A7,06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L7" s="52">
        <f>(IF($C7="Mensual",IF(AND(L$3&gt;=VLOOKUP($A7,06_OPEX!$A:$L,8,FALSE),L$3&lt;=VLOOKUP($A7,06_OPEX!$A:$L,9,FALSE)),-VLOOKUP($A7,06_OPEX!$A:$L,6,FALSE),0),IF($C7="Unico",IF(L$3=VLOOKUP($A7,06_OPEX!$A:$L,10,FALSE),-VLOOKUP($A7,06_OPEX!$A:$L,6,FALSE),0),IF($C7="Custom",-IFERROR(VLOOKUP($A7,06C_OPEX_CUSTOM!$A:$O,2+MATCH(L$3,06C_OPEX_CUSTOM!$C$3:$N$3,0),FALSE),0),0))))*IFERROR(IF(VLOOKUP($A7,06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M7" s="52">
        <f>(IF($C7="Mensual",IF(AND(M$3&gt;=VLOOKUP($A7,06_OPEX!$A:$L,8,FALSE),M$3&lt;=VLOOKUP($A7,06_OPEX!$A:$L,9,FALSE)),-VLOOKUP($A7,06_OPEX!$A:$L,6,FALSE),0),IF($C7="Unico",IF(M$3=VLOOKUP($A7,06_OPEX!$A:$L,10,FALSE),-VLOOKUP($A7,06_OPEX!$A:$L,6,FALSE),0),IF($C7="Custom",-IFERROR(VLOOKUP($A7,06C_OPEX_CUSTOM!$A:$O,2+MATCH(M$3,06C_OPEX_CUSTOM!$C$3:$N$3,0),FALSE),0),0))))*IFERROR(IF(VLOOKUP($A7,06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N7" s="52">
        <f>(IF($C7="Mensual",IF(AND(N$3&gt;=VLOOKUP($A7,06_OPEX!$A:$L,8,FALSE),N$3&lt;=VLOOKUP($A7,06_OPEX!$A:$L,9,FALSE)),-VLOOKUP($A7,06_OPEX!$A:$L,6,FALSE),0),IF($C7="Unico",IF(N$3=VLOOKUP($A7,06_OPEX!$A:$L,10,FALSE),-VLOOKUP($A7,06_OPEX!$A:$L,6,FALSE),0),IF($C7="Custom",-IFERROR(VLOOKUP($A7,06C_OPEX_CUSTOM!$A:$O,2+MATCH(N$3,06C_OPEX_CUSTOM!$C$3:$N$3,0),FALSE),0),0))))*IFERROR(IF(VLOOKUP($A7,06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O7" s="52">
        <f>(IF($C7="Mensual",IF(AND(O$3&gt;=VLOOKUP($A7,06_OPEX!$A:$L,8,FALSE),O$3&lt;=VLOOKUP($A7,06_OPEX!$A:$L,9,FALSE)),-VLOOKUP($A7,06_OPEX!$A:$L,6,FALSE),0),IF($C7="Unico",IF(O$3=VLOOKUP($A7,06_OPEX!$A:$L,10,FALSE),-VLOOKUP($A7,06_OPEX!$A:$L,6,FALSE),0),IF($C7="Custom",-IFERROR(VLOOKUP($A7,06C_OPEX_CUSTOM!$A:$O,2+MATCH(O$3,06C_OPEX_CUSTOM!$C$3:$N$3,0),FALSE),0),0))))*IFERROR(IF(VLOOKUP($A7,06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P7" s="52">
        <f>(IF($C7="Mensual",IF(AND(P$3&gt;=VLOOKUP($A7,06_OPEX!$A:$L,8,FALSE),P$3&lt;=VLOOKUP($A7,06_OPEX!$A:$L,9,FALSE)),-VLOOKUP($A7,06_OPEX!$A:$L,6,FALSE),0),IF($C7="Unico",IF(P$3=VLOOKUP($A7,06_OPEX!$A:$L,10,FALSE),-VLOOKUP($A7,06_OPEX!$A:$L,6,FALSE),0),IF($C7="Custom",-IFERROR(VLOOKUP($A7,06C_OPEX_CUSTOM!$A:$O,2+MATCH(P$3,06C_OPEX_CUSTOM!$C$3:$N$3,0),FALSE),0),0))))*IFERROR(IF(VLOOKUP($A7,06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Q7" s="56">
        <f>SUM(E7:P7)</f>
        <v/>
      </c>
    </row>
    <row r="8">
      <c r="A8" s="36" t="inlineStr">
        <is>
          <t>OPEX-005</t>
        </is>
      </c>
      <c r="B8" s="36">
        <f>IFERROR(VLOOKUP($A8,06_OPEX!$A:$L,2,FALSE),"")</f>
        <v/>
      </c>
      <c r="C8" s="37">
        <f>IFERROR(VLOOKUP($A8,06_OPEX!$A:$L,4,FALSE),"")</f>
        <v/>
      </c>
      <c r="D8" s="37">
        <f>IFERROR(VLOOKUP($A8,06_OPEX!$A:$L,7,FALSE),"")</f>
        <v/>
      </c>
      <c r="E8" s="52">
        <f>(IF($C8="Mensual",IF(AND(E$3&gt;=VLOOKUP($A8,06_OPEX!$A:$L,8,FALSE),E$3&lt;=VLOOKUP($A8,06_OPEX!$A:$L,9,FALSE)),-VLOOKUP($A8,06_OPEX!$A:$L,6,FALSE),0),IF($C8="Unico",IF(E$3=VLOOKUP($A8,06_OPEX!$A:$L,10,FALSE),-VLOOKUP($A8,06_OPEX!$A:$L,6,FALSE),0),IF($C8="Custom",-IFERROR(VLOOKUP($A8,06C_OPEX_CUSTOM!$A:$O,2+MATCH(E$3,06C_OPEX_CUSTOM!$C$3:$N$3,0),FALSE),0),0))))*IFERROR(IF(VLOOKUP($A8,06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F8" s="52">
        <f>(IF($C8="Mensual",IF(AND(F$3&gt;=VLOOKUP($A8,06_OPEX!$A:$L,8,FALSE),F$3&lt;=VLOOKUP($A8,06_OPEX!$A:$L,9,FALSE)),-VLOOKUP($A8,06_OPEX!$A:$L,6,FALSE),0),IF($C8="Unico",IF(F$3=VLOOKUP($A8,06_OPEX!$A:$L,10,FALSE),-VLOOKUP($A8,06_OPEX!$A:$L,6,FALSE),0),IF($C8="Custom",-IFERROR(VLOOKUP($A8,06C_OPEX_CUSTOM!$A:$O,2+MATCH(F$3,06C_OPEX_CUSTOM!$C$3:$N$3,0),FALSE),0),0))))*IFERROR(IF(VLOOKUP($A8,06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G8" s="52">
        <f>(IF($C8="Mensual",IF(AND(G$3&gt;=VLOOKUP($A8,06_OPEX!$A:$L,8,FALSE),G$3&lt;=VLOOKUP($A8,06_OPEX!$A:$L,9,FALSE)),-VLOOKUP($A8,06_OPEX!$A:$L,6,FALSE),0),IF($C8="Unico",IF(G$3=VLOOKUP($A8,06_OPEX!$A:$L,10,FALSE),-VLOOKUP($A8,06_OPEX!$A:$L,6,FALSE),0),IF($C8="Custom",-IFERROR(VLOOKUP($A8,06C_OPEX_CUSTOM!$A:$O,2+MATCH(G$3,06C_OPEX_CUSTOM!$C$3:$N$3,0),FALSE),0),0))))*IFERROR(IF(VLOOKUP($A8,06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H8" s="52">
        <f>(IF($C8="Mensual",IF(AND(H$3&gt;=VLOOKUP($A8,06_OPEX!$A:$L,8,FALSE),H$3&lt;=VLOOKUP($A8,06_OPEX!$A:$L,9,FALSE)),-VLOOKUP($A8,06_OPEX!$A:$L,6,FALSE),0),IF($C8="Unico",IF(H$3=VLOOKUP($A8,06_OPEX!$A:$L,10,FALSE),-VLOOKUP($A8,06_OPEX!$A:$L,6,FALSE),0),IF($C8="Custom",-IFERROR(VLOOKUP($A8,06C_OPEX_CUSTOM!$A:$O,2+MATCH(H$3,06C_OPEX_CUSTOM!$C$3:$N$3,0),FALSE),0),0))))*IFERROR(IF(VLOOKUP($A8,06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I8" s="52">
        <f>(IF($C8="Mensual",IF(AND(I$3&gt;=VLOOKUP($A8,06_OPEX!$A:$L,8,FALSE),I$3&lt;=VLOOKUP($A8,06_OPEX!$A:$L,9,FALSE)),-VLOOKUP($A8,06_OPEX!$A:$L,6,FALSE),0),IF($C8="Unico",IF(I$3=VLOOKUP($A8,06_OPEX!$A:$L,10,FALSE),-VLOOKUP($A8,06_OPEX!$A:$L,6,FALSE),0),IF($C8="Custom",-IFERROR(VLOOKUP($A8,06C_OPEX_CUSTOM!$A:$O,2+MATCH(I$3,06C_OPEX_CUSTOM!$C$3:$N$3,0),FALSE),0),0))))*IFERROR(IF(VLOOKUP($A8,06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J8" s="52">
        <f>(IF($C8="Mensual",IF(AND(J$3&gt;=VLOOKUP($A8,06_OPEX!$A:$L,8,FALSE),J$3&lt;=VLOOKUP($A8,06_OPEX!$A:$L,9,FALSE)),-VLOOKUP($A8,06_OPEX!$A:$L,6,FALSE),0),IF($C8="Unico",IF(J$3=VLOOKUP($A8,06_OPEX!$A:$L,10,FALSE),-VLOOKUP($A8,06_OPEX!$A:$L,6,FALSE),0),IF($C8="Custom",-IFERROR(VLOOKUP($A8,06C_OPEX_CUSTOM!$A:$O,2+MATCH(J$3,06C_OPEX_CUSTOM!$C$3:$N$3,0),FALSE),0),0))))*IFERROR(IF(VLOOKUP($A8,06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K8" s="52">
        <f>(IF($C8="Mensual",IF(AND(K$3&gt;=VLOOKUP($A8,06_OPEX!$A:$L,8,FALSE),K$3&lt;=VLOOKUP($A8,06_OPEX!$A:$L,9,FALSE)),-VLOOKUP($A8,06_OPEX!$A:$L,6,FALSE),0),IF($C8="Unico",IF(K$3=VLOOKUP($A8,06_OPEX!$A:$L,10,FALSE),-VLOOKUP($A8,06_OPEX!$A:$L,6,FALSE),0),IF($C8="Custom",-IFERROR(VLOOKUP($A8,06C_OPEX_CUSTOM!$A:$O,2+MATCH(K$3,06C_OPEX_CUSTOM!$C$3:$N$3,0),FALSE),0),0))))*IFERROR(IF(VLOOKUP($A8,06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L8" s="52">
        <f>(IF($C8="Mensual",IF(AND(L$3&gt;=VLOOKUP($A8,06_OPEX!$A:$L,8,FALSE),L$3&lt;=VLOOKUP($A8,06_OPEX!$A:$L,9,FALSE)),-VLOOKUP($A8,06_OPEX!$A:$L,6,FALSE),0),IF($C8="Unico",IF(L$3=VLOOKUP($A8,06_OPEX!$A:$L,10,FALSE),-VLOOKUP($A8,06_OPEX!$A:$L,6,FALSE),0),IF($C8="Custom",-IFERROR(VLOOKUP($A8,06C_OPEX_CUSTOM!$A:$O,2+MATCH(L$3,06C_OPEX_CUSTOM!$C$3:$N$3,0),FALSE),0),0))))*IFERROR(IF(VLOOKUP($A8,06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M8" s="52">
        <f>(IF($C8="Mensual",IF(AND(M$3&gt;=VLOOKUP($A8,06_OPEX!$A:$L,8,FALSE),M$3&lt;=VLOOKUP($A8,06_OPEX!$A:$L,9,FALSE)),-VLOOKUP($A8,06_OPEX!$A:$L,6,FALSE),0),IF($C8="Unico",IF(M$3=VLOOKUP($A8,06_OPEX!$A:$L,10,FALSE),-VLOOKUP($A8,06_OPEX!$A:$L,6,FALSE),0),IF($C8="Custom",-IFERROR(VLOOKUP($A8,06C_OPEX_CUSTOM!$A:$O,2+MATCH(M$3,06C_OPEX_CUSTOM!$C$3:$N$3,0),FALSE),0),0))))*IFERROR(IF(VLOOKUP($A8,06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N8" s="52">
        <f>(IF($C8="Mensual",IF(AND(N$3&gt;=VLOOKUP($A8,06_OPEX!$A:$L,8,FALSE),N$3&lt;=VLOOKUP($A8,06_OPEX!$A:$L,9,FALSE)),-VLOOKUP($A8,06_OPEX!$A:$L,6,FALSE),0),IF($C8="Unico",IF(N$3=VLOOKUP($A8,06_OPEX!$A:$L,10,FALSE),-VLOOKUP($A8,06_OPEX!$A:$L,6,FALSE),0),IF($C8="Custom",-IFERROR(VLOOKUP($A8,06C_OPEX_CUSTOM!$A:$O,2+MATCH(N$3,06C_OPEX_CUSTOM!$C$3:$N$3,0),FALSE),0),0))))*IFERROR(IF(VLOOKUP($A8,06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O8" s="52">
        <f>(IF($C8="Mensual",IF(AND(O$3&gt;=VLOOKUP($A8,06_OPEX!$A:$L,8,FALSE),O$3&lt;=VLOOKUP($A8,06_OPEX!$A:$L,9,FALSE)),-VLOOKUP($A8,06_OPEX!$A:$L,6,FALSE),0),IF($C8="Unico",IF(O$3=VLOOKUP($A8,06_OPEX!$A:$L,10,FALSE),-VLOOKUP($A8,06_OPEX!$A:$L,6,FALSE),0),IF($C8="Custom",-IFERROR(VLOOKUP($A8,06C_OPEX_CUSTOM!$A:$O,2+MATCH(O$3,06C_OPEX_CUSTOM!$C$3:$N$3,0),FALSE),0),0))))*IFERROR(IF(VLOOKUP($A8,06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P8" s="52">
        <f>(IF($C8="Mensual",IF(AND(P$3&gt;=VLOOKUP($A8,06_OPEX!$A:$L,8,FALSE),P$3&lt;=VLOOKUP($A8,06_OPEX!$A:$L,9,FALSE)),-VLOOKUP($A8,06_OPEX!$A:$L,6,FALSE),0),IF($C8="Unico",IF(P$3=VLOOKUP($A8,06_OPEX!$A:$L,10,FALSE),-VLOOKUP($A8,06_OPEX!$A:$L,6,FALSE),0),IF($C8="Custom",-IFERROR(VLOOKUP($A8,06C_OPEX_CUSTOM!$A:$O,2+MATCH(P$3,06C_OPEX_CUSTOM!$C$3:$N$3,0),FALSE),0),0))))*IFERROR(IF(VLOOKUP($A8,06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Q8" s="56">
        <f>SUM(E8:P8)</f>
        <v/>
      </c>
    </row>
    <row r="9">
      <c r="A9" s="36" t="inlineStr">
        <is>
          <t>OPEX-006</t>
        </is>
      </c>
      <c r="B9" s="36">
        <f>IFERROR(VLOOKUP($A9,06_OPEX!$A:$L,2,FALSE),"")</f>
        <v/>
      </c>
      <c r="C9" s="37">
        <f>IFERROR(VLOOKUP($A9,06_OPEX!$A:$L,4,FALSE),"")</f>
        <v/>
      </c>
      <c r="D9" s="37">
        <f>IFERROR(VLOOKUP($A9,06_OPEX!$A:$L,7,FALSE),"")</f>
        <v/>
      </c>
      <c r="E9" s="52">
        <f>(IF($C9="Mensual",IF(AND(E$3&gt;=VLOOKUP($A9,06_OPEX!$A:$L,8,FALSE),E$3&lt;=VLOOKUP($A9,06_OPEX!$A:$L,9,FALSE)),-VLOOKUP($A9,06_OPEX!$A:$L,6,FALSE),0),IF($C9="Unico",IF(E$3=VLOOKUP($A9,06_OPEX!$A:$L,10,FALSE),-VLOOKUP($A9,06_OPEX!$A:$L,6,FALSE),0),IF($C9="Custom",-IFERROR(VLOOKUP($A9,06C_OPEX_CUSTOM!$A:$O,2+MATCH(E$3,06C_OPEX_CUSTOM!$C$3:$N$3,0),FALSE),0),0))))*IFERROR(IF(VLOOKUP($A9,06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F9" s="52">
        <f>(IF($C9="Mensual",IF(AND(F$3&gt;=VLOOKUP($A9,06_OPEX!$A:$L,8,FALSE),F$3&lt;=VLOOKUP($A9,06_OPEX!$A:$L,9,FALSE)),-VLOOKUP($A9,06_OPEX!$A:$L,6,FALSE),0),IF($C9="Unico",IF(F$3=VLOOKUP($A9,06_OPEX!$A:$L,10,FALSE),-VLOOKUP($A9,06_OPEX!$A:$L,6,FALSE),0),IF($C9="Custom",-IFERROR(VLOOKUP($A9,06C_OPEX_CUSTOM!$A:$O,2+MATCH(F$3,06C_OPEX_CUSTOM!$C$3:$N$3,0),FALSE),0),0))))*IFERROR(IF(VLOOKUP($A9,06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G9" s="52">
        <f>(IF($C9="Mensual",IF(AND(G$3&gt;=VLOOKUP($A9,06_OPEX!$A:$L,8,FALSE),G$3&lt;=VLOOKUP($A9,06_OPEX!$A:$L,9,FALSE)),-VLOOKUP($A9,06_OPEX!$A:$L,6,FALSE),0),IF($C9="Unico",IF(G$3=VLOOKUP($A9,06_OPEX!$A:$L,10,FALSE),-VLOOKUP($A9,06_OPEX!$A:$L,6,FALSE),0),IF($C9="Custom",-IFERROR(VLOOKUP($A9,06C_OPEX_CUSTOM!$A:$O,2+MATCH(G$3,06C_OPEX_CUSTOM!$C$3:$N$3,0),FALSE),0),0))))*IFERROR(IF(VLOOKUP($A9,06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H9" s="52">
        <f>(IF($C9="Mensual",IF(AND(H$3&gt;=VLOOKUP($A9,06_OPEX!$A:$L,8,FALSE),H$3&lt;=VLOOKUP($A9,06_OPEX!$A:$L,9,FALSE)),-VLOOKUP($A9,06_OPEX!$A:$L,6,FALSE),0),IF($C9="Unico",IF(H$3=VLOOKUP($A9,06_OPEX!$A:$L,10,FALSE),-VLOOKUP($A9,06_OPEX!$A:$L,6,FALSE),0),IF($C9="Custom",-IFERROR(VLOOKUP($A9,06C_OPEX_CUSTOM!$A:$O,2+MATCH(H$3,06C_OPEX_CUSTOM!$C$3:$N$3,0),FALSE),0),0))))*IFERROR(IF(VLOOKUP($A9,06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I9" s="52">
        <f>(IF($C9="Mensual",IF(AND(I$3&gt;=VLOOKUP($A9,06_OPEX!$A:$L,8,FALSE),I$3&lt;=VLOOKUP($A9,06_OPEX!$A:$L,9,FALSE)),-VLOOKUP($A9,06_OPEX!$A:$L,6,FALSE),0),IF($C9="Unico",IF(I$3=VLOOKUP($A9,06_OPEX!$A:$L,10,FALSE),-VLOOKUP($A9,06_OPEX!$A:$L,6,FALSE),0),IF($C9="Custom",-IFERROR(VLOOKUP($A9,06C_OPEX_CUSTOM!$A:$O,2+MATCH(I$3,06C_OPEX_CUSTOM!$C$3:$N$3,0),FALSE),0),0))))*IFERROR(IF(VLOOKUP($A9,06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J9" s="52">
        <f>(IF($C9="Mensual",IF(AND(J$3&gt;=VLOOKUP($A9,06_OPEX!$A:$L,8,FALSE),J$3&lt;=VLOOKUP($A9,06_OPEX!$A:$L,9,FALSE)),-VLOOKUP($A9,06_OPEX!$A:$L,6,FALSE),0),IF($C9="Unico",IF(J$3=VLOOKUP($A9,06_OPEX!$A:$L,10,FALSE),-VLOOKUP($A9,06_OPEX!$A:$L,6,FALSE),0),IF($C9="Custom",-IFERROR(VLOOKUP($A9,06C_OPEX_CUSTOM!$A:$O,2+MATCH(J$3,06C_OPEX_CUSTOM!$C$3:$N$3,0),FALSE),0),0))))*IFERROR(IF(VLOOKUP($A9,06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K9" s="52">
        <f>(IF($C9="Mensual",IF(AND(K$3&gt;=VLOOKUP($A9,06_OPEX!$A:$L,8,FALSE),K$3&lt;=VLOOKUP($A9,06_OPEX!$A:$L,9,FALSE)),-VLOOKUP($A9,06_OPEX!$A:$L,6,FALSE),0),IF($C9="Unico",IF(K$3=VLOOKUP($A9,06_OPEX!$A:$L,10,FALSE),-VLOOKUP($A9,06_OPEX!$A:$L,6,FALSE),0),IF($C9="Custom",-IFERROR(VLOOKUP($A9,06C_OPEX_CUSTOM!$A:$O,2+MATCH(K$3,06C_OPEX_CUSTOM!$C$3:$N$3,0),FALSE),0),0))))*IFERROR(IF(VLOOKUP($A9,06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L9" s="52">
        <f>(IF($C9="Mensual",IF(AND(L$3&gt;=VLOOKUP($A9,06_OPEX!$A:$L,8,FALSE),L$3&lt;=VLOOKUP($A9,06_OPEX!$A:$L,9,FALSE)),-VLOOKUP($A9,06_OPEX!$A:$L,6,FALSE),0),IF($C9="Unico",IF(L$3=VLOOKUP($A9,06_OPEX!$A:$L,10,FALSE),-VLOOKUP($A9,06_OPEX!$A:$L,6,FALSE),0),IF($C9="Custom",-IFERROR(VLOOKUP($A9,06C_OPEX_CUSTOM!$A:$O,2+MATCH(L$3,06C_OPEX_CUSTOM!$C$3:$N$3,0),FALSE),0),0))))*IFERROR(IF(VLOOKUP($A9,06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M9" s="52">
        <f>(IF($C9="Mensual",IF(AND(M$3&gt;=VLOOKUP($A9,06_OPEX!$A:$L,8,FALSE),M$3&lt;=VLOOKUP($A9,06_OPEX!$A:$L,9,FALSE)),-VLOOKUP($A9,06_OPEX!$A:$L,6,FALSE),0),IF($C9="Unico",IF(M$3=VLOOKUP($A9,06_OPEX!$A:$L,10,FALSE),-VLOOKUP($A9,06_OPEX!$A:$L,6,FALSE),0),IF($C9="Custom",-IFERROR(VLOOKUP($A9,06C_OPEX_CUSTOM!$A:$O,2+MATCH(M$3,06C_OPEX_CUSTOM!$C$3:$N$3,0),FALSE),0),0))))*IFERROR(IF(VLOOKUP($A9,06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N9" s="52">
        <f>(IF($C9="Mensual",IF(AND(N$3&gt;=VLOOKUP($A9,06_OPEX!$A:$L,8,FALSE),N$3&lt;=VLOOKUP($A9,06_OPEX!$A:$L,9,FALSE)),-VLOOKUP($A9,06_OPEX!$A:$L,6,FALSE),0),IF($C9="Unico",IF(N$3=VLOOKUP($A9,06_OPEX!$A:$L,10,FALSE),-VLOOKUP($A9,06_OPEX!$A:$L,6,FALSE),0),IF($C9="Custom",-IFERROR(VLOOKUP($A9,06C_OPEX_CUSTOM!$A:$O,2+MATCH(N$3,06C_OPEX_CUSTOM!$C$3:$N$3,0),FALSE),0),0))))*IFERROR(IF(VLOOKUP($A9,06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O9" s="52">
        <f>(IF($C9="Mensual",IF(AND(O$3&gt;=VLOOKUP($A9,06_OPEX!$A:$L,8,FALSE),O$3&lt;=VLOOKUP($A9,06_OPEX!$A:$L,9,FALSE)),-VLOOKUP($A9,06_OPEX!$A:$L,6,FALSE),0),IF($C9="Unico",IF(O$3=VLOOKUP($A9,06_OPEX!$A:$L,10,FALSE),-VLOOKUP($A9,06_OPEX!$A:$L,6,FALSE),0),IF($C9="Custom",-IFERROR(VLOOKUP($A9,06C_OPEX_CUSTOM!$A:$O,2+MATCH(O$3,06C_OPEX_CUSTOM!$C$3:$N$3,0),FALSE),0),0))))*IFERROR(IF(VLOOKUP($A9,06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P9" s="52">
        <f>(IF($C9="Mensual",IF(AND(P$3&gt;=VLOOKUP($A9,06_OPEX!$A:$L,8,FALSE),P$3&lt;=VLOOKUP($A9,06_OPEX!$A:$L,9,FALSE)),-VLOOKUP($A9,06_OPEX!$A:$L,6,FALSE),0),IF($C9="Unico",IF(P$3=VLOOKUP($A9,06_OPEX!$A:$L,10,FALSE),-VLOOKUP($A9,06_OPEX!$A:$L,6,FALSE),0),IF($C9="Custom",-IFERROR(VLOOKUP($A9,06C_OPEX_CUSTOM!$A:$O,2+MATCH(P$3,06C_OPEX_CUSTOM!$C$3:$N$3,0),FALSE),0),0))))*IFERROR(IF(VLOOKUP($A9,06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Q9" s="56">
        <f>SUM(E9:P9)</f>
        <v/>
      </c>
    </row>
    <row r="10">
      <c r="A10" s="36" t="inlineStr">
        <is>
          <t>OPEX-007</t>
        </is>
      </c>
      <c r="B10" s="36">
        <f>IFERROR(VLOOKUP($A10,06_OPEX!$A:$L,2,FALSE),"")</f>
        <v/>
      </c>
      <c r="C10" s="37">
        <f>IFERROR(VLOOKUP($A10,06_OPEX!$A:$L,4,FALSE),"")</f>
        <v/>
      </c>
      <c r="D10" s="37">
        <f>IFERROR(VLOOKUP($A10,06_OPEX!$A:$L,7,FALSE),"")</f>
        <v/>
      </c>
      <c r="E10" s="52">
        <f>(IF($C10="Mensual",IF(AND(E$3&gt;=VLOOKUP($A10,06_OPEX!$A:$L,8,FALSE),E$3&lt;=VLOOKUP($A10,06_OPEX!$A:$L,9,FALSE)),-VLOOKUP($A10,06_OPEX!$A:$L,6,FALSE),0),IF($C10="Unico",IF(E$3=VLOOKUP($A10,06_OPEX!$A:$L,10,FALSE),-VLOOKUP($A10,06_OPEX!$A:$L,6,FALSE),0),IF($C10="Custom",-IFERROR(VLOOKUP($A10,06C_OPEX_CUSTOM!$A:$O,2+MATCH(E$3,06C_OPEX_CUSTOM!$C$3:$N$3,0),FALSE),0),0))))*IFERROR(IF(VLOOKUP($A10,06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F10" s="52">
        <f>(IF($C10="Mensual",IF(AND(F$3&gt;=VLOOKUP($A10,06_OPEX!$A:$L,8,FALSE),F$3&lt;=VLOOKUP($A10,06_OPEX!$A:$L,9,FALSE)),-VLOOKUP($A10,06_OPEX!$A:$L,6,FALSE),0),IF($C10="Unico",IF(F$3=VLOOKUP($A10,06_OPEX!$A:$L,10,FALSE),-VLOOKUP($A10,06_OPEX!$A:$L,6,FALSE),0),IF($C10="Custom",-IFERROR(VLOOKUP($A10,06C_OPEX_CUSTOM!$A:$O,2+MATCH(F$3,06C_OPEX_CUSTOM!$C$3:$N$3,0),FALSE),0),0))))*IFERROR(IF(VLOOKUP($A10,06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G10" s="52">
        <f>(IF($C10="Mensual",IF(AND(G$3&gt;=VLOOKUP($A10,06_OPEX!$A:$L,8,FALSE),G$3&lt;=VLOOKUP($A10,06_OPEX!$A:$L,9,FALSE)),-VLOOKUP($A10,06_OPEX!$A:$L,6,FALSE),0),IF($C10="Unico",IF(G$3=VLOOKUP($A10,06_OPEX!$A:$L,10,FALSE),-VLOOKUP($A10,06_OPEX!$A:$L,6,FALSE),0),IF($C10="Custom",-IFERROR(VLOOKUP($A10,06C_OPEX_CUSTOM!$A:$O,2+MATCH(G$3,06C_OPEX_CUSTOM!$C$3:$N$3,0),FALSE),0),0))))*IFERROR(IF(VLOOKUP($A10,06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H10" s="52">
        <f>(IF($C10="Mensual",IF(AND(H$3&gt;=VLOOKUP($A10,06_OPEX!$A:$L,8,FALSE),H$3&lt;=VLOOKUP($A10,06_OPEX!$A:$L,9,FALSE)),-VLOOKUP($A10,06_OPEX!$A:$L,6,FALSE),0),IF($C10="Unico",IF(H$3=VLOOKUP($A10,06_OPEX!$A:$L,10,FALSE),-VLOOKUP($A10,06_OPEX!$A:$L,6,FALSE),0),IF($C10="Custom",-IFERROR(VLOOKUP($A10,06C_OPEX_CUSTOM!$A:$O,2+MATCH(H$3,06C_OPEX_CUSTOM!$C$3:$N$3,0),FALSE),0),0))))*IFERROR(IF(VLOOKUP($A10,06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I10" s="52">
        <f>(IF($C10="Mensual",IF(AND(I$3&gt;=VLOOKUP($A10,06_OPEX!$A:$L,8,FALSE),I$3&lt;=VLOOKUP($A10,06_OPEX!$A:$L,9,FALSE)),-VLOOKUP($A10,06_OPEX!$A:$L,6,FALSE),0),IF($C10="Unico",IF(I$3=VLOOKUP($A10,06_OPEX!$A:$L,10,FALSE),-VLOOKUP($A10,06_OPEX!$A:$L,6,FALSE),0),IF($C10="Custom",-IFERROR(VLOOKUP($A10,06C_OPEX_CUSTOM!$A:$O,2+MATCH(I$3,06C_OPEX_CUSTOM!$C$3:$N$3,0),FALSE),0),0))))*IFERROR(IF(VLOOKUP($A10,06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J10" s="52">
        <f>(IF($C10="Mensual",IF(AND(J$3&gt;=VLOOKUP($A10,06_OPEX!$A:$L,8,FALSE),J$3&lt;=VLOOKUP($A10,06_OPEX!$A:$L,9,FALSE)),-VLOOKUP($A10,06_OPEX!$A:$L,6,FALSE),0),IF($C10="Unico",IF(J$3=VLOOKUP($A10,06_OPEX!$A:$L,10,FALSE),-VLOOKUP($A10,06_OPEX!$A:$L,6,FALSE),0),IF($C10="Custom",-IFERROR(VLOOKUP($A10,06C_OPEX_CUSTOM!$A:$O,2+MATCH(J$3,06C_OPEX_CUSTOM!$C$3:$N$3,0),FALSE),0),0))))*IFERROR(IF(VLOOKUP($A10,06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K10" s="52">
        <f>(IF($C10="Mensual",IF(AND(K$3&gt;=VLOOKUP($A10,06_OPEX!$A:$L,8,FALSE),K$3&lt;=VLOOKUP($A10,06_OPEX!$A:$L,9,FALSE)),-VLOOKUP($A10,06_OPEX!$A:$L,6,FALSE),0),IF($C10="Unico",IF(K$3=VLOOKUP($A10,06_OPEX!$A:$L,10,FALSE),-VLOOKUP($A10,06_OPEX!$A:$L,6,FALSE),0),IF($C10="Custom",-IFERROR(VLOOKUP($A10,06C_OPEX_CUSTOM!$A:$O,2+MATCH(K$3,06C_OPEX_CUSTOM!$C$3:$N$3,0),FALSE),0),0))))*IFERROR(IF(VLOOKUP($A10,06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L10" s="52">
        <f>(IF($C10="Mensual",IF(AND(L$3&gt;=VLOOKUP($A10,06_OPEX!$A:$L,8,FALSE),L$3&lt;=VLOOKUP($A10,06_OPEX!$A:$L,9,FALSE)),-VLOOKUP($A10,06_OPEX!$A:$L,6,FALSE),0),IF($C10="Unico",IF(L$3=VLOOKUP($A10,06_OPEX!$A:$L,10,FALSE),-VLOOKUP($A10,06_OPEX!$A:$L,6,FALSE),0),IF($C10="Custom",-IFERROR(VLOOKUP($A10,06C_OPEX_CUSTOM!$A:$O,2+MATCH(L$3,06C_OPEX_CUSTOM!$C$3:$N$3,0),FALSE),0),0))))*IFERROR(IF(VLOOKUP($A10,06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M10" s="52">
        <f>(IF($C10="Mensual",IF(AND(M$3&gt;=VLOOKUP($A10,06_OPEX!$A:$L,8,FALSE),M$3&lt;=VLOOKUP($A10,06_OPEX!$A:$L,9,FALSE)),-VLOOKUP($A10,06_OPEX!$A:$L,6,FALSE),0),IF($C10="Unico",IF(M$3=VLOOKUP($A10,06_OPEX!$A:$L,10,FALSE),-VLOOKUP($A10,06_OPEX!$A:$L,6,FALSE),0),IF($C10="Custom",-IFERROR(VLOOKUP($A10,06C_OPEX_CUSTOM!$A:$O,2+MATCH(M$3,06C_OPEX_CUSTOM!$C$3:$N$3,0),FALSE),0),0))))*IFERROR(IF(VLOOKUP($A10,06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N10" s="52">
        <f>(IF($C10="Mensual",IF(AND(N$3&gt;=VLOOKUP($A10,06_OPEX!$A:$L,8,FALSE),N$3&lt;=VLOOKUP($A10,06_OPEX!$A:$L,9,FALSE)),-VLOOKUP($A10,06_OPEX!$A:$L,6,FALSE),0),IF($C10="Unico",IF(N$3=VLOOKUP($A10,06_OPEX!$A:$L,10,FALSE),-VLOOKUP($A10,06_OPEX!$A:$L,6,FALSE),0),IF($C10="Custom",-IFERROR(VLOOKUP($A10,06C_OPEX_CUSTOM!$A:$O,2+MATCH(N$3,06C_OPEX_CUSTOM!$C$3:$N$3,0),FALSE),0),0))))*IFERROR(IF(VLOOKUP($A10,06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O10" s="52">
        <f>(IF($C10="Mensual",IF(AND(O$3&gt;=VLOOKUP($A10,06_OPEX!$A:$L,8,FALSE),O$3&lt;=VLOOKUP($A10,06_OPEX!$A:$L,9,FALSE)),-VLOOKUP($A10,06_OPEX!$A:$L,6,FALSE),0),IF($C10="Unico",IF(O$3=VLOOKUP($A10,06_OPEX!$A:$L,10,FALSE),-VLOOKUP($A10,06_OPEX!$A:$L,6,FALSE),0),IF($C10="Custom",-IFERROR(VLOOKUP($A10,06C_OPEX_CUSTOM!$A:$O,2+MATCH(O$3,06C_OPEX_CUSTOM!$C$3:$N$3,0),FALSE),0),0))))*IFERROR(IF(VLOOKUP($A10,06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P10" s="52">
        <f>(IF($C10="Mensual",IF(AND(P$3&gt;=VLOOKUP($A10,06_OPEX!$A:$L,8,FALSE),P$3&lt;=VLOOKUP($A10,06_OPEX!$A:$L,9,FALSE)),-VLOOKUP($A10,06_OPEX!$A:$L,6,FALSE),0),IF($C10="Unico",IF(P$3=VLOOKUP($A10,06_OPEX!$A:$L,10,FALSE),-VLOOKUP($A10,06_OPEX!$A:$L,6,FALSE),0),IF($C10="Custom",-IFERROR(VLOOKUP($A10,06C_OPEX_CUSTOM!$A:$O,2+MATCH(P$3,06C_OPEX_CUSTOM!$C$3:$N$3,0),FALSE),0),0))))*IFERROR(IF(VLOOKUP($A10,06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Q10" s="56">
        <f>SUM(E10:P10)</f>
        <v/>
      </c>
    </row>
    <row r="11">
      <c r="A11" s="36" t="inlineStr">
        <is>
          <t>OPEX-008</t>
        </is>
      </c>
      <c r="B11" s="36">
        <f>IFERROR(VLOOKUP($A11,06_OPEX!$A:$L,2,FALSE),"")</f>
        <v/>
      </c>
      <c r="C11" s="37">
        <f>IFERROR(VLOOKUP($A11,06_OPEX!$A:$L,4,FALSE),"")</f>
        <v/>
      </c>
      <c r="D11" s="37">
        <f>IFERROR(VLOOKUP($A11,06_OPEX!$A:$L,7,FALSE),"")</f>
        <v/>
      </c>
      <c r="E11" s="52">
        <f>(IF($C11="Mensual",IF(AND(E$3&gt;=VLOOKUP($A11,06_OPEX!$A:$L,8,FALSE),E$3&lt;=VLOOKUP($A11,06_OPEX!$A:$L,9,FALSE)),-VLOOKUP($A11,06_OPEX!$A:$L,6,FALSE),0),IF($C11="Unico",IF(E$3=VLOOKUP($A11,06_OPEX!$A:$L,10,FALSE),-VLOOKUP($A11,06_OPEX!$A:$L,6,FALSE),0),IF($C11="Custom",-IFERROR(VLOOKUP($A11,06C_OPEX_CUSTOM!$A:$O,2+MATCH(E$3,06C_OPEX_CUSTOM!$C$3:$N$3,0),FALSE),0),0))))*IFERROR(IF(VLOOKUP($A11,06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F11" s="52">
        <f>(IF($C11="Mensual",IF(AND(F$3&gt;=VLOOKUP($A11,06_OPEX!$A:$L,8,FALSE),F$3&lt;=VLOOKUP($A11,06_OPEX!$A:$L,9,FALSE)),-VLOOKUP($A11,06_OPEX!$A:$L,6,FALSE),0),IF($C11="Unico",IF(F$3=VLOOKUP($A11,06_OPEX!$A:$L,10,FALSE),-VLOOKUP($A11,06_OPEX!$A:$L,6,FALSE),0),IF($C11="Custom",-IFERROR(VLOOKUP($A11,06C_OPEX_CUSTOM!$A:$O,2+MATCH(F$3,06C_OPEX_CUSTOM!$C$3:$N$3,0),FALSE),0),0))))*IFERROR(IF(VLOOKUP($A11,06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G11" s="52">
        <f>(IF($C11="Mensual",IF(AND(G$3&gt;=VLOOKUP($A11,06_OPEX!$A:$L,8,FALSE),G$3&lt;=VLOOKUP($A11,06_OPEX!$A:$L,9,FALSE)),-VLOOKUP($A11,06_OPEX!$A:$L,6,FALSE),0),IF($C11="Unico",IF(G$3=VLOOKUP($A11,06_OPEX!$A:$L,10,FALSE),-VLOOKUP($A11,06_OPEX!$A:$L,6,FALSE),0),IF($C11="Custom",-IFERROR(VLOOKUP($A11,06C_OPEX_CUSTOM!$A:$O,2+MATCH(G$3,06C_OPEX_CUSTOM!$C$3:$N$3,0),FALSE),0),0))))*IFERROR(IF(VLOOKUP($A11,06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H11" s="52">
        <f>(IF($C11="Mensual",IF(AND(H$3&gt;=VLOOKUP($A11,06_OPEX!$A:$L,8,FALSE),H$3&lt;=VLOOKUP($A11,06_OPEX!$A:$L,9,FALSE)),-VLOOKUP($A11,06_OPEX!$A:$L,6,FALSE),0),IF($C11="Unico",IF(H$3=VLOOKUP($A11,06_OPEX!$A:$L,10,FALSE),-VLOOKUP($A11,06_OPEX!$A:$L,6,FALSE),0),IF($C11="Custom",-IFERROR(VLOOKUP($A11,06C_OPEX_CUSTOM!$A:$O,2+MATCH(H$3,06C_OPEX_CUSTOM!$C$3:$N$3,0),FALSE),0),0))))*IFERROR(IF(VLOOKUP($A11,06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I11" s="52">
        <f>(IF($C11="Mensual",IF(AND(I$3&gt;=VLOOKUP($A11,06_OPEX!$A:$L,8,FALSE),I$3&lt;=VLOOKUP($A11,06_OPEX!$A:$L,9,FALSE)),-VLOOKUP($A11,06_OPEX!$A:$L,6,FALSE),0),IF($C11="Unico",IF(I$3=VLOOKUP($A11,06_OPEX!$A:$L,10,FALSE),-VLOOKUP($A11,06_OPEX!$A:$L,6,FALSE),0),IF($C11="Custom",-IFERROR(VLOOKUP($A11,06C_OPEX_CUSTOM!$A:$O,2+MATCH(I$3,06C_OPEX_CUSTOM!$C$3:$N$3,0),FALSE),0),0))))*IFERROR(IF(VLOOKUP($A11,06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J11" s="52">
        <f>(IF($C11="Mensual",IF(AND(J$3&gt;=VLOOKUP($A11,06_OPEX!$A:$L,8,FALSE),J$3&lt;=VLOOKUP($A11,06_OPEX!$A:$L,9,FALSE)),-VLOOKUP($A11,06_OPEX!$A:$L,6,FALSE),0),IF($C11="Unico",IF(J$3=VLOOKUP($A11,06_OPEX!$A:$L,10,FALSE),-VLOOKUP($A11,06_OPEX!$A:$L,6,FALSE),0),IF($C11="Custom",-IFERROR(VLOOKUP($A11,06C_OPEX_CUSTOM!$A:$O,2+MATCH(J$3,06C_OPEX_CUSTOM!$C$3:$N$3,0),FALSE),0),0))))*IFERROR(IF(VLOOKUP($A11,06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K11" s="52">
        <f>(IF($C11="Mensual",IF(AND(K$3&gt;=VLOOKUP($A11,06_OPEX!$A:$L,8,FALSE),K$3&lt;=VLOOKUP($A11,06_OPEX!$A:$L,9,FALSE)),-VLOOKUP($A11,06_OPEX!$A:$L,6,FALSE),0),IF($C11="Unico",IF(K$3=VLOOKUP($A11,06_OPEX!$A:$L,10,FALSE),-VLOOKUP($A11,06_OPEX!$A:$L,6,FALSE),0),IF($C11="Custom",-IFERROR(VLOOKUP($A11,06C_OPEX_CUSTOM!$A:$O,2+MATCH(K$3,06C_OPEX_CUSTOM!$C$3:$N$3,0),FALSE),0),0))))*IFERROR(IF(VLOOKUP($A11,06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L11" s="52">
        <f>(IF($C11="Mensual",IF(AND(L$3&gt;=VLOOKUP($A11,06_OPEX!$A:$L,8,FALSE),L$3&lt;=VLOOKUP($A11,06_OPEX!$A:$L,9,FALSE)),-VLOOKUP($A11,06_OPEX!$A:$L,6,FALSE),0),IF($C11="Unico",IF(L$3=VLOOKUP($A11,06_OPEX!$A:$L,10,FALSE),-VLOOKUP($A11,06_OPEX!$A:$L,6,FALSE),0),IF($C11="Custom",-IFERROR(VLOOKUP($A11,06C_OPEX_CUSTOM!$A:$O,2+MATCH(L$3,06C_OPEX_CUSTOM!$C$3:$N$3,0),FALSE),0),0))))*IFERROR(IF(VLOOKUP($A11,06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M11" s="52">
        <f>(IF($C11="Mensual",IF(AND(M$3&gt;=VLOOKUP($A11,06_OPEX!$A:$L,8,FALSE),M$3&lt;=VLOOKUP($A11,06_OPEX!$A:$L,9,FALSE)),-VLOOKUP($A11,06_OPEX!$A:$L,6,FALSE),0),IF($C11="Unico",IF(M$3=VLOOKUP($A11,06_OPEX!$A:$L,10,FALSE),-VLOOKUP($A11,06_OPEX!$A:$L,6,FALSE),0),IF($C11="Custom",-IFERROR(VLOOKUP($A11,06C_OPEX_CUSTOM!$A:$O,2+MATCH(M$3,06C_OPEX_CUSTOM!$C$3:$N$3,0),FALSE),0),0))))*IFERROR(IF(VLOOKUP($A11,06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N11" s="52">
        <f>(IF($C11="Mensual",IF(AND(N$3&gt;=VLOOKUP($A11,06_OPEX!$A:$L,8,FALSE),N$3&lt;=VLOOKUP($A11,06_OPEX!$A:$L,9,FALSE)),-VLOOKUP($A11,06_OPEX!$A:$L,6,FALSE),0),IF($C11="Unico",IF(N$3=VLOOKUP($A11,06_OPEX!$A:$L,10,FALSE),-VLOOKUP($A11,06_OPEX!$A:$L,6,FALSE),0),IF($C11="Custom",-IFERROR(VLOOKUP($A11,06C_OPEX_CUSTOM!$A:$O,2+MATCH(N$3,06C_OPEX_CUSTOM!$C$3:$N$3,0),FALSE),0),0))))*IFERROR(IF(VLOOKUP($A11,06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O11" s="52">
        <f>(IF($C11="Mensual",IF(AND(O$3&gt;=VLOOKUP($A11,06_OPEX!$A:$L,8,FALSE),O$3&lt;=VLOOKUP($A11,06_OPEX!$A:$L,9,FALSE)),-VLOOKUP($A11,06_OPEX!$A:$L,6,FALSE),0),IF($C11="Unico",IF(O$3=VLOOKUP($A11,06_OPEX!$A:$L,10,FALSE),-VLOOKUP($A11,06_OPEX!$A:$L,6,FALSE),0),IF($C11="Custom",-IFERROR(VLOOKUP($A11,06C_OPEX_CUSTOM!$A:$O,2+MATCH(O$3,06C_OPEX_CUSTOM!$C$3:$N$3,0),FALSE),0),0))))*IFERROR(IF(VLOOKUP($A11,06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P11" s="52">
        <f>(IF($C11="Mensual",IF(AND(P$3&gt;=VLOOKUP($A11,06_OPEX!$A:$L,8,FALSE),P$3&lt;=VLOOKUP($A11,06_OPEX!$A:$L,9,FALSE)),-VLOOKUP($A11,06_OPEX!$A:$L,6,FALSE),0),IF($C11="Unico",IF(P$3=VLOOKUP($A11,06_OPEX!$A:$L,10,FALSE),-VLOOKUP($A11,06_OPEX!$A:$L,6,FALSE),0),IF($C11="Custom",-IFERROR(VLOOKUP($A11,06C_OPEX_CUSTOM!$A:$O,2+MATCH(P$3,06C_OPEX_CUSTOM!$C$3:$N$3,0),FALSE),0),0))))*IFERROR(IF(VLOOKUP($A11,06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Q11" s="56">
        <f>SUM(E11:P11)</f>
        <v/>
      </c>
    </row>
    <row r="12">
      <c r="A12" s="36" t="inlineStr">
        <is>
          <t>OPEX-009</t>
        </is>
      </c>
      <c r="B12" s="36">
        <f>IFERROR(VLOOKUP($A12,06_OPEX!$A:$L,2,FALSE),"")</f>
        <v/>
      </c>
      <c r="C12" s="37">
        <f>IFERROR(VLOOKUP($A12,06_OPEX!$A:$L,4,FALSE),"")</f>
        <v/>
      </c>
      <c r="D12" s="37">
        <f>IFERROR(VLOOKUP($A12,06_OPEX!$A:$L,7,FALSE),"")</f>
        <v/>
      </c>
      <c r="E12" s="52">
        <f>(IF($C12="Mensual",IF(AND(E$3&gt;=VLOOKUP($A12,06_OPEX!$A:$L,8,FALSE),E$3&lt;=VLOOKUP($A12,06_OPEX!$A:$L,9,FALSE)),-VLOOKUP($A12,06_OPEX!$A:$L,6,FALSE),0),IF($C12="Unico",IF(E$3=VLOOKUP($A12,06_OPEX!$A:$L,10,FALSE),-VLOOKUP($A12,06_OPEX!$A:$L,6,FALSE),0),IF($C12="Custom",-IFERROR(VLOOKUP($A12,06C_OPEX_CUSTOM!$A:$O,2+MATCH(E$3,06C_OPEX_CUSTOM!$C$3:$N$3,0),FALSE),0),0))))*IFERROR(IF(VLOOKUP($A12,06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F12" s="52">
        <f>(IF($C12="Mensual",IF(AND(F$3&gt;=VLOOKUP($A12,06_OPEX!$A:$L,8,FALSE),F$3&lt;=VLOOKUP($A12,06_OPEX!$A:$L,9,FALSE)),-VLOOKUP($A12,06_OPEX!$A:$L,6,FALSE),0),IF($C12="Unico",IF(F$3=VLOOKUP($A12,06_OPEX!$A:$L,10,FALSE),-VLOOKUP($A12,06_OPEX!$A:$L,6,FALSE),0),IF($C12="Custom",-IFERROR(VLOOKUP($A12,06C_OPEX_CUSTOM!$A:$O,2+MATCH(F$3,06C_OPEX_CUSTOM!$C$3:$N$3,0),FALSE),0),0))))*IFERROR(IF(VLOOKUP($A12,06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G12" s="52">
        <f>(IF($C12="Mensual",IF(AND(G$3&gt;=VLOOKUP($A12,06_OPEX!$A:$L,8,FALSE),G$3&lt;=VLOOKUP($A12,06_OPEX!$A:$L,9,FALSE)),-VLOOKUP($A12,06_OPEX!$A:$L,6,FALSE),0),IF($C12="Unico",IF(G$3=VLOOKUP($A12,06_OPEX!$A:$L,10,FALSE),-VLOOKUP($A12,06_OPEX!$A:$L,6,FALSE),0),IF($C12="Custom",-IFERROR(VLOOKUP($A12,06C_OPEX_CUSTOM!$A:$O,2+MATCH(G$3,06C_OPEX_CUSTOM!$C$3:$N$3,0),FALSE),0),0))))*IFERROR(IF(VLOOKUP($A12,06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H12" s="52">
        <f>(IF($C12="Mensual",IF(AND(H$3&gt;=VLOOKUP($A12,06_OPEX!$A:$L,8,FALSE),H$3&lt;=VLOOKUP($A12,06_OPEX!$A:$L,9,FALSE)),-VLOOKUP($A12,06_OPEX!$A:$L,6,FALSE),0),IF($C12="Unico",IF(H$3=VLOOKUP($A12,06_OPEX!$A:$L,10,FALSE),-VLOOKUP($A12,06_OPEX!$A:$L,6,FALSE),0),IF($C12="Custom",-IFERROR(VLOOKUP($A12,06C_OPEX_CUSTOM!$A:$O,2+MATCH(H$3,06C_OPEX_CUSTOM!$C$3:$N$3,0),FALSE),0),0))))*IFERROR(IF(VLOOKUP($A12,06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I12" s="52">
        <f>(IF($C12="Mensual",IF(AND(I$3&gt;=VLOOKUP($A12,06_OPEX!$A:$L,8,FALSE),I$3&lt;=VLOOKUP($A12,06_OPEX!$A:$L,9,FALSE)),-VLOOKUP($A12,06_OPEX!$A:$L,6,FALSE),0),IF($C12="Unico",IF(I$3=VLOOKUP($A12,06_OPEX!$A:$L,10,FALSE),-VLOOKUP($A12,06_OPEX!$A:$L,6,FALSE),0),IF($C12="Custom",-IFERROR(VLOOKUP($A12,06C_OPEX_CUSTOM!$A:$O,2+MATCH(I$3,06C_OPEX_CUSTOM!$C$3:$N$3,0),FALSE),0),0))))*IFERROR(IF(VLOOKUP($A12,06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J12" s="52">
        <f>(IF($C12="Mensual",IF(AND(J$3&gt;=VLOOKUP($A12,06_OPEX!$A:$L,8,FALSE),J$3&lt;=VLOOKUP($A12,06_OPEX!$A:$L,9,FALSE)),-VLOOKUP($A12,06_OPEX!$A:$L,6,FALSE),0),IF($C12="Unico",IF(J$3=VLOOKUP($A12,06_OPEX!$A:$L,10,FALSE),-VLOOKUP($A12,06_OPEX!$A:$L,6,FALSE),0),IF($C12="Custom",-IFERROR(VLOOKUP($A12,06C_OPEX_CUSTOM!$A:$O,2+MATCH(J$3,06C_OPEX_CUSTOM!$C$3:$N$3,0),FALSE),0),0))))*IFERROR(IF(VLOOKUP($A12,06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K12" s="52">
        <f>(IF($C12="Mensual",IF(AND(K$3&gt;=VLOOKUP($A12,06_OPEX!$A:$L,8,FALSE),K$3&lt;=VLOOKUP($A12,06_OPEX!$A:$L,9,FALSE)),-VLOOKUP($A12,06_OPEX!$A:$L,6,FALSE),0),IF($C12="Unico",IF(K$3=VLOOKUP($A12,06_OPEX!$A:$L,10,FALSE),-VLOOKUP($A12,06_OPEX!$A:$L,6,FALSE),0),IF($C12="Custom",-IFERROR(VLOOKUP($A12,06C_OPEX_CUSTOM!$A:$O,2+MATCH(K$3,06C_OPEX_CUSTOM!$C$3:$N$3,0),FALSE),0),0))))*IFERROR(IF(VLOOKUP($A12,06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L12" s="52">
        <f>(IF($C12="Mensual",IF(AND(L$3&gt;=VLOOKUP($A12,06_OPEX!$A:$L,8,FALSE),L$3&lt;=VLOOKUP($A12,06_OPEX!$A:$L,9,FALSE)),-VLOOKUP($A12,06_OPEX!$A:$L,6,FALSE),0),IF($C12="Unico",IF(L$3=VLOOKUP($A12,06_OPEX!$A:$L,10,FALSE),-VLOOKUP($A12,06_OPEX!$A:$L,6,FALSE),0),IF($C12="Custom",-IFERROR(VLOOKUP($A12,06C_OPEX_CUSTOM!$A:$O,2+MATCH(L$3,06C_OPEX_CUSTOM!$C$3:$N$3,0),FALSE),0),0))))*IFERROR(IF(VLOOKUP($A12,06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M12" s="52">
        <f>(IF($C12="Mensual",IF(AND(M$3&gt;=VLOOKUP($A12,06_OPEX!$A:$L,8,FALSE),M$3&lt;=VLOOKUP($A12,06_OPEX!$A:$L,9,FALSE)),-VLOOKUP($A12,06_OPEX!$A:$L,6,FALSE),0),IF($C12="Unico",IF(M$3=VLOOKUP($A12,06_OPEX!$A:$L,10,FALSE),-VLOOKUP($A12,06_OPEX!$A:$L,6,FALSE),0),IF($C12="Custom",-IFERROR(VLOOKUP($A12,06C_OPEX_CUSTOM!$A:$O,2+MATCH(M$3,06C_OPEX_CUSTOM!$C$3:$N$3,0),FALSE),0),0))))*IFERROR(IF(VLOOKUP($A12,06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N12" s="52">
        <f>(IF($C12="Mensual",IF(AND(N$3&gt;=VLOOKUP($A12,06_OPEX!$A:$L,8,FALSE),N$3&lt;=VLOOKUP($A12,06_OPEX!$A:$L,9,FALSE)),-VLOOKUP($A12,06_OPEX!$A:$L,6,FALSE),0),IF($C12="Unico",IF(N$3=VLOOKUP($A12,06_OPEX!$A:$L,10,FALSE),-VLOOKUP($A12,06_OPEX!$A:$L,6,FALSE),0),IF($C12="Custom",-IFERROR(VLOOKUP($A12,06C_OPEX_CUSTOM!$A:$O,2+MATCH(N$3,06C_OPEX_CUSTOM!$C$3:$N$3,0),FALSE),0),0))))*IFERROR(IF(VLOOKUP($A12,06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O12" s="52">
        <f>(IF($C12="Mensual",IF(AND(O$3&gt;=VLOOKUP($A12,06_OPEX!$A:$L,8,FALSE),O$3&lt;=VLOOKUP($A12,06_OPEX!$A:$L,9,FALSE)),-VLOOKUP($A12,06_OPEX!$A:$L,6,FALSE),0),IF($C12="Unico",IF(O$3=VLOOKUP($A12,06_OPEX!$A:$L,10,FALSE),-VLOOKUP($A12,06_OPEX!$A:$L,6,FALSE),0),IF($C12="Custom",-IFERROR(VLOOKUP($A12,06C_OPEX_CUSTOM!$A:$O,2+MATCH(O$3,06C_OPEX_CUSTOM!$C$3:$N$3,0),FALSE),0),0))))*IFERROR(IF(VLOOKUP($A12,06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P12" s="52">
        <f>(IF($C12="Mensual",IF(AND(P$3&gt;=VLOOKUP($A12,06_OPEX!$A:$L,8,FALSE),P$3&lt;=VLOOKUP($A12,06_OPEX!$A:$L,9,FALSE)),-VLOOKUP($A12,06_OPEX!$A:$L,6,FALSE),0),IF($C12="Unico",IF(P$3=VLOOKUP($A12,06_OPEX!$A:$L,10,FALSE),-VLOOKUP($A12,06_OPEX!$A:$L,6,FALSE),0),IF($C12="Custom",-IFERROR(VLOOKUP($A12,06C_OPEX_CUSTOM!$A:$O,2+MATCH(P$3,06C_OPEX_CUSTOM!$C$3:$N$3,0),FALSE),0),0))))*IFERROR(IF(VLOOKUP($A12,06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Q12" s="56">
        <f>SUM(E12:P12)</f>
        <v/>
      </c>
    </row>
    <row r="13">
      <c r="A13" s="36" t="inlineStr">
        <is>
          <t>OPEX-010</t>
        </is>
      </c>
      <c r="B13" s="36">
        <f>IFERROR(VLOOKUP($A13,06_OPEX!$A:$L,2,FALSE),"")</f>
        <v/>
      </c>
      <c r="C13" s="37">
        <f>IFERROR(VLOOKUP($A13,06_OPEX!$A:$L,4,FALSE),"")</f>
        <v/>
      </c>
      <c r="D13" s="37">
        <f>IFERROR(VLOOKUP($A13,06_OPEX!$A:$L,7,FALSE),"")</f>
        <v/>
      </c>
      <c r="E13" s="52">
        <f>(IF($C13="Mensual",IF(AND(E$3&gt;=VLOOKUP($A13,06_OPEX!$A:$L,8,FALSE),E$3&lt;=VLOOKUP($A13,06_OPEX!$A:$L,9,FALSE)),-VLOOKUP($A13,06_OPEX!$A:$L,6,FALSE),0),IF($C13="Unico",IF(E$3=VLOOKUP($A13,06_OPEX!$A:$L,10,FALSE),-VLOOKUP($A13,06_OPEX!$A:$L,6,FALSE),0),IF($C13="Custom",-IFERROR(VLOOKUP($A13,06C_OPEX_CUSTOM!$A:$O,2+MATCH(E$3,06C_OPEX_CUSTOM!$C$3:$N$3,0),FALSE),0),0))))*IFERROR(IF(VLOOKUP($A13,06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F13" s="52">
        <f>(IF($C13="Mensual",IF(AND(F$3&gt;=VLOOKUP($A13,06_OPEX!$A:$L,8,FALSE),F$3&lt;=VLOOKUP($A13,06_OPEX!$A:$L,9,FALSE)),-VLOOKUP($A13,06_OPEX!$A:$L,6,FALSE),0),IF($C13="Unico",IF(F$3=VLOOKUP($A13,06_OPEX!$A:$L,10,FALSE),-VLOOKUP($A13,06_OPEX!$A:$L,6,FALSE),0),IF($C13="Custom",-IFERROR(VLOOKUP($A13,06C_OPEX_CUSTOM!$A:$O,2+MATCH(F$3,06C_OPEX_CUSTOM!$C$3:$N$3,0),FALSE),0),0))))*IFERROR(IF(VLOOKUP($A13,06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G13" s="52">
        <f>(IF($C13="Mensual",IF(AND(G$3&gt;=VLOOKUP($A13,06_OPEX!$A:$L,8,FALSE),G$3&lt;=VLOOKUP($A13,06_OPEX!$A:$L,9,FALSE)),-VLOOKUP($A13,06_OPEX!$A:$L,6,FALSE),0),IF($C13="Unico",IF(G$3=VLOOKUP($A13,06_OPEX!$A:$L,10,FALSE),-VLOOKUP($A13,06_OPEX!$A:$L,6,FALSE),0),IF($C13="Custom",-IFERROR(VLOOKUP($A13,06C_OPEX_CUSTOM!$A:$O,2+MATCH(G$3,06C_OPEX_CUSTOM!$C$3:$N$3,0),FALSE),0),0))))*IFERROR(IF(VLOOKUP($A13,06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H13" s="52">
        <f>(IF($C13="Mensual",IF(AND(H$3&gt;=VLOOKUP($A13,06_OPEX!$A:$L,8,FALSE),H$3&lt;=VLOOKUP($A13,06_OPEX!$A:$L,9,FALSE)),-VLOOKUP($A13,06_OPEX!$A:$L,6,FALSE),0),IF($C13="Unico",IF(H$3=VLOOKUP($A13,06_OPEX!$A:$L,10,FALSE),-VLOOKUP($A13,06_OPEX!$A:$L,6,FALSE),0),IF($C13="Custom",-IFERROR(VLOOKUP($A13,06C_OPEX_CUSTOM!$A:$O,2+MATCH(H$3,06C_OPEX_CUSTOM!$C$3:$N$3,0),FALSE),0),0))))*IFERROR(IF(VLOOKUP($A13,06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I13" s="52">
        <f>(IF($C13="Mensual",IF(AND(I$3&gt;=VLOOKUP($A13,06_OPEX!$A:$L,8,FALSE),I$3&lt;=VLOOKUP($A13,06_OPEX!$A:$L,9,FALSE)),-VLOOKUP($A13,06_OPEX!$A:$L,6,FALSE),0),IF($C13="Unico",IF(I$3=VLOOKUP($A13,06_OPEX!$A:$L,10,FALSE),-VLOOKUP($A13,06_OPEX!$A:$L,6,FALSE),0),IF($C13="Custom",-IFERROR(VLOOKUP($A13,06C_OPEX_CUSTOM!$A:$O,2+MATCH(I$3,06C_OPEX_CUSTOM!$C$3:$N$3,0),FALSE),0),0))))*IFERROR(IF(VLOOKUP($A13,06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J13" s="52">
        <f>(IF($C13="Mensual",IF(AND(J$3&gt;=VLOOKUP($A13,06_OPEX!$A:$L,8,FALSE),J$3&lt;=VLOOKUP($A13,06_OPEX!$A:$L,9,FALSE)),-VLOOKUP($A13,06_OPEX!$A:$L,6,FALSE),0),IF($C13="Unico",IF(J$3=VLOOKUP($A13,06_OPEX!$A:$L,10,FALSE),-VLOOKUP($A13,06_OPEX!$A:$L,6,FALSE),0),IF($C13="Custom",-IFERROR(VLOOKUP($A13,06C_OPEX_CUSTOM!$A:$O,2+MATCH(J$3,06C_OPEX_CUSTOM!$C$3:$N$3,0),FALSE),0),0))))*IFERROR(IF(VLOOKUP($A13,06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K13" s="52">
        <f>(IF($C13="Mensual",IF(AND(K$3&gt;=VLOOKUP($A13,06_OPEX!$A:$L,8,FALSE),K$3&lt;=VLOOKUP($A13,06_OPEX!$A:$L,9,FALSE)),-VLOOKUP($A13,06_OPEX!$A:$L,6,FALSE),0),IF($C13="Unico",IF(K$3=VLOOKUP($A13,06_OPEX!$A:$L,10,FALSE),-VLOOKUP($A13,06_OPEX!$A:$L,6,FALSE),0),IF($C13="Custom",-IFERROR(VLOOKUP($A13,06C_OPEX_CUSTOM!$A:$O,2+MATCH(K$3,06C_OPEX_CUSTOM!$C$3:$N$3,0),FALSE),0),0))))*IFERROR(IF(VLOOKUP($A13,06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L13" s="52">
        <f>(IF($C13="Mensual",IF(AND(L$3&gt;=VLOOKUP($A13,06_OPEX!$A:$L,8,FALSE),L$3&lt;=VLOOKUP($A13,06_OPEX!$A:$L,9,FALSE)),-VLOOKUP($A13,06_OPEX!$A:$L,6,FALSE),0),IF($C13="Unico",IF(L$3=VLOOKUP($A13,06_OPEX!$A:$L,10,FALSE),-VLOOKUP($A13,06_OPEX!$A:$L,6,FALSE),0),IF($C13="Custom",-IFERROR(VLOOKUP($A13,06C_OPEX_CUSTOM!$A:$O,2+MATCH(L$3,06C_OPEX_CUSTOM!$C$3:$N$3,0),FALSE),0),0))))*IFERROR(IF(VLOOKUP($A13,06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M13" s="52">
        <f>(IF($C13="Mensual",IF(AND(M$3&gt;=VLOOKUP($A13,06_OPEX!$A:$L,8,FALSE),M$3&lt;=VLOOKUP($A13,06_OPEX!$A:$L,9,FALSE)),-VLOOKUP($A13,06_OPEX!$A:$L,6,FALSE),0),IF($C13="Unico",IF(M$3=VLOOKUP($A13,06_OPEX!$A:$L,10,FALSE),-VLOOKUP($A13,06_OPEX!$A:$L,6,FALSE),0),IF($C13="Custom",-IFERROR(VLOOKUP($A13,06C_OPEX_CUSTOM!$A:$O,2+MATCH(M$3,06C_OPEX_CUSTOM!$C$3:$N$3,0),FALSE),0),0))))*IFERROR(IF(VLOOKUP($A13,06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N13" s="52">
        <f>(IF($C13="Mensual",IF(AND(N$3&gt;=VLOOKUP($A13,06_OPEX!$A:$L,8,FALSE),N$3&lt;=VLOOKUP($A13,06_OPEX!$A:$L,9,FALSE)),-VLOOKUP($A13,06_OPEX!$A:$L,6,FALSE),0),IF($C13="Unico",IF(N$3=VLOOKUP($A13,06_OPEX!$A:$L,10,FALSE),-VLOOKUP($A13,06_OPEX!$A:$L,6,FALSE),0),IF($C13="Custom",-IFERROR(VLOOKUP($A13,06C_OPEX_CUSTOM!$A:$O,2+MATCH(N$3,06C_OPEX_CUSTOM!$C$3:$N$3,0),FALSE),0),0))))*IFERROR(IF(VLOOKUP($A13,06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O13" s="52">
        <f>(IF($C13="Mensual",IF(AND(O$3&gt;=VLOOKUP($A13,06_OPEX!$A:$L,8,FALSE),O$3&lt;=VLOOKUP($A13,06_OPEX!$A:$L,9,FALSE)),-VLOOKUP($A13,06_OPEX!$A:$L,6,FALSE),0),IF($C13="Unico",IF(O$3=VLOOKUP($A13,06_OPEX!$A:$L,10,FALSE),-VLOOKUP($A13,06_OPEX!$A:$L,6,FALSE),0),IF($C13="Custom",-IFERROR(VLOOKUP($A13,06C_OPEX_CUSTOM!$A:$O,2+MATCH(O$3,06C_OPEX_CUSTOM!$C$3:$N$3,0),FALSE),0),0))))*IFERROR(IF(VLOOKUP($A13,06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P13" s="52">
        <f>(IF($C13="Mensual",IF(AND(P$3&gt;=VLOOKUP($A13,06_OPEX!$A:$L,8,FALSE),P$3&lt;=VLOOKUP($A13,06_OPEX!$A:$L,9,FALSE)),-VLOOKUP($A13,06_OPEX!$A:$L,6,FALSE),0),IF($C13="Unico",IF(P$3=VLOOKUP($A13,06_OPEX!$A:$L,10,FALSE),-VLOOKUP($A13,06_OPEX!$A:$L,6,FALSE),0),IF($C13="Custom",-IFERROR(VLOOKUP($A13,06C_OPEX_CUSTOM!$A:$O,2+MATCH(P$3,06C_OPEX_CUSTOM!$C$3:$N$3,0),FALSE),0),0))))*IFERROR(IF(VLOOKUP($A13,06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Q13" s="56">
        <f>SUM(E13:P13)</f>
        <v/>
      </c>
    </row>
    <row r="14">
      <c r="A14" s="36" t="inlineStr">
        <is>
          <t>OPEX-011</t>
        </is>
      </c>
      <c r="B14" s="36">
        <f>IFERROR(VLOOKUP($A14,06_OPEX!$A:$L,2,FALSE),"")</f>
        <v/>
      </c>
      <c r="C14" s="37">
        <f>IFERROR(VLOOKUP($A14,06_OPEX!$A:$L,4,FALSE),"")</f>
        <v/>
      </c>
      <c r="D14" s="37">
        <f>IFERROR(VLOOKUP($A14,06_OPEX!$A:$L,7,FALSE),"")</f>
        <v/>
      </c>
      <c r="E14" s="52">
        <f>(IF($C14="Mensual",IF(AND(E$3&gt;=VLOOKUP($A14,06_OPEX!$A:$L,8,FALSE),E$3&lt;=VLOOKUP($A14,06_OPEX!$A:$L,9,FALSE)),-VLOOKUP($A14,06_OPEX!$A:$L,6,FALSE),0),IF($C14="Unico",IF(E$3=VLOOKUP($A14,06_OPEX!$A:$L,10,FALSE),-VLOOKUP($A14,06_OPEX!$A:$L,6,FALSE),0),IF($C14="Custom",-IFERROR(VLOOKUP($A14,06C_OPEX_CUSTOM!$A:$O,2+MATCH(E$3,06C_OPEX_CUSTOM!$C$3:$N$3,0),FALSE),0),0))))*IFERROR(IF(VLOOKUP($A14,06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F14" s="52">
        <f>(IF($C14="Mensual",IF(AND(F$3&gt;=VLOOKUP($A14,06_OPEX!$A:$L,8,FALSE),F$3&lt;=VLOOKUP($A14,06_OPEX!$A:$L,9,FALSE)),-VLOOKUP($A14,06_OPEX!$A:$L,6,FALSE),0),IF($C14="Unico",IF(F$3=VLOOKUP($A14,06_OPEX!$A:$L,10,FALSE),-VLOOKUP($A14,06_OPEX!$A:$L,6,FALSE),0),IF($C14="Custom",-IFERROR(VLOOKUP($A14,06C_OPEX_CUSTOM!$A:$O,2+MATCH(F$3,06C_OPEX_CUSTOM!$C$3:$N$3,0),FALSE),0),0))))*IFERROR(IF(VLOOKUP($A14,06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G14" s="52">
        <f>(IF($C14="Mensual",IF(AND(G$3&gt;=VLOOKUP($A14,06_OPEX!$A:$L,8,FALSE),G$3&lt;=VLOOKUP($A14,06_OPEX!$A:$L,9,FALSE)),-VLOOKUP($A14,06_OPEX!$A:$L,6,FALSE),0),IF($C14="Unico",IF(G$3=VLOOKUP($A14,06_OPEX!$A:$L,10,FALSE),-VLOOKUP($A14,06_OPEX!$A:$L,6,FALSE),0),IF($C14="Custom",-IFERROR(VLOOKUP($A14,06C_OPEX_CUSTOM!$A:$O,2+MATCH(G$3,06C_OPEX_CUSTOM!$C$3:$N$3,0),FALSE),0),0))))*IFERROR(IF(VLOOKUP($A14,06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H14" s="52">
        <f>(IF($C14="Mensual",IF(AND(H$3&gt;=VLOOKUP($A14,06_OPEX!$A:$L,8,FALSE),H$3&lt;=VLOOKUP($A14,06_OPEX!$A:$L,9,FALSE)),-VLOOKUP($A14,06_OPEX!$A:$L,6,FALSE),0),IF($C14="Unico",IF(H$3=VLOOKUP($A14,06_OPEX!$A:$L,10,FALSE),-VLOOKUP($A14,06_OPEX!$A:$L,6,FALSE),0),IF($C14="Custom",-IFERROR(VLOOKUP($A14,06C_OPEX_CUSTOM!$A:$O,2+MATCH(H$3,06C_OPEX_CUSTOM!$C$3:$N$3,0),FALSE),0),0))))*IFERROR(IF(VLOOKUP($A14,06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I14" s="52">
        <f>(IF($C14="Mensual",IF(AND(I$3&gt;=VLOOKUP($A14,06_OPEX!$A:$L,8,FALSE),I$3&lt;=VLOOKUP($A14,06_OPEX!$A:$L,9,FALSE)),-VLOOKUP($A14,06_OPEX!$A:$L,6,FALSE),0),IF($C14="Unico",IF(I$3=VLOOKUP($A14,06_OPEX!$A:$L,10,FALSE),-VLOOKUP($A14,06_OPEX!$A:$L,6,FALSE),0),IF($C14="Custom",-IFERROR(VLOOKUP($A14,06C_OPEX_CUSTOM!$A:$O,2+MATCH(I$3,06C_OPEX_CUSTOM!$C$3:$N$3,0),FALSE),0),0))))*IFERROR(IF(VLOOKUP($A14,06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J14" s="52">
        <f>(IF($C14="Mensual",IF(AND(J$3&gt;=VLOOKUP($A14,06_OPEX!$A:$L,8,FALSE),J$3&lt;=VLOOKUP($A14,06_OPEX!$A:$L,9,FALSE)),-VLOOKUP($A14,06_OPEX!$A:$L,6,FALSE),0),IF($C14="Unico",IF(J$3=VLOOKUP($A14,06_OPEX!$A:$L,10,FALSE),-VLOOKUP($A14,06_OPEX!$A:$L,6,FALSE),0),IF($C14="Custom",-IFERROR(VLOOKUP($A14,06C_OPEX_CUSTOM!$A:$O,2+MATCH(J$3,06C_OPEX_CUSTOM!$C$3:$N$3,0),FALSE),0),0))))*IFERROR(IF(VLOOKUP($A14,06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K14" s="52">
        <f>(IF($C14="Mensual",IF(AND(K$3&gt;=VLOOKUP($A14,06_OPEX!$A:$L,8,FALSE),K$3&lt;=VLOOKUP($A14,06_OPEX!$A:$L,9,FALSE)),-VLOOKUP($A14,06_OPEX!$A:$L,6,FALSE),0),IF($C14="Unico",IF(K$3=VLOOKUP($A14,06_OPEX!$A:$L,10,FALSE),-VLOOKUP($A14,06_OPEX!$A:$L,6,FALSE),0),IF($C14="Custom",-IFERROR(VLOOKUP($A14,06C_OPEX_CUSTOM!$A:$O,2+MATCH(K$3,06C_OPEX_CUSTOM!$C$3:$N$3,0),FALSE),0),0))))*IFERROR(IF(VLOOKUP($A14,06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L14" s="52">
        <f>(IF($C14="Mensual",IF(AND(L$3&gt;=VLOOKUP($A14,06_OPEX!$A:$L,8,FALSE),L$3&lt;=VLOOKUP($A14,06_OPEX!$A:$L,9,FALSE)),-VLOOKUP($A14,06_OPEX!$A:$L,6,FALSE),0),IF($C14="Unico",IF(L$3=VLOOKUP($A14,06_OPEX!$A:$L,10,FALSE),-VLOOKUP($A14,06_OPEX!$A:$L,6,FALSE),0),IF($C14="Custom",-IFERROR(VLOOKUP($A14,06C_OPEX_CUSTOM!$A:$O,2+MATCH(L$3,06C_OPEX_CUSTOM!$C$3:$N$3,0),FALSE),0),0))))*IFERROR(IF(VLOOKUP($A14,06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M14" s="52">
        <f>(IF($C14="Mensual",IF(AND(M$3&gt;=VLOOKUP($A14,06_OPEX!$A:$L,8,FALSE),M$3&lt;=VLOOKUP($A14,06_OPEX!$A:$L,9,FALSE)),-VLOOKUP($A14,06_OPEX!$A:$L,6,FALSE),0),IF($C14="Unico",IF(M$3=VLOOKUP($A14,06_OPEX!$A:$L,10,FALSE),-VLOOKUP($A14,06_OPEX!$A:$L,6,FALSE),0),IF($C14="Custom",-IFERROR(VLOOKUP($A14,06C_OPEX_CUSTOM!$A:$O,2+MATCH(M$3,06C_OPEX_CUSTOM!$C$3:$N$3,0),FALSE),0),0))))*IFERROR(IF(VLOOKUP($A14,06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N14" s="52">
        <f>(IF($C14="Mensual",IF(AND(N$3&gt;=VLOOKUP($A14,06_OPEX!$A:$L,8,FALSE),N$3&lt;=VLOOKUP($A14,06_OPEX!$A:$L,9,FALSE)),-VLOOKUP($A14,06_OPEX!$A:$L,6,FALSE),0),IF($C14="Unico",IF(N$3=VLOOKUP($A14,06_OPEX!$A:$L,10,FALSE),-VLOOKUP($A14,06_OPEX!$A:$L,6,FALSE),0),IF($C14="Custom",-IFERROR(VLOOKUP($A14,06C_OPEX_CUSTOM!$A:$O,2+MATCH(N$3,06C_OPEX_CUSTOM!$C$3:$N$3,0),FALSE),0),0))))*IFERROR(IF(VLOOKUP($A14,06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O14" s="52">
        <f>(IF($C14="Mensual",IF(AND(O$3&gt;=VLOOKUP($A14,06_OPEX!$A:$L,8,FALSE),O$3&lt;=VLOOKUP($A14,06_OPEX!$A:$L,9,FALSE)),-VLOOKUP($A14,06_OPEX!$A:$L,6,FALSE),0),IF($C14="Unico",IF(O$3=VLOOKUP($A14,06_OPEX!$A:$L,10,FALSE),-VLOOKUP($A14,06_OPEX!$A:$L,6,FALSE),0),IF($C14="Custom",-IFERROR(VLOOKUP($A14,06C_OPEX_CUSTOM!$A:$O,2+MATCH(O$3,06C_OPEX_CUSTOM!$C$3:$N$3,0),FALSE),0),0))))*IFERROR(IF(VLOOKUP($A14,06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P14" s="52">
        <f>(IF($C14="Mensual",IF(AND(P$3&gt;=VLOOKUP($A14,06_OPEX!$A:$L,8,FALSE),P$3&lt;=VLOOKUP($A14,06_OPEX!$A:$L,9,FALSE)),-VLOOKUP($A14,06_OPEX!$A:$L,6,FALSE),0),IF($C14="Unico",IF(P$3=VLOOKUP($A14,06_OPEX!$A:$L,10,FALSE),-VLOOKUP($A14,06_OPEX!$A:$L,6,FALSE),0),IF($C14="Custom",-IFERROR(VLOOKUP($A14,06C_OPEX_CUSTOM!$A:$O,2+MATCH(P$3,06C_OPEX_CUSTOM!$C$3:$N$3,0),FALSE),0),0))))*IFERROR(IF(VLOOKUP($A14,06_OPEX!$A:$L,5,FALSE)="Variable",(INDEX(02B_ESCENARIOS!$B$4:$D$11, MATCH("(INDEX(02B_ESCENARIOS!$B$4:$D$11, MATCH("MULT_OPEX_VARIABLE", 02B_ESCENARIOS!$A$4:$A$11, 0), MATCH("Conservador", 02B_ESCENARIOS!$B$3:$D$3, 0)))", 02B_ESCENARIOS!$A$4:$A$11, 0), MATCH("Conservador", 02B_ESCENARIOS!$B$3:$D$3, 0))),(INDEX(02B_ESCENARIOS!$B$4:$D$11, MATCH("(INDEX(02B_ESCENARIOS!$B$4:$D$11, MATCH("MULT_OPEX_FIJO", 02B_ESCENARIOS!$A$4:$A$11, 0), MATCH("Conservador", 02B_ESCENARIOS!$B$3:$D$3, 0)))", 02B_ESCENARIOS!$A$4:$A$11, 0), MATCH("Conservador", 02B_ESCENARIOS!$B$3:$D$3, 0)))),1)</f>
        <v/>
      </c>
      <c r="Q14" s="56">
        <f>SUM(E14:P14)</f>
        <v/>
      </c>
    </row>
    <row r="16">
      <c r="A16" s="34" t="inlineStr">
        <is>
          <t>TOTAL_OPEX</t>
        </is>
      </c>
      <c r="E16" s="57">
        <f>SUM(E4:E15)</f>
        <v/>
      </c>
      <c r="F16" s="57">
        <f>SUM(F4:F15)</f>
        <v/>
      </c>
      <c r="G16" s="57">
        <f>SUM(G4:G15)</f>
        <v/>
      </c>
      <c r="H16" s="57">
        <f>SUM(H4:H15)</f>
        <v/>
      </c>
      <c r="I16" s="57">
        <f>SUM(I4:I15)</f>
        <v/>
      </c>
      <c r="J16" s="57">
        <f>SUM(J4:J15)</f>
        <v/>
      </c>
      <c r="K16" s="57">
        <f>SUM(K4:K15)</f>
        <v/>
      </c>
      <c r="L16" s="57">
        <f>SUM(L4:L15)</f>
        <v/>
      </c>
      <c r="M16" s="57">
        <f>SUM(M4:M15)</f>
        <v/>
      </c>
      <c r="N16" s="57">
        <f>SUM(N4:N15)</f>
        <v/>
      </c>
      <c r="O16" s="57">
        <f>SUM(O4:O15)</f>
        <v/>
      </c>
      <c r="P16" s="57">
        <f>SUM(P4:P15)</f>
        <v/>
      </c>
      <c r="Q16" s="57">
        <f>SUM(Q4:Q15)</f>
        <v/>
      </c>
    </row>
  </sheetData>
  <mergeCells count="2">
    <mergeCell ref="A1:Q1"/>
    <mergeCell ref="A16:D16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</cols>
  <sheetData>
    <row r="1">
      <c r="A1" s="7" t="inlineStr">
        <is>
          <t>FACTURACIÓN (Devengo) — Neto vs IVA vs Bruto (Calculado)</t>
        </is>
      </c>
    </row>
    <row r="3">
      <c r="A3" s="8" t="inlineStr">
        <is>
          <t>Concepto</t>
        </is>
      </c>
      <c r="B3" s="31" t="n">
        <v>46053</v>
      </c>
      <c r="C3" s="31" t="n">
        <v>46081</v>
      </c>
      <c r="D3" s="31" t="n">
        <v>46112</v>
      </c>
      <c r="E3" s="31" t="n">
        <v>46142</v>
      </c>
      <c r="F3" s="31" t="n">
        <v>46173</v>
      </c>
      <c r="G3" s="31" t="n">
        <v>46203</v>
      </c>
      <c r="H3" s="31" t="n">
        <v>46234</v>
      </c>
      <c r="I3" s="31" t="n">
        <v>46265</v>
      </c>
      <c r="J3" s="31" t="n">
        <v>46295</v>
      </c>
      <c r="K3" s="31" t="n">
        <v>46326</v>
      </c>
      <c r="L3" s="31" t="n">
        <v>46356</v>
      </c>
      <c r="M3" s="31" t="n">
        <v>46387</v>
      </c>
      <c r="N3" s="8" t="inlineStr">
        <is>
          <t>Total_Año</t>
        </is>
      </c>
    </row>
    <row r="4">
      <c r="A4" s="38" t="inlineStr">
        <is>
          <t>Ventas_netas_sin_IVA</t>
        </is>
      </c>
      <c r="B4" s="52">
        <f>SUMIFS(04B_HITOS_CONS!$E$4:$E$500,04B_HITOS_CONS!$C$4:$C$500,B$3)</f>
        <v/>
      </c>
      <c r="C4" s="52">
        <f>SUMIFS(04B_HITOS_CONS!$E$4:$E$500,04B_HITOS_CONS!$C$4:$C$500,C$3)</f>
        <v/>
      </c>
      <c r="D4" s="52">
        <f>SUMIFS(04B_HITOS_CONS!$E$4:$E$500,04B_HITOS_CONS!$C$4:$C$500,D$3)</f>
        <v/>
      </c>
      <c r="E4" s="52">
        <f>SUMIFS(04B_HITOS_CONS!$E$4:$E$500,04B_HITOS_CONS!$C$4:$C$500,E$3)</f>
        <v/>
      </c>
      <c r="F4" s="52">
        <f>SUMIFS(04B_HITOS_CONS!$E$4:$E$500,04B_HITOS_CONS!$C$4:$C$500,F$3)</f>
        <v/>
      </c>
      <c r="G4" s="52">
        <f>SUMIFS(04B_HITOS_CONS!$E$4:$E$500,04B_HITOS_CONS!$C$4:$C$500,G$3)</f>
        <v/>
      </c>
      <c r="H4" s="52">
        <f>SUMIFS(04B_HITOS_CONS!$E$4:$E$500,04B_HITOS_CONS!$C$4:$C$500,H$3)</f>
        <v/>
      </c>
      <c r="I4" s="52">
        <f>SUMIFS(04B_HITOS_CONS!$E$4:$E$500,04B_HITOS_CONS!$C$4:$C$500,I$3)</f>
        <v/>
      </c>
      <c r="J4" s="52">
        <f>SUMIFS(04B_HITOS_CONS!$E$4:$E$500,04B_HITOS_CONS!$C$4:$C$500,J$3)</f>
        <v/>
      </c>
      <c r="K4" s="52">
        <f>SUMIFS(04B_HITOS_CONS!$E$4:$E$500,04B_HITOS_CONS!$C$4:$C$500,K$3)</f>
        <v/>
      </c>
      <c r="L4" s="52">
        <f>SUMIFS(04B_HITOS_CONS!$E$4:$E$500,04B_HITOS_CONS!$C$4:$C$500,L$3)</f>
        <v/>
      </c>
      <c r="M4" s="52">
        <f>SUMIFS(04B_HITOS_CONS!$E$4:$E$500,04B_HITOS_CONS!$C$4:$C$500,M$3)</f>
        <v/>
      </c>
      <c r="N4" s="52">
        <f>SUM(B4:M4)</f>
        <v/>
      </c>
    </row>
    <row r="5">
      <c r="A5" s="36" t="inlineStr">
        <is>
          <t>IVA_debito</t>
        </is>
      </c>
      <c r="B5" s="52">
        <f>SUMIFS(04B_HITOS_CONS!$F$4:$F$500,04B_HITOS_CONS!$C$4:$C$500,B$3)</f>
        <v/>
      </c>
      <c r="C5" s="52">
        <f>SUMIFS(04B_HITOS_CONS!$F$4:$F$500,04B_HITOS_CONS!$C$4:$C$500,C$3)</f>
        <v/>
      </c>
      <c r="D5" s="52">
        <f>SUMIFS(04B_HITOS_CONS!$F$4:$F$500,04B_HITOS_CONS!$C$4:$C$500,D$3)</f>
        <v/>
      </c>
      <c r="E5" s="52">
        <f>SUMIFS(04B_HITOS_CONS!$F$4:$F$500,04B_HITOS_CONS!$C$4:$C$500,E$3)</f>
        <v/>
      </c>
      <c r="F5" s="52">
        <f>SUMIFS(04B_HITOS_CONS!$F$4:$F$500,04B_HITOS_CONS!$C$4:$C$500,F$3)</f>
        <v/>
      </c>
      <c r="G5" s="52">
        <f>SUMIFS(04B_HITOS_CONS!$F$4:$F$500,04B_HITOS_CONS!$C$4:$C$500,G$3)</f>
        <v/>
      </c>
      <c r="H5" s="52">
        <f>SUMIFS(04B_HITOS_CONS!$F$4:$F$500,04B_HITOS_CONS!$C$4:$C$500,H$3)</f>
        <v/>
      </c>
      <c r="I5" s="52">
        <f>SUMIFS(04B_HITOS_CONS!$F$4:$F$500,04B_HITOS_CONS!$C$4:$C$500,I$3)</f>
        <v/>
      </c>
      <c r="J5" s="52">
        <f>SUMIFS(04B_HITOS_CONS!$F$4:$F$500,04B_HITOS_CONS!$C$4:$C$500,J$3)</f>
        <v/>
      </c>
      <c r="K5" s="52">
        <f>SUMIFS(04B_HITOS_CONS!$F$4:$F$500,04B_HITOS_CONS!$C$4:$C$500,K$3)</f>
        <v/>
      </c>
      <c r="L5" s="52">
        <f>SUMIFS(04B_HITOS_CONS!$F$4:$F$500,04B_HITOS_CONS!$C$4:$C$500,L$3)</f>
        <v/>
      </c>
      <c r="M5" s="52">
        <f>SUMIFS(04B_HITOS_CONS!$F$4:$F$500,04B_HITOS_CONS!$C$4:$C$500,M$3)</f>
        <v/>
      </c>
      <c r="N5" s="52">
        <f>SUM(B5:M5)</f>
        <v/>
      </c>
    </row>
    <row r="6">
      <c r="A6" s="36" t="inlineStr">
        <is>
          <t>Ventas_brutas_con_IVA</t>
        </is>
      </c>
      <c r="B6" s="52">
        <f>SUMIFS(04B_HITOS_CONS!$G$4:$G$500,04B_HITOS_CONS!$C$4:$C$500,B$3)</f>
        <v/>
      </c>
      <c r="C6" s="52">
        <f>SUMIFS(04B_HITOS_CONS!$G$4:$G$500,04B_HITOS_CONS!$C$4:$C$500,C$3)</f>
        <v/>
      </c>
      <c r="D6" s="52">
        <f>SUMIFS(04B_HITOS_CONS!$G$4:$G$500,04B_HITOS_CONS!$C$4:$C$500,D$3)</f>
        <v/>
      </c>
      <c r="E6" s="52">
        <f>SUMIFS(04B_HITOS_CONS!$G$4:$G$500,04B_HITOS_CONS!$C$4:$C$500,E$3)</f>
        <v/>
      </c>
      <c r="F6" s="52">
        <f>SUMIFS(04B_HITOS_CONS!$G$4:$G$500,04B_HITOS_CONS!$C$4:$C$500,F$3)</f>
        <v/>
      </c>
      <c r="G6" s="52">
        <f>SUMIFS(04B_HITOS_CONS!$G$4:$G$500,04B_HITOS_CONS!$C$4:$C$500,G$3)</f>
        <v/>
      </c>
      <c r="H6" s="52">
        <f>SUMIFS(04B_HITOS_CONS!$G$4:$G$500,04B_HITOS_CONS!$C$4:$C$500,H$3)</f>
        <v/>
      </c>
      <c r="I6" s="52">
        <f>SUMIFS(04B_HITOS_CONS!$G$4:$G$500,04B_HITOS_CONS!$C$4:$C$500,I$3)</f>
        <v/>
      </c>
      <c r="J6" s="52">
        <f>SUMIFS(04B_HITOS_CONS!$G$4:$G$500,04B_HITOS_CONS!$C$4:$C$500,J$3)</f>
        <v/>
      </c>
      <c r="K6" s="52">
        <f>SUMIFS(04B_HITOS_CONS!$G$4:$G$500,04B_HITOS_CONS!$C$4:$C$500,K$3)</f>
        <v/>
      </c>
      <c r="L6" s="52">
        <f>SUMIFS(04B_HITOS_CONS!$G$4:$G$500,04B_HITOS_CONS!$C$4:$C$500,L$3)</f>
        <v/>
      </c>
      <c r="M6" s="52">
        <f>SUMIFS(04B_HITOS_CONS!$G$4:$G$500,04B_HITOS_CONS!$C$4:$C$500,M$3)</f>
        <v/>
      </c>
      <c r="N6" s="52">
        <f>SUM(B6:M6)</f>
        <v/>
      </c>
    </row>
  </sheetData>
  <mergeCells count="1">
    <mergeCell ref="A1:N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</cols>
  <sheetData>
    <row r="1">
      <c r="A1" s="7" t="inlineStr">
        <is>
          <t>COBRANZAS (Caja) — Cobros brutos por mes (Calculado)</t>
        </is>
      </c>
    </row>
    <row r="3">
      <c r="A3" s="8" t="inlineStr">
        <is>
          <t>Concepto</t>
        </is>
      </c>
      <c r="B3" s="31" t="n">
        <v>46053</v>
      </c>
      <c r="C3" s="31" t="n">
        <v>46081</v>
      </c>
      <c r="D3" s="31" t="n">
        <v>46112</v>
      </c>
      <c r="E3" s="31" t="n">
        <v>46142</v>
      </c>
      <c r="F3" s="31" t="n">
        <v>46173</v>
      </c>
      <c r="G3" s="31" t="n">
        <v>46203</v>
      </c>
      <c r="H3" s="31" t="n">
        <v>46234</v>
      </c>
      <c r="I3" s="31" t="n">
        <v>46265</v>
      </c>
      <c r="J3" s="31" t="n">
        <v>46295</v>
      </c>
      <c r="K3" s="31" t="n">
        <v>46326</v>
      </c>
      <c r="L3" s="31" t="n">
        <v>46356</v>
      </c>
      <c r="M3" s="31" t="n">
        <v>46387</v>
      </c>
      <c r="N3" s="8" t="inlineStr">
        <is>
          <t>Total_Año</t>
        </is>
      </c>
    </row>
    <row r="4">
      <c r="A4" s="38" t="inlineStr">
        <is>
          <t>Cobros_brutos_con_IVA</t>
        </is>
      </c>
      <c r="B4" s="52">
        <f>SUMIFS(04B_HITOS_CONS!$K$4:$K$500,04B_HITOS_CONS!$J$4:$J$500,B$3)</f>
        <v/>
      </c>
      <c r="C4" s="52">
        <f>SUMIFS(04B_HITOS_CONS!$K$4:$K$500,04B_HITOS_CONS!$J$4:$J$500,C$3)</f>
        <v/>
      </c>
      <c r="D4" s="52">
        <f>SUMIFS(04B_HITOS_CONS!$K$4:$K$500,04B_HITOS_CONS!$J$4:$J$500,D$3)</f>
        <v/>
      </c>
      <c r="E4" s="52">
        <f>SUMIFS(04B_HITOS_CONS!$K$4:$K$500,04B_HITOS_CONS!$J$4:$J$500,E$3)</f>
        <v/>
      </c>
      <c r="F4" s="52">
        <f>SUMIFS(04B_HITOS_CONS!$K$4:$K$500,04B_HITOS_CONS!$J$4:$J$500,F$3)</f>
        <v/>
      </c>
      <c r="G4" s="52">
        <f>SUMIFS(04B_HITOS_CONS!$K$4:$K$500,04B_HITOS_CONS!$J$4:$J$500,G$3)</f>
        <v/>
      </c>
      <c r="H4" s="52">
        <f>SUMIFS(04B_HITOS_CONS!$K$4:$K$500,04B_HITOS_CONS!$J$4:$J$500,H$3)</f>
        <v/>
      </c>
      <c r="I4" s="52">
        <f>SUMIFS(04B_HITOS_CONS!$K$4:$K$500,04B_HITOS_CONS!$J$4:$J$500,I$3)</f>
        <v/>
      </c>
      <c r="J4" s="52">
        <f>SUMIFS(04B_HITOS_CONS!$K$4:$K$500,04B_HITOS_CONS!$J$4:$J$500,J$3)</f>
        <v/>
      </c>
      <c r="K4" s="52">
        <f>SUMIFS(04B_HITOS_CONS!$K$4:$K$500,04B_HITOS_CONS!$J$4:$J$500,K$3)</f>
        <v/>
      </c>
      <c r="L4" s="52">
        <f>SUMIFS(04B_HITOS_CONS!$K$4:$K$500,04B_HITOS_CONS!$J$4:$J$500,L$3)</f>
        <v/>
      </c>
      <c r="M4" s="52">
        <f>SUMIFS(04B_HITOS_CONS!$K$4:$K$500,04B_HITOS_CONS!$J$4:$J$500,M$3)</f>
        <v/>
      </c>
      <c r="N4" s="52">
        <f>SUM(B4:M4)</f>
        <v/>
      </c>
    </row>
  </sheetData>
  <mergeCells count="1">
    <mergeCell ref="A1:N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</cols>
  <sheetData>
    <row r="1">
      <c r="A1" s="7" t="inlineStr">
        <is>
          <t>IVA LEDGER (F29) — Débito/Crédito/Remanente/Pago (Calculado)</t>
        </is>
      </c>
    </row>
    <row r="3">
      <c r="A3" s="8" t="inlineStr">
        <is>
          <t>Concepto</t>
        </is>
      </c>
      <c r="B3" s="31" t="n">
        <v>46053</v>
      </c>
      <c r="C3" s="31" t="n">
        <v>46081</v>
      </c>
      <c r="D3" s="31" t="n">
        <v>46112</v>
      </c>
      <c r="E3" s="31" t="n">
        <v>46142</v>
      </c>
      <c r="F3" s="31" t="n">
        <v>46173</v>
      </c>
      <c r="G3" s="31" t="n">
        <v>46203</v>
      </c>
      <c r="H3" s="31" t="n">
        <v>46234</v>
      </c>
      <c r="I3" s="31" t="n">
        <v>46265</v>
      </c>
      <c r="J3" s="31" t="n">
        <v>46295</v>
      </c>
      <c r="K3" s="31" t="n">
        <v>46326</v>
      </c>
      <c r="L3" s="31" t="n">
        <v>46356</v>
      </c>
      <c r="M3" s="31" t="n">
        <v>46387</v>
      </c>
      <c r="N3" s="8" t="inlineStr">
        <is>
          <t>Total_Año</t>
        </is>
      </c>
    </row>
    <row r="4">
      <c r="A4" s="38" t="inlineStr">
        <is>
          <t>IVA_debito (ventas)</t>
        </is>
      </c>
      <c r="B4" s="52">
        <f>10_FACTURACION_NETO_CONS!B5</f>
        <v/>
      </c>
      <c r="C4" s="52">
        <f>10_FACTURACION_NETO_CONS!C5</f>
        <v/>
      </c>
      <c r="D4" s="52">
        <f>10_FACTURACION_NETO_CONS!D5</f>
        <v/>
      </c>
      <c r="E4" s="52">
        <f>10_FACTURACION_NETO_CONS!E5</f>
        <v/>
      </c>
      <c r="F4" s="52">
        <f>10_FACTURACION_NETO_CONS!F5</f>
        <v/>
      </c>
      <c r="G4" s="52">
        <f>10_FACTURACION_NETO_CONS!G5</f>
        <v/>
      </c>
      <c r="H4" s="52">
        <f>10_FACTURACION_NETO_CONS!H5</f>
        <v/>
      </c>
      <c r="I4" s="52">
        <f>10_FACTURACION_NETO_CONS!I5</f>
        <v/>
      </c>
      <c r="J4" s="52">
        <f>10_FACTURACION_NETO_CONS!J5</f>
        <v/>
      </c>
      <c r="K4" s="52">
        <f>10_FACTURACION_NETO_CONS!K5</f>
        <v/>
      </c>
      <c r="L4" s="52">
        <f>10_FACTURACION_NETO_CONS!L5</f>
        <v/>
      </c>
      <c r="M4" s="52">
        <f>10_FACTURACION_NETO_CONS!M5</f>
        <v/>
      </c>
      <c r="N4" s="52">
        <f>SUM(B4:M4)</f>
        <v/>
      </c>
    </row>
    <row r="5">
      <c r="A5" s="36" t="inlineStr">
        <is>
          <t>IVA_credito (compras)</t>
        </is>
      </c>
      <c r="B5" s="52">
        <f>-TASA_IVA*(SUMIFS(06B_OPEX_MENSUAL_CONS!B$4:B$200,06B_OPEX_MENSUAL_CONS!$D$4:$D$200,"SI")+06E_COSTOS_DIRECTOS_MENSUAL!B7*(INDEX(02B_ESCENARIOS!$B$4:$D$11, MATCH("MULT_COSTO_DIRECTO", 02B_ESCENARIOS!$A$4:$A$11, 0), MATCH("Conservador", 02B_ESCENARIOS!$B$3:$D$3, 0))))</f>
        <v/>
      </c>
      <c r="C5" s="52">
        <f>-TASA_IVA*(SUMIFS(06B_OPEX_MENSUAL_CONS!C$4:C$200,06B_OPEX_MENSUAL_CONS!$D$4:$D$200,"SI")+06E_COSTOS_DIRECTOS_MENSUAL!C7*(INDEX(02B_ESCENARIOS!$B$4:$D$11, MATCH("MULT_COSTO_DIRECTO", 02B_ESCENARIOS!$A$4:$A$11, 0), MATCH("Conservador", 02B_ESCENARIOS!$B$3:$D$3, 0))))</f>
        <v/>
      </c>
      <c r="D5" s="52">
        <f>-TASA_IVA*(SUMIFS(06B_OPEX_MENSUAL_CONS!D$4:D$200,06B_OPEX_MENSUAL_CONS!$D$4:$D$200,"SI")+06E_COSTOS_DIRECTOS_MENSUAL!D7*(INDEX(02B_ESCENARIOS!$B$4:$D$11, MATCH("MULT_COSTO_DIRECTO", 02B_ESCENARIOS!$A$4:$A$11, 0), MATCH("Conservador", 02B_ESCENARIOS!$B$3:$D$3, 0))))</f>
        <v/>
      </c>
      <c r="E5" s="52">
        <f>-TASA_IVA*(SUMIFS(06B_OPEX_MENSUAL_CONS!E$4:E$200,06B_OPEX_MENSUAL_CONS!$D$4:$D$200,"SI")+06E_COSTOS_DIRECTOS_MENSUAL!E7*(INDEX(02B_ESCENARIOS!$B$4:$D$11, MATCH("MULT_COSTO_DIRECTO", 02B_ESCENARIOS!$A$4:$A$11, 0), MATCH("Conservador", 02B_ESCENARIOS!$B$3:$D$3, 0))))</f>
        <v/>
      </c>
      <c r="F5" s="52">
        <f>-TASA_IVA*(SUMIFS(06B_OPEX_MENSUAL_CONS!F$4:F$200,06B_OPEX_MENSUAL_CONS!$D$4:$D$200,"SI")+06E_COSTOS_DIRECTOS_MENSUAL!F7*(INDEX(02B_ESCENARIOS!$B$4:$D$11, MATCH("MULT_COSTO_DIRECTO", 02B_ESCENARIOS!$A$4:$A$11, 0), MATCH("Conservador", 02B_ESCENARIOS!$B$3:$D$3, 0))))</f>
        <v/>
      </c>
      <c r="G5" s="52">
        <f>-TASA_IVA*(SUMIFS(06B_OPEX_MENSUAL_CONS!G$4:G$200,06B_OPEX_MENSUAL_CONS!$D$4:$D$200,"SI")+06E_COSTOS_DIRECTOS_MENSUAL!G7*(INDEX(02B_ESCENARIOS!$B$4:$D$11, MATCH("MULT_COSTO_DIRECTO", 02B_ESCENARIOS!$A$4:$A$11, 0), MATCH("Conservador", 02B_ESCENARIOS!$B$3:$D$3, 0))))</f>
        <v/>
      </c>
      <c r="H5" s="52">
        <f>-TASA_IVA*(SUMIFS(06B_OPEX_MENSUAL_CONS!H$4:H$200,06B_OPEX_MENSUAL_CONS!$D$4:$D$200,"SI")+06E_COSTOS_DIRECTOS_MENSUAL!H7*(INDEX(02B_ESCENARIOS!$B$4:$D$11, MATCH("MULT_COSTO_DIRECTO", 02B_ESCENARIOS!$A$4:$A$11, 0), MATCH("Conservador", 02B_ESCENARIOS!$B$3:$D$3, 0))))</f>
        <v/>
      </c>
      <c r="I5" s="52">
        <f>-TASA_IVA*(SUMIFS(06B_OPEX_MENSUAL_CONS!I$4:I$200,06B_OPEX_MENSUAL_CONS!$D$4:$D$200,"SI")+06E_COSTOS_DIRECTOS_MENSUAL!I7*(INDEX(02B_ESCENARIOS!$B$4:$D$11, MATCH("MULT_COSTO_DIRECTO", 02B_ESCENARIOS!$A$4:$A$11, 0), MATCH("Conservador", 02B_ESCENARIOS!$B$3:$D$3, 0))))</f>
        <v/>
      </c>
      <c r="J5" s="52">
        <f>-TASA_IVA*(SUMIFS(06B_OPEX_MENSUAL_CONS!J$4:J$200,06B_OPEX_MENSUAL_CONS!$D$4:$D$200,"SI")+06E_COSTOS_DIRECTOS_MENSUAL!J7*(INDEX(02B_ESCENARIOS!$B$4:$D$11, MATCH("MULT_COSTO_DIRECTO", 02B_ESCENARIOS!$A$4:$A$11, 0), MATCH("Conservador", 02B_ESCENARIOS!$B$3:$D$3, 0))))</f>
        <v/>
      </c>
      <c r="K5" s="52">
        <f>-TASA_IVA*(SUMIFS(06B_OPEX_MENSUAL_CONS!K$4:K$200,06B_OPEX_MENSUAL_CONS!$D$4:$D$200,"SI")+06E_COSTOS_DIRECTOS_MENSUAL!K7*(INDEX(02B_ESCENARIOS!$B$4:$D$11, MATCH("MULT_COSTO_DIRECTO", 02B_ESCENARIOS!$A$4:$A$11, 0), MATCH("Conservador", 02B_ESCENARIOS!$B$3:$D$3, 0))))</f>
        <v/>
      </c>
      <c r="L5" s="52">
        <f>-TASA_IVA*(SUMIFS(06B_OPEX_MENSUAL_CONS!L$4:L$200,06B_OPEX_MENSUAL_CONS!$D$4:$D$200,"SI")+06E_COSTOS_DIRECTOS_MENSUAL!L7*(INDEX(02B_ESCENARIOS!$B$4:$D$11, MATCH("MULT_COSTO_DIRECTO", 02B_ESCENARIOS!$A$4:$A$11, 0), MATCH("Conservador", 02B_ESCENARIOS!$B$3:$D$3, 0))))</f>
        <v/>
      </c>
      <c r="M5" s="52">
        <f>-TASA_IVA*(SUMIFS(06B_OPEX_MENSUAL_CONS!M$4:M$200,06B_OPEX_MENSUAL_CONS!$D$4:$D$200,"SI")+06E_COSTOS_DIRECTOS_MENSUAL!M7*(INDEX(02B_ESCENARIOS!$B$4:$D$11, MATCH("MULT_COSTO_DIRECTO", 02B_ESCENARIOS!$A$4:$A$11, 0), MATCH("Conservador", 02B_ESCENARIOS!$B$3:$D$3, 0))))</f>
        <v/>
      </c>
      <c r="N5" s="52">
        <f>SUM(B5:M5)</f>
        <v/>
      </c>
    </row>
    <row r="6">
      <c r="A6" s="36" t="inlineStr">
        <is>
          <t>Remanente_anterior</t>
        </is>
      </c>
      <c r="B6" s="52">
        <f>IVA_REMANENTE_INICIAL</f>
        <v/>
      </c>
      <c r="C6" s="52">
        <f>B9</f>
        <v/>
      </c>
      <c r="D6" s="52">
        <f>C9</f>
        <v/>
      </c>
      <c r="E6" s="52">
        <f>D9</f>
        <v/>
      </c>
      <c r="F6" s="52">
        <f>E9</f>
        <v/>
      </c>
      <c r="G6" s="52">
        <f>F9</f>
        <v/>
      </c>
      <c r="H6" s="52">
        <f>G9</f>
        <v/>
      </c>
      <c r="I6" s="52">
        <f>H9</f>
        <v/>
      </c>
      <c r="J6" s="52">
        <f>I9</f>
        <v/>
      </c>
      <c r="K6" s="52">
        <f>J9</f>
        <v/>
      </c>
      <c r="L6" s="52">
        <f>K9</f>
        <v/>
      </c>
      <c r="M6" s="52">
        <f>L9</f>
        <v/>
      </c>
      <c r="N6" s="52">
        <f>SUM(B6:M6)</f>
        <v/>
      </c>
    </row>
    <row r="7">
      <c r="A7" s="36" t="inlineStr">
        <is>
          <t>IVA_neto_mes</t>
        </is>
      </c>
      <c r="B7" s="52">
        <f>B4+B6-B5</f>
        <v/>
      </c>
      <c r="C7" s="52">
        <f>C4+C6-C5</f>
        <v/>
      </c>
      <c r="D7" s="52">
        <f>D4+D6-D5</f>
        <v/>
      </c>
      <c r="E7" s="52">
        <f>E4+E6-E5</f>
        <v/>
      </c>
      <c r="F7" s="52">
        <f>F4+F6-F5</f>
        <v/>
      </c>
      <c r="G7" s="52">
        <f>G4+G6-G5</f>
        <v/>
      </c>
      <c r="H7" s="52">
        <f>H4+H6-H5</f>
        <v/>
      </c>
      <c r="I7" s="52">
        <f>I4+I6-I5</f>
        <v/>
      </c>
      <c r="J7" s="52">
        <f>J4+J6-J5</f>
        <v/>
      </c>
      <c r="K7" s="52">
        <f>K4+K6-K5</f>
        <v/>
      </c>
      <c r="L7" s="52">
        <f>L4+L6-L5</f>
        <v/>
      </c>
      <c r="M7" s="52">
        <f>M4+M6-M5</f>
        <v/>
      </c>
      <c r="N7" s="52">
        <f>SUM(B7:M7)</f>
        <v/>
      </c>
    </row>
    <row r="8">
      <c r="A8" s="36" t="inlineStr">
        <is>
          <t>IVA_a_pagar (F29)</t>
        </is>
      </c>
      <c r="B8" s="52">
        <f>MAX(0,B7)</f>
        <v/>
      </c>
      <c r="C8" s="52">
        <f>MAX(0,C7)</f>
        <v/>
      </c>
      <c r="D8" s="52">
        <f>MAX(0,D7)</f>
        <v/>
      </c>
      <c r="E8" s="52">
        <f>MAX(0,E7)</f>
        <v/>
      </c>
      <c r="F8" s="52">
        <f>MAX(0,F7)</f>
        <v/>
      </c>
      <c r="G8" s="52">
        <f>MAX(0,G7)</f>
        <v/>
      </c>
      <c r="H8" s="52">
        <f>MAX(0,H7)</f>
        <v/>
      </c>
      <c r="I8" s="52">
        <f>MAX(0,I7)</f>
        <v/>
      </c>
      <c r="J8" s="52">
        <f>MAX(0,J7)</f>
        <v/>
      </c>
      <c r="K8" s="52">
        <f>MAX(0,K7)</f>
        <v/>
      </c>
      <c r="L8" s="52">
        <f>MAX(0,L7)</f>
        <v/>
      </c>
      <c r="M8" s="52">
        <f>MAX(0,M7)</f>
        <v/>
      </c>
      <c r="N8" s="52">
        <f>SUM(B8:M8)</f>
        <v/>
      </c>
    </row>
    <row r="9">
      <c r="A9" s="36" t="inlineStr">
        <is>
          <t>Remanente_siguiente</t>
        </is>
      </c>
      <c r="B9" s="52">
        <f>B7-B8</f>
        <v/>
      </c>
      <c r="C9" s="52">
        <f>C7-C8</f>
        <v/>
      </c>
      <c r="D9" s="52">
        <f>D7-D8</f>
        <v/>
      </c>
      <c r="E9" s="52">
        <f>E7-E8</f>
        <v/>
      </c>
      <c r="F9" s="52">
        <f>F7-F8</f>
        <v/>
      </c>
      <c r="G9" s="52">
        <f>G7-G8</f>
        <v/>
      </c>
      <c r="H9" s="52">
        <f>H7-H8</f>
        <v/>
      </c>
      <c r="I9" s="52">
        <f>I7-I8</f>
        <v/>
      </c>
      <c r="J9" s="52">
        <f>J7-J8</f>
        <v/>
      </c>
      <c r="K9" s="52">
        <f>K7-K8</f>
        <v/>
      </c>
      <c r="L9" s="52">
        <f>L7-L8</f>
        <v/>
      </c>
      <c r="M9" s="52">
        <f>M7-M8</f>
        <v/>
      </c>
      <c r="N9" s="52">
        <f>SUM(B9:M9)</f>
        <v/>
      </c>
    </row>
  </sheetData>
  <mergeCells count="1">
    <mergeCell ref="A1:N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</cols>
  <sheetData>
    <row r="1">
      <c r="A1" s="7" t="inlineStr">
        <is>
          <t>FLUJO DE CAJA 2026 (Calculado)</t>
        </is>
      </c>
    </row>
    <row r="3">
      <c r="A3" s="8" t="inlineStr">
        <is>
          <t>Concepto</t>
        </is>
      </c>
      <c r="B3" s="31" t="n">
        <v>46053</v>
      </c>
      <c r="C3" s="31" t="n">
        <v>46081</v>
      </c>
      <c r="D3" s="31" t="n">
        <v>46112</v>
      </c>
      <c r="E3" s="31" t="n">
        <v>46142</v>
      </c>
      <c r="F3" s="31" t="n">
        <v>46173</v>
      </c>
      <c r="G3" s="31" t="n">
        <v>46203</v>
      </c>
      <c r="H3" s="31" t="n">
        <v>46234</v>
      </c>
      <c r="I3" s="31" t="n">
        <v>46265</v>
      </c>
      <c r="J3" s="31" t="n">
        <v>46295</v>
      </c>
      <c r="K3" s="31" t="n">
        <v>46326</v>
      </c>
      <c r="L3" s="31" t="n">
        <v>46356</v>
      </c>
      <c r="M3" s="31" t="n">
        <v>46387</v>
      </c>
      <c r="N3" s="8" t="inlineStr">
        <is>
          <t>Total_Año</t>
        </is>
      </c>
    </row>
    <row r="4">
      <c r="A4" s="38" t="inlineStr">
        <is>
          <t>Saldo_inicial</t>
        </is>
      </c>
      <c r="B4" s="52">
        <f>SALDO_INICIAL_CAJA</f>
        <v/>
      </c>
      <c r="C4" s="52">
        <f>B13</f>
        <v/>
      </c>
      <c r="D4" s="52">
        <f>C13</f>
        <v/>
      </c>
      <c r="E4" s="52">
        <f>D13</f>
        <v/>
      </c>
      <c r="F4" s="52">
        <f>E13</f>
        <v/>
      </c>
      <c r="G4" s="52">
        <f>F13</f>
        <v/>
      </c>
      <c r="H4" s="52">
        <f>G13</f>
        <v/>
      </c>
      <c r="I4" s="52">
        <f>H13</f>
        <v/>
      </c>
      <c r="J4" s="52">
        <f>I13</f>
        <v/>
      </c>
      <c r="K4" s="52">
        <f>J13</f>
        <v/>
      </c>
      <c r="L4" s="52">
        <f>K13</f>
        <v/>
      </c>
      <c r="M4" s="52">
        <f>L13</f>
        <v/>
      </c>
      <c r="N4" s="52">
        <f>SUM(B4:M4)</f>
        <v/>
      </c>
    </row>
    <row r="5">
      <c r="A5" s="36" t="inlineStr">
        <is>
          <t>Cobros_del_mes (caja) [bruto con IVA]</t>
        </is>
      </c>
      <c r="B5" s="52">
        <f>12_COBRANZAS_CONS!B4</f>
        <v/>
      </c>
      <c r="C5" s="52">
        <f>12_COBRANZAS_CONS!C4</f>
        <v/>
      </c>
      <c r="D5" s="52">
        <f>12_COBRANZAS_CONS!D4</f>
        <v/>
      </c>
      <c r="E5" s="52">
        <f>12_COBRANZAS_CONS!E4</f>
        <v/>
      </c>
      <c r="F5" s="52">
        <f>12_COBRANZAS_CONS!F4</f>
        <v/>
      </c>
      <c r="G5" s="52">
        <f>12_COBRANZAS_CONS!G4</f>
        <v/>
      </c>
      <c r="H5" s="52">
        <f>12_COBRANZAS_CONS!H4</f>
        <v/>
      </c>
      <c r="I5" s="52">
        <f>12_COBRANZAS_CONS!I4</f>
        <v/>
      </c>
      <c r="J5" s="52">
        <f>12_COBRANZAS_CONS!J4</f>
        <v/>
      </c>
      <c r="K5" s="52">
        <f>12_COBRANZAS_CONS!K4</f>
        <v/>
      </c>
      <c r="L5" s="52">
        <f>12_COBRANZAS_CONS!L4</f>
        <v/>
      </c>
      <c r="M5" s="52">
        <f>12_COBRANZAS_CONS!M4</f>
        <v/>
      </c>
      <c r="N5" s="52">
        <f>SUM(B5:M5)</f>
        <v/>
      </c>
    </row>
    <row r="6">
      <c r="A6" s="36" t="inlineStr">
        <is>
          <t>Disponible operacional (Saldo inicial + cobros)</t>
        </is>
      </c>
      <c r="B6" s="52">
        <f>B4+B5</f>
        <v/>
      </c>
      <c r="C6" s="52">
        <f>C4+C5</f>
        <v/>
      </c>
      <c r="D6" s="52">
        <f>D4+D5</f>
        <v/>
      </c>
      <c r="E6" s="52">
        <f>E4+E5</f>
        <v/>
      </c>
      <c r="F6" s="52">
        <f>F4+F5</f>
        <v/>
      </c>
      <c r="G6" s="52">
        <f>G4+G5</f>
        <v/>
      </c>
      <c r="H6" s="52">
        <f>H4+H5</f>
        <v/>
      </c>
      <c r="I6" s="52">
        <f>I4+I5</f>
        <v/>
      </c>
      <c r="J6" s="52">
        <f>J4+J5</f>
        <v/>
      </c>
      <c r="K6" s="52">
        <f>K4+K5</f>
        <v/>
      </c>
      <c r="L6" s="52">
        <f>L4+L5</f>
        <v/>
      </c>
      <c r="M6" s="52">
        <f>M4+M5</f>
        <v/>
      </c>
      <c r="N6" s="52">
        <f>SUM(B6:M6)</f>
        <v/>
      </c>
    </row>
    <row r="7">
      <c r="A7" s="36" t="inlineStr">
        <is>
          <t>Pagos_costos_directos (gross)</t>
        </is>
      </c>
      <c r="B7" s="52">
        <f>(06E_COSTOS_DIRECTOS_MENSUAL!C7*(1+TASA_IVA))*(INDEX(02B_ESCENARIOS!$B$4:$D$11, MATCH("MULT_COSTO_DIRECTO", 02B_ESCENARIOS!$A$4:$A$11, 0), MATCH("Conservador", 02B_ESCENARIOS!$B$3:$D$3, 0)))</f>
        <v/>
      </c>
      <c r="C7" s="52">
        <f>(06E_COSTOS_DIRECTOS_MENSUAL!D7*(1+TASA_IVA))*(INDEX(02B_ESCENARIOS!$B$4:$D$11, MATCH("MULT_COSTO_DIRECTO", 02B_ESCENARIOS!$A$4:$A$11, 0), MATCH("Conservador", 02B_ESCENARIOS!$B$3:$D$3, 0)))</f>
        <v/>
      </c>
      <c r="D7" s="52">
        <f>(06E_COSTOS_DIRECTOS_MENSUAL!E7*(1+TASA_IVA))*(INDEX(02B_ESCENARIOS!$B$4:$D$11, MATCH("MULT_COSTO_DIRECTO", 02B_ESCENARIOS!$A$4:$A$11, 0), MATCH("Conservador", 02B_ESCENARIOS!$B$3:$D$3, 0)))</f>
        <v/>
      </c>
      <c r="E7" s="52">
        <f>(06E_COSTOS_DIRECTOS_MENSUAL!F7*(1+TASA_IVA))*(INDEX(02B_ESCENARIOS!$B$4:$D$11, MATCH("MULT_COSTO_DIRECTO", 02B_ESCENARIOS!$A$4:$A$11, 0), MATCH("Conservador", 02B_ESCENARIOS!$B$3:$D$3, 0)))</f>
        <v/>
      </c>
      <c r="F7" s="52">
        <f>(06E_COSTOS_DIRECTOS_MENSUAL!G7*(1+TASA_IVA))*(INDEX(02B_ESCENARIOS!$B$4:$D$11, MATCH("MULT_COSTO_DIRECTO", 02B_ESCENARIOS!$A$4:$A$11, 0), MATCH("Conservador", 02B_ESCENARIOS!$B$3:$D$3, 0)))</f>
        <v/>
      </c>
      <c r="G7" s="52">
        <f>(06E_COSTOS_DIRECTOS_MENSUAL!H7*(1+TASA_IVA))*(INDEX(02B_ESCENARIOS!$B$4:$D$11, MATCH("MULT_COSTO_DIRECTO", 02B_ESCENARIOS!$A$4:$A$11, 0), MATCH("Conservador", 02B_ESCENARIOS!$B$3:$D$3, 0)))</f>
        <v/>
      </c>
      <c r="H7" s="52">
        <f>(06E_COSTOS_DIRECTOS_MENSUAL!I7*(1+TASA_IVA))*(INDEX(02B_ESCENARIOS!$B$4:$D$11, MATCH("MULT_COSTO_DIRECTO", 02B_ESCENARIOS!$A$4:$A$11, 0), MATCH("Conservador", 02B_ESCENARIOS!$B$3:$D$3, 0)))</f>
        <v/>
      </c>
      <c r="I7" s="52">
        <f>(06E_COSTOS_DIRECTOS_MENSUAL!J7*(1+TASA_IVA))*(INDEX(02B_ESCENARIOS!$B$4:$D$11, MATCH("MULT_COSTO_DIRECTO", 02B_ESCENARIOS!$A$4:$A$11, 0), MATCH("Conservador", 02B_ESCENARIOS!$B$3:$D$3, 0)))</f>
        <v/>
      </c>
      <c r="J7" s="52">
        <f>(06E_COSTOS_DIRECTOS_MENSUAL!K7*(1+TASA_IVA))*(INDEX(02B_ESCENARIOS!$B$4:$D$11, MATCH("MULT_COSTO_DIRECTO", 02B_ESCENARIOS!$A$4:$A$11, 0), MATCH("Conservador", 02B_ESCENARIOS!$B$3:$D$3, 0)))</f>
        <v/>
      </c>
      <c r="K7" s="52">
        <f>(06E_COSTOS_DIRECTOS_MENSUAL!L7*(1+TASA_IVA))*(INDEX(02B_ESCENARIOS!$B$4:$D$11, MATCH("MULT_COSTO_DIRECTO", 02B_ESCENARIOS!$A$4:$A$11, 0), MATCH("Conservador", 02B_ESCENARIOS!$B$3:$D$3, 0)))</f>
        <v/>
      </c>
      <c r="L7" s="52">
        <f>(06E_COSTOS_DIRECTOS_MENSUAL!M7*(1+TASA_IVA))*(INDEX(02B_ESCENARIOS!$B$4:$D$11, MATCH("MULT_COSTO_DIRECTO", 02B_ESCENARIOS!$A$4:$A$11, 0), MATCH("Conservador", 02B_ESCENARIOS!$B$3:$D$3, 0)))</f>
        <v/>
      </c>
      <c r="M7" s="52">
        <f>(06E_COSTOS_DIRECTOS_MENSUAL!N7*(1+TASA_IVA))*(INDEX(02B_ESCENARIOS!$B$4:$D$11, MATCH("MULT_COSTO_DIRECTO", 02B_ESCENARIOS!$A$4:$A$11, 0), MATCH("Conservador", 02B_ESCENARIOS!$B$3:$D$3, 0)))</f>
        <v/>
      </c>
      <c r="N7" s="52">
        <f>SUM(B7:M7)</f>
        <v/>
      </c>
    </row>
    <row r="8">
      <c r="A8" s="36" t="inlineStr">
        <is>
          <t>Pagos_personas (sin IVA)</t>
        </is>
      </c>
      <c r="B8" s="52">
        <f>(05B_PERSONAS_MENSUAL!D12)*(INDEX(02B_ESCENARIOS!$B$4:$D$11, MATCH("MULT_PERSONAS", 02B_ESCENARIOS!$A$4:$A$11, 0), MATCH("Conservador", 02B_ESCENARIOS!$B$3:$D$3, 0)))</f>
        <v/>
      </c>
      <c r="C8" s="52">
        <f>(05B_PERSONAS_MENSUAL!E12)*(INDEX(02B_ESCENARIOS!$B$4:$D$11, MATCH("MULT_PERSONAS", 02B_ESCENARIOS!$A$4:$A$11, 0), MATCH("Conservador", 02B_ESCENARIOS!$B$3:$D$3, 0)))</f>
        <v/>
      </c>
      <c r="D8" s="52">
        <f>(05B_PERSONAS_MENSUAL!F12)*(INDEX(02B_ESCENARIOS!$B$4:$D$11, MATCH("MULT_PERSONAS", 02B_ESCENARIOS!$A$4:$A$11, 0), MATCH("Conservador", 02B_ESCENARIOS!$B$3:$D$3, 0)))</f>
        <v/>
      </c>
      <c r="E8" s="52">
        <f>(05B_PERSONAS_MENSUAL!G12)*(INDEX(02B_ESCENARIOS!$B$4:$D$11, MATCH("MULT_PERSONAS", 02B_ESCENARIOS!$A$4:$A$11, 0), MATCH("Conservador", 02B_ESCENARIOS!$B$3:$D$3, 0)))</f>
        <v/>
      </c>
      <c r="F8" s="52">
        <f>(05B_PERSONAS_MENSUAL!H12)*(INDEX(02B_ESCENARIOS!$B$4:$D$11, MATCH("MULT_PERSONAS", 02B_ESCENARIOS!$A$4:$A$11, 0), MATCH("Conservador", 02B_ESCENARIOS!$B$3:$D$3, 0)))</f>
        <v/>
      </c>
      <c r="G8" s="52">
        <f>(05B_PERSONAS_MENSUAL!I12)*(INDEX(02B_ESCENARIOS!$B$4:$D$11, MATCH("MULT_PERSONAS", 02B_ESCENARIOS!$A$4:$A$11, 0), MATCH("Conservador", 02B_ESCENARIOS!$B$3:$D$3, 0)))</f>
        <v/>
      </c>
      <c r="H8" s="52">
        <f>(05B_PERSONAS_MENSUAL!J12)*(INDEX(02B_ESCENARIOS!$B$4:$D$11, MATCH("MULT_PERSONAS", 02B_ESCENARIOS!$A$4:$A$11, 0), MATCH("Conservador", 02B_ESCENARIOS!$B$3:$D$3, 0)))</f>
        <v/>
      </c>
      <c r="I8" s="52">
        <f>(05B_PERSONAS_MENSUAL!K12)*(INDEX(02B_ESCENARIOS!$B$4:$D$11, MATCH("MULT_PERSONAS", 02B_ESCENARIOS!$A$4:$A$11, 0), MATCH("Conservador", 02B_ESCENARIOS!$B$3:$D$3, 0)))</f>
        <v/>
      </c>
      <c r="J8" s="52">
        <f>(05B_PERSONAS_MENSUAL!L12)*(INDEX(02B_ESCENARIOS!$B$4:$D$11, MATCH("MULT_PERSONAS", 02B_ESCENARIOS!$A$4:$A$11, 0), MATCH("Conservador", 02B_ESCENARIOS!$B$3:$D$3, 0)))</f>
        <v/>
      </c>
      <c r="K8" s="52">
        <f>(05B_PERSONAS_MENSUAL!M12)*(INDEX(02B_ESCENARIOS!$B$4:$D$11, MATCH("MULT_PERSONAS", 02B_ESCENARIOS!$A$4:$A$11, 0), MATCH("Conservador", 02B_ESCENARIOS!$B$3:$D$3, 0)))</f>
        <v/>
      </c>
      <c r="L8" s="52">
        <f>(05B_PERSONAS_MENSUAL!N12)*(INDEX(02B_ESCENARIOS!$B$4:$D$11, MATCH("MULT_PERSONAS", 02B_ESCENARIOS!$A$4:$A$11, 0), MATCH("Conservador", 02B_ESCENARIOS!$B$3:$D$3, 0)))</f>
        <v/>
      </c>
      <c r="M8" s="52">
        <f>(05B_PERSONAS_MENSUAL!O12)*(INDEX(02B_ESCENARIOS!$B$4:$D$11, MATCH("MULT_PERSONAS", 02B_ESCENARIOS!$A$4:$A$11, 0), MATCH("Conservador", 02B_ESCENARIOS!$B$3:$D$3, 0)))</f>
        <v/>
      </c>
      <c r="N8" s="52">
        <f>SUM(B8:M8)</f>
        <v/>
      </c>
    </row>
    <row r="9">
      <c r="A9" s="36" t="inlineStr">
        <is>
          <t>Pagos_OPEX (gross)</t>
        </is>
      </c>
      <c r="B9" s="52">
        <f>06B_OPEX_MENSUAL_CONS!E16+(SUMIFS(06B_OPEX_MENSUAL_CONS!E$4:E$200,06B_OPEX_MENSUAL_CONS!$D$4:$D$200,"SI"))*TASA_IVA</f>
        <v/>
      </c>
      <c r="C9" s="52">
        <f>06B_OPEX_MENSUAL_CONS!F16+(SUMIFS(06B_OPEX_MENSUAL_CONS!F$4:F$200,06B_OPEX_MENSUAL_CONS!$D$4:$D$200,"SI"))*TASA_IVA</f>
        <v/>
      </c>
      <c r="D9" s="52">
        <f>06B_OPEX_MENSUAL_CONS!G16+(SUMIFS(06B_OPEX_MENSUAL_CONS!G$4:G$200,06B_OPEX_MENSUAL_CONS!$D$4:$D$200,"SI"))*TASA_IVA</f>
        <v/>
      </c>
      <c r="E9" s="52">
        <f>06B_OPEX_MENSUAL_CONS!H16+(SUMIFS(06B_OPEX_MENSUAL_CONS!H$4:H$200,06B_OPEX_MENSUAL_CONS!$D$4:$D$200,"SI"))*TASA_IVA</f>
        <v/>
      </c>
      <c r="F9" s="52">
        <f>06B_OPEX_MENSUAL_CONS!I16+(SUMIFS(06B_OPEX_MENSUAL_CONS!I$4:I$200,06B_OPEX_MENSUAL_CONS!$D$4:$D$200,"SI"))*TASA_IVA</f>
        <v/>
      </c>
      <c r="G9" s="52">
        <f>06B_OPEX_MENSUAL_CONS!J16+(SUMIFS(06B_OPEX_MENSUAL_CONS!J$4:J$200,06B_OPEX_MENSUAL_CONS!$D$4:$D$200,"SI"))*TASA_IVA</f>
        <v/>
      </c>
      <c r="H9" s="52">
        <f>06B_OPEX_MENSUAL_CONS!K16+(SUMIFS(06B_OPEX_MENSUAL_CONS!K$4:K$200,06B_OPEX_MENSUAL_CONS!$D$4:$D$200,"SI"))*TASA_IVA</f>
        <v/>
      </c>
      <c r="I9" s="52">
        <f>06B_OPEX_MENSUAL_CONS!L16+(SUMIFS(06B_OPEX_MENSUAL_CONS!L$4:L$200,06B_OPEX_MENSUAL_CONS!$D$4:$D$200,"SI"))*TASA_IVA</f>
        <v/>
      </c>
      <c r="J9" s="52">
        <f>06B_OPEX_MENSUAL_CONS!M16+(SUMIFS(06B_OPEX_MENSUAL_CONS!M$4:M$200,06B_OPEX_MENSUAL_CONS!$D$4:$D$200,"SI"))*TASA_IVA</f>
        <v/>
      </c>
      <c r="K9" s="52">
        <f>06B_OPEX_MENSUAL_CONS!N16+(SUMIFS(06B_OPEX_MENSUAL_CONS!N$4:N$200,06B_OPEX_MENSUAL_CONS!$D$4:$D$200,"SI"))*TASA_IVA</f>
        <v/>
      </c>
      <c r="L9" s="52">
        <f>06B_OPEX_MENSUAL_CONS!O16+(SUMIFS(06B_OPEX_MENSUAL_CONS!O$4:O$200,06B_OPEX_MENSUAL_CONS!$D$4:$D$200,"SI"))*TASA_IVA</f>
        <v/>
      </c>
      <c r="M9" s="52">
        <f>06B_OPEX_MENSUAL_CONS!P16+(SUMIFS(06B_OPEX_MENSUAL_CONS!P$4:P$200,06B_OPEX_MENSUAL_CONS!$D$4:$D$200,"SI"))*TASA_IVA</f>
        <v/>
      </c>
      <c r="N9" s="52">
        <f>SUM(B9:M9)</f>
        <v/>
      </c>
    </row>
    <row r="10">
      <c r="A10" s="36" t="inlineStr">
        <is>
          <t>Pago_IVA_F29</t>
        </is>
      </c>
      <c r="B10" s="52">
        <f>-11_IVA_LEDGER_CONS!B8</f>
        <v/>
      </c>
      <c r="C10" s="52">
        <f>-11_IVA_LEDGER_CONS!C8</f>
        <v/>
      </c>
      <c r="D10" s="52">
        <f>-11_IVA_LEDGER_CONS!D8</f>
        <v/>
      </c>
      <c r="E10" s="52">
        <f>-11_IVA_LEDGER_CONS!E8</f>
        <v/>
      </c>
      <c r="F10" s="52">
        <f>-11_IVA_LEDGER_CONS!F8</f>
        <v/>
      </c>
      <c r="G10" s="52">
        <f>-11_IVA_LEDGER_CONS!G8</f>
        <v/>
      </c>
      <c r="H10" s="52">
        <f>-11_IVA_LEDGER_CONS!H8</f>
        <v/>
      </c>
      <c r="I10" s="52">
        <f>-11_IVA_LEDGER_CONS!I8</f>
        <v/>
      </c>
      <c r="J10" s="52">
        <f>-11_IVA_LEDGER_CONS!J8</f>
        <v/>
      </c>
      <c r="K10" s="52">
        <f>-11_IVA_LEDGER_CONS!K8</f>
        <v/>
      </c>
      <c r="L10" s="52">
        <f>-11_IVA_LEDGER_CONS!L8</f>
        <v/>
      </c>
      <c r="M10" s="52">
        <f>-11_IVA_LEDGER_CONS!M8</f>
        <v/>
      </c>
      <c r="N10" s="52">
        <f>SUM(B10:M10)</f>
        <v/>
      </c>
    </row>
    <row r="11">
      <c r="A11" s="36" t="inlineStr">
        <is>
          <t>Otros_no_operacionales (neto caja)</t>
        </is>
      </c>
      <c r="B11" s="52">
        <f>07B_NO_OPERACIONALES_MENSUAL!D18</f>
        <v/>
      </c>
      <c r="C11" s="52">
        <f>07B_NO_OPERACIONALES_MENSUAL!E18</f>
        <v/>
      </c>
      <c r="D11" s="52">
        <f>07B_NO_OPERACIONALES_MENSUAL!F18</f>
        <v/>
      </c>
      <c r="E11" s="52">
        <f>07B_NO_OPERACIONALES_MENSUAL!G18</f>
        <v/>
      </c>
      <c r="F11" s="52">
        <f>07B_NO_OPERACIONALES_MENSUAL!H18</f>
        <v/>
      </c>
      <c r="G11" s="52">
        <f>07B_NO_OPERACIONALES_MENSUAL!I18</f>
        <v/>
      </c>
      <c r="H11" s="52">
        <f>07B_NO_OPERACIONALES_MENSUAL!J18</f>
        <v/>
      </c>
      <c r="I11" s="52">
        <f>07B_NO_OPERACIONALES_MENSUAL!K18</f>
        <v/>
      </c>
      <c r="J11" s="52">
        <f>07B_NO_OPERACIONALES_MENSUAL!L18</f>
        <v/>
      </c>
      <c r="K11" s="52">
        <f>07B_NO_OPERACIONALES_MENSUAL!M18</f>
        <v/>
      </c>
      <c r="L11" s="52">
        <f>07B_NO_OPERACIONALES_MENSUAL!N18</f>
        <v/>
      </c>
      <c r="M11" s="52">
        <f>07B_NO_OPERACIONALES_MENSUAL!O18</f>
        <v/>
      </c>
      <c r="N11" s="52">
        <f>SUM(B11:M11)</f>
        <v/>
      </c>
    </row>
    <row r="12">
      <c r="A12" s="36" t="inlineStr">
        <is>
          <t>Variación_caja</t>
        </is>
      </c>
      <c r="B12" s="52">
        <f>B5+B7+B8+B9+B10+B11</f>
        <v/>
      </c>
      <c r="C12" s="52">
        <f>C5+C7+C8+C9+C10+C11</f>
        <v/>
      </c>
      <c r="D12" s="52">
        <f>D5+D7+D8+D9+D10+D11</f>
        <v/>
      </c>
      <c r="E12" s="52">
        <f>E5+E7+E8+E9+E10+E11</f>
        <v/>
      </c>
      <c r="F12" s="52">
        <f>F5+F7+F8+F9+F10+F11</f>
        <v/>
      </c>
      <c r="G12" s="52">
        <f>G5+G7+G8+G9+G10+G11</f>
        <v/>
      </c>
      <c r="H12" s="52">
        <f>H5+H7+H8+H9+H10+H11</f>
        <v/>
      </c>
      <c r="I12" s="52">
        <f>I5+I7+I8+I9+I10+I11</f>
        <v/>
      </c>
      <c r="J12" s="52">
        <f>J5+J7+J8+J9+J10+J11</f>
        <v/>
      </c>
      <c r="K12" s="52">
        <f>K5+K7+K8+K9+K10+K11</f>
        <v/>
      </c>
      <c r="L12" s="52">
        <f>L5+L7+L8+L9+L10+L11</f>
        <v/>
      </c>
      <c r="M12" s="52">
        <f>M5+M7+M8+M9+M10+M11</f>
        <v/>
      </c>
      <c r="N12" s="52">
        <f>SUM(B12:M12)</f>
        <v/>
      </c>
    </row>
    <row r="13">
      <c r="A13" s="38" t="inlineStr">
        <is>
          <t>Saldo_final</t>
        </is>
      </c>
      <c r="B13" s="57">
        <f>B4+B12</f>
        <v/>
      </c>
      <c r="C13" s="57">
        <f>C4+C12</f>
        <v/>
      </c>
      <c r="D13" s="57">
        <f>D4+D12</f>
        <v/>
      </c>
      <c r="E13" s="57">
        <f>E4+E12</f>
        <v/>
      </c>
      <c r="F13" s="57">
        <f>F4+F12</f>
        <v/>
      </c>
      <c r="G13" s="57">
        <f>G4+G12</f>
        <v/>
      </c>
      <c r="H13" s="57">
        <f>H4+H12</f>
        <v/>
      </c>
      <c r="I13" s="57">
        <f>I4+I12</f>
        <v/>
      </c>
      <c r="J13" s="57">
        <f>J4+J12</f>
        <v/>
      </c>
      <c r="K13" s="57">
        <f>K4+K12</f>
        <v/>
      </c>
      <c r="L13" s="57">
        <f>L4+L12</f>
        <v/>
      </c>
      <c r="M13" s="57">
        <f>M4+M12</f>
        <v/>
      </c>
      <c r="N13" s="57">
        <f>SUM(B13:M13)</f>
        <v/>
      </c>
    </row>
  </sheetData>
  <mergeCells count="1">
    <mergeCell ref="A1:N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</cols>
  <sheetData>
    <row r="1">
      <c r="A1" s="7" t="inlineStr">
        <is>
          <t>P&amp;L (Estado de Resultados) — Neto sin IVA (Calculado)</t>
        </is>
      </c>
    </row>
    <row r="3">
      <c r="A3" s="8" t="inlineStr">
        <is>
          <t>Concepto</t>
        </is>
      </c>
      <c r="B3" s="31" t="n">
        <v>46053</v>
      </c>
      <c r="C3" s="31" t="n">
        <v>46081</v>
      </c>
      <c r="D3" s="31" t="n">
        <v>46112</v>
      </c>
      <c r="E3" s="31" t="n">
        <v>46142</v>
      </c>
      <c r="F3" s="31" t="n">
        <v>46173</v>
      </c>
      <c r="G3" s="31" t="n">
        <v>46203</v>
      </c>
      <c r="H3" s="31" t="n">
        <v>46234</v>
      </c>
      <c r="I3" s="31" t="n">
        <v>46265</v>
      </c>
      <c r="J3" s="31" t="n">
        <v>46295</v>
      </c>
      <c r="K3" s="31" t="n">
        <v>46326</v>
      </c>
      <c r="L3" s="31" t="n">
        <v>46356</v>
      </c>
      <c r="M3" s="31" t="n">
        <v>46387</v>
      </c>
      <c r="N3" s="8" t="inlineStr">
        <is>
          <t>Total_Año</t>
        </is>
      </c>
    </row>
    <row r="4">
      <c r="A4" s="38" t="inlineStr">
        <is>
          <t>Ventas_netas_sin_IVA</t>
        </is>
      </c>
      <c r="B4" s="52">
        <f>10_FACTURACION_NETO_CONS!B4</f>
        <v/>
      </c>
      <c r="C4" s="52">
        <f>10_FACTURACION_NETO_CONS!C4</f>
        <v/>
      </c>
      <c r="D4" s="52">
        <f>10_FACTURACION_NETO_CONS!D4</f>
        <v/>
      </c>
      <c r="E4" s="52">
        <f>10_FACTURACION_NETO_CONS!E4</f>
        <v/>
      </c>
      <c r="F4" s="52">
        <f>10_FACTURACION_NETO_CONS!F4</f>
        <v/>
      </c>
      <c r="G4" s="52">
        <f>10_FACTURACION_NETO_CONS!G4</f>
        <v/>
      </c>
      <c r="H4" s="52">
        <f>10_FACTURACION_NETO_CONS!H4</f>
        <v/>
      </c>
      <c r="I4" s="52">
        <f>10_FACTURACION_NETO_CONS!I4</f>
        <v/>
      </c>
      <c r="J4" s="52">
        <f>10_FACTURACION_NETO_CONS!J4</f>
        <v/>
      </c>
      <c r="K4" s="52">
        <f>10_FACTURACION_NETO_CONS!K4</f>
        <v/>
      </c>
      <c r="L4" s="52">
        <f>10_FACTURACION_NETO_CONS!L4</f>
        <v/>
      </c>
      <c r="M4" s="52">
        <f>10_FACTURACION_NETO_CONS!M4</f>
        <v/>
      </c>
      <c r="N4" s="52">
        <f>SUM(B4:M4)</f>
        <v/>
      </c>
    </row>
    <row r="5">
      <c r="A5" s="36" t="inlineStr">
        <is>
          <t>Costos_directos_netos</t>
        </is>
      </c>
      <c r="B5" s="52">
        <f>06E_COSTOS_DIRECTOS_MENSUAL!C7*(INDEX(02B_ESCENARIOS!$B$4:$D$11, MATCH("MULT_COSTO_DIRECTO", 02B_ESCENARIOS!$A$4:$A$11, 0), MATCH("Conservador", 02B_ESCENARIOS!$B$3:$D$3, 0)))</f>
        <v/>
      </c>
      <c r="C5" s="52">
        <f>06E_COSTOS_DIRECTOS_MENSUAL!D7*(INDEX(02B_ESCENARIOS!$B$4:$D$11, MATCH("MULT_COSTO_DIRECTO", 02B_ESCENARIOS!$A$4:$A$11, 0), MATCH("Conservador", 02B_ESCENARIOS!$B$3:$D$3, 0)))</f>
        <v/>
      </c>
      <c r="D5" s="52">
        <f>06E_COSTOS_DIRECTOS_MENSUAL!E7*(INDEX(02B_ESCENARIOS!$B$4:$D$11, MATCH("MULT_COSTO_DIRECTO", 02B_ESCENARIOS!$A$4:$A$11, 0), MATCH("Conservador", 02B_ESCENARIOS!$B$3:$D$3, 0)))</f>
        <v/>
      </c>
      <c r="E5" s="52">
        <f>06E_COSTOS_DIRECTOS_MENSUAL!F7*(INDEX(02B_ESCENARIOS!$B$4:$D$11, MATCH("MULT_COSTO_DIRECTO", 02B_ESCENARIOS!$A$4:$A$11, 0), MATCH("Conservador", 02B_ESCENARIOS!$B$3:$D$3, 0)))</f>
        <v/>
      </c>
      <c r="F5" s="52">
        <f>06E_COSTOS_DIRECTOS_MENSUAL!G7*(INDEX(02B_ESCENARIOS!$B$4:$D$11, MATCH("MULT_COSTO_DIRECTO", 02B_ESCENARIOS!$A$4:$A$11, 0), MATCH("Conservador", 02B_ESCENARIOS!$B$3:$D$3, 0)))</f>
        <v/>
      </c>
      <c r="G5" s="52">
        <f>06E_COSTOS_DIRECTOS_MENSUAL!H7*(INDEX(02B_ESCENARIOS!$B$4:$D$11, MATCH("MULT_COSTO_DIRECTO", 02B_ESCENARIOS!$A$4:$A$11, 0), MATCH("Conservador", 02B_ESCENARIOS!$B$3:$D$3, 0)))</f>
        <v/>
      </c>
      <c r="H5" s="52">
        <f>06E_COSTOS_DIRECTOS_MENSUAL!I7*(INDEX(02B_ESCENARIOS!$B$4:$D$11, MATCH("MULT_COSTO_DIRECTO", 02B_ESCENARIOS!$A$4:$A$11, 0), MATCH("Conservador", 02B_ESCENARIOS!$B$3:$D$3, 0)))</f>
        <v/>
      </c>
      <c r="I5" s="52">
        <f>06E_COSTOS_DIRECTOS_MENSUAL!J7*(INDEX(02B_ESCENARIOS!$B$4:$D$11, MATCH("MULT_COSTO_DIRECTO", 02B_ESCENARIOS!$A$4:$A$11, 0), MATCH("Conservador", 02B_ESCENARIOS!$B$3:$D$3, 0)))</f>
        <v/>
      </c>
      <c r="J5" s="52">
        <f>06E_COSTOS_DIRECTOS_MENSUAL!K7*(INDEX(02B_ESCENARIOS!$B$4:$D$11, MATCH("MULT_COSTO_DIRECTO", 02B_ESCENARIOS!$A$4:$A$11, 0), MATCH("Conservador", 02B_ESCENARIOS!$B$3:$D$3, 0)))</f>
        <v/>
      </c>
      <c r="K5" s="52">
        <f>06E_COSTOS_DIRECTOS_MENSUAL!L7*(INDEX(02B_ESCENARIOS!$B$4:$D$11, MATCH("MULT_COSTO_DIRECTO", 02B_ESCENARIOS!$A$4:$A$11, 0), MATCH("Conservador", 02B_ESCENARIOS!$B$3:$D$3, 0)))</f>
        <v/>
      </c>
      <c r="L5" s="52">
        <f>06E_COSTOS_DIRECTOS_MENSUAL!M7*(INDEX(02B_ESCENARIOS!$B$4:$D$11, MATCH("MULT_COSTO_DIRECTO", 02B_ESCENARIOS!$A$4:$A$11, 0), MATCH("Conservador", 02B_ESCENARIOS!$B$3:$D$3, 0)))</f>
        <v/>
      </c>
      <c r="M5" s="52">
        <f>06E_COSTOS_DIRECTOS_MENSUAL!N7*(INDEX(02B_ESCENARIOS!$B$4:$D$11, MATCH("MULT_COSTO_DIRECTO", 02B_ESCENARIOS!$A$4:$A$11, 0), MATCH("Conservador", 02B_ESCENARIOS!$B$3:$D$3, 0)))</f>
        <v/>
      </c>
      <c r="N5" s="52">
        <f>SUM(B5:M5)</f>
        <v/>
      </c>
    </row>
    <row r="6">
      <c r="A6" s="36" t="inlineStr">
        <is>
          <t>Margen_bruto</t>
        </is>
      </c>
      <c r="B6" s="52">
        <f>B4+B5</f>
        <v/>
      </c>
      <c r="C6" s="52">
        <f>C4+C5</f>
        <v/>
      </c>
      <c r="D6" s="52">
        <f>D4+D5</f>
        <v/>
      </c>
      <c r="E6" s="52">
        <f>E4+E5</f>
        <v/>
      </c>
      <c r="F6" s="52">
        <f>F4+F5</f>
        <v/>
      </c>
      <c r="G6" s="52">
        <f>G4+G5</f>
        <v/>
      </c>
      <c r="H6" s="52">
        <f>H4+H5</f>
        <v/>
      </c>
      <c r="I6" s="52">
        <f>I4+I5</f>
        <v/>
      </c>
      <c r="J6" s="52">
        <f>J4+J5</f>
        <v/>
      </c>
      <c r="K6" s="52">
        <f>K4+K5</f>
        <v/>
      </c>
      <c r="L6" s="52">
        <f>L4+L5</f>
        <v/>
      </c>
      <c r="M6" s="52">
        <f>M4+M5</f>
        <v/>
      </c>
      <c r="N6" s="52">
        <f>SUM(B6:M6)</f>
        <v/>
      </c>
    </row>
    <row r="7">
      <c r="A7" s="36" t="inlineStr">
        <is>
          <t>OPEX_Personas</t>
        </is>
      </c>
      <c r="B7" s="52">
        <f>05B_PERSONAS_MENSUAL!D12*(INDEX(02B_ESCENARIOS!$B$4:$D$11, MATCH("MULT_PERSONAS", 02B_ESCENARIOS!$A$4:$A$11, 0), MATCH("Conservador", 02B_ESCENARIOS!$B$3:$D$3, 0)))</f>
        <v/>
      </c>
      <c r="C7" s="52">
        <f>05B_PERSONAS_MENSUAL!E12*(INDEX(02B_ESCENARIOS!$B$4:$D$11, MATCH("MULT_PERSONAS", 02B_ESCENARIOS!$A$4:$A$11, 0), MATCH("Conservador", 02B_ESCENARIOS!$B$3:$D$3, 0)))</f>
        <v/>
      </c>
      <c r="D7" s="52">
        <f>05B_PERSONAS_MENSUAL!F12*(INDEX(02B_ESCENARIOS!$B$4:$D$11, MATCH("MULT_PERSONAS", 02B_ESCENARIOS!$A$4:$A$11, 0), MATCH("Conservador", 02B_ESCENARIOS!$B$3:$D$3, 0)))</f>
        <v/>
      </c>
      <c r="E7" s="52">
        <f>05B_PERSONAS_MENSUAL!G12*(INDEX(02B_ESCENARIOS!$B$4:$D$11, MATCH("MULT_PERSONAS", 02B_ESCENARIOS!$A$4:$A$11, 0), MATCH("Conservador", 02B_ESCENARIOS!$B$3:$D$3, 0)))</f>
        <v/>
      </c>
      <c r="F7" s="52">
        <f>05B_PERSONAS_MENSUAL!H12*(INDEX(02B_ESCENARIOS!$B$4:$D$11, MATCH("MULT_PERSONAS", 02B_ESCENARIOS!$A$4:$A$11, 0), MATCH("Conservador", 02B_ESCENARIOS!$B$3:$D$3, 0)))</f>
        <v/>
      </c>
      <c r="G7" s="52">
        <f>05B_PERSONAS_MENSUAL!I12*(INDEX(02B_ESCENARIOS!$B$4:$D$11, MATCH("MULT_PERSONAS", 02B_ESCENARIOS!$A$4:$A$11, 0), MATCH("Conservador", 02B_ESCENARIOS!$B$3:$D$3, 0)))</f>
        <v/>
      </c>
      <c r="H7" s="52">
        <f>05B_PERSONAS_MENSUAL!J12*(INDEX(02B_ESCENARIOS!$B$4:$D$11, MATCH("MULT_PERSONAS", 02B_ESCENARIOS!$A$4:$A$11, 0), MATCH("Conservador", 02B_ESCENARIOS!$B$3:$D$3, 0)))</f>
        <v/>
      </c>
      <c r="I7" s="52">
        <f>05B_PERSONAS_MENSUAL!K12*(INDEX(02B_ESCENARIOS!$B$4:$D$11, MATCH("MULT_PERSONAS", 02B_ESCENARIOS!$A$4:$A$11, 0), MATCH("Conservador", 02B_ESCENARIOS!$B$3:$D$3, 0)))</f>
        <v/>
      </c>
      <c r="J7" s="52">
        <f>05B_PERSONAS_MENSUAL!L12*(INDEX(02B_ESCENARIOS!$B$4:$D$11, MATCH("MULT_PERSONAS", 02B_ESCENARIOS!$A$4:$A$11, 0), MATCH("Conservador", 02B_ESCENARIOS!$B$3:$D$3, 0)))</f>
        <v/>
      </c>
      <c r="K7" s="52">
        <f>05B_PERSONAS_MENSUAL!M12*(INDEX(02B_ESCENARIOS!$B$4:$D$11, MATCH("MULT_PERSONAS", 02B_ESCENARIOS!$A$4:$A$11, 0), MATCH("Conservador", 02B_ESCENARIOS!$B$3:$D$3, 0)))</f>
        <v/>
      </c>
      <c r="L7" s="52">
        <f>05B_PERSONAS_MENSUAL!N12*(INDEX(02B_ESCENARIOS!$B$4:$D$11, MATCH("MULT_PERSONAS", 02B_ESCENARIOS!$A$4:$A$11, 0), MATCH("Conservador", 02B_ESCENARIOS!$B$3:$D$3, 0)))</f>
        <v/>
      </c>
      <c r="M7" s="52">
        <f>05B_PERSONAS_MENSUAL!O12*(INDEX(02B_ESCENARIOS!$B$4:$D$11, MATCH("MULT_PERSONAS", 02B_ESCENARIOS!$A$4:$A$11, 0), MATCH("Conservador", 02B_ESCENARIOS!$B$3:$D$3, 0)))</f>
        <v/>
      </c>
      <c r="N7" s="52">
        <f>SUM(B7:M7)</f>
        <v/>
      </c>
    </row>
    <row r="8">
      <c r="A8" s="36" t="inlineStr">
        <is>
          <t>OPEX_Otros_netos</t>
        </is>
      </c>
      <c r="B8" s="52">
        <f>06B_OPEX_MENSUAL_CONS!E16</f>
        <v/>
      </c>
      <c r="C8" s="52">
        <f>06B_OPEX_MENSUAL_CONS!F16</f>
        <v/>
      </c>
      <c r="D8" s="52">
        <f>06B_OPEX_MENSUAL_CONS!G16</f>
        <v/>
      </c>
      <c r="E8" s="52">
        <f>06B_OPEX_MENSUAL_CONS!H16</f>
        <v/>
      </c>
      <c r="F8" s="52">
        <f>06B_OPEX_MENSUAL_CONS!I16</f>
        <v/>
      </c>
      <c r="G8" s="52">
        <f>06B_OPEX_MENSUAL_CONS!J16</f>
        <v/>
      </c>
      <c r="H8" s="52">
        <f>06B_OPEX_MENSUAL_CONS!K16</f>
        <v/>
      </c>
      <c r="I8" s="52">
        <f>06B_OPEX_MENSUAL_CONS!L16</f>
        <v/>
      </c>
      <c r="J8" s="52">
        <f>06B_OPEX_MENSUAL_CONS!M16</f>
        <v/>
      </c>
      <c r="K8" s="52">
        <f>06B_OPEX_MENSUAL_CONS!N16</f>
        <v/>
      </c>
      <c r="L8" s="52">
        <f>06B_OPEX_MENSUAL_CONS!O16</f>
        <v/>
      </c>
      <c r="M8" s="52">
        <f>06B_OPEX_MENSUAL_CONS!P16</f>
        <v/>
      </c>
      <c r="N8" s="52">
        <f>SUM(B8:M8)</f>
        <v/>
      </c>
    </row>
    <row r="9">
      <c r="A9" s="38" t="inlineStr">
        <is>
          <t>Resultado_operacional</t>
        </is>
      </c>
      <c r="B9" s="57">
        <f>B6+B7+B8</f>
        <v/>
      </c>
      <c r="C9" s="57">
        <f>C6+C7+C8</f>
        <v/>
      </c>
      <c r="D9" s="57">
        <f>D6+D7+D8</f>
        <v/>
      </c>
      <c r="E9" s="57">
        <f>E6+E7+E8</f>
        <v/>
      </c>
      <c r="F9" s="57">
        <f>F6+F7+F8</f>
        <v/>
      </c>
      <c r="G9" s="57">
        <f>G6+G7+G8</f>
        <v/>
      </c>
      <c r="H9" s="57">
        <f>H6+H7+H8</f>
        <v/>
      </c>
      <c r="I9" s="57">
        <f>I6+I7+I8</f>
        <v/>
      </c>
      <c r="J9" s="57">
        <f>J6+J7+J8</f>
        <v/>
      </c>
      <c r="K9" s="57">
        <f>K6+K7+K8</f>
        <v/>
      </c>
      <c r="L9" s="57">
        <f>L6+L7+L8</f>
        <v/>
      </c>
      <c r="M9" s="57">
        <f>M6+M7+M8</f>
        <v/>
      </c>
      <c r="N9" s="57">
        <f>SUM(B9:M9)</f>
        <v/>
      </c>
    </row>
    <row r="10">
      <c r="A10" s="36" t="inlineStr">
        <is>
          <t>Otros_no_operacionales</t>
        </is>
      </c>
      <c r="B10" s="52">
        <f>07B_NO_OPERACIONALES_MENSUAL!D18</f>
        <v/>
      </c>
      <c r="C10" s="52">
        <f>07B_NO_OPERACIONALES_MENSUAL!E18</f>
        <v/>
      </c>
      <c r="D10" s="52">
        <f>07B_NO_OPERACIONALES_MENSUAL!F18</f>
        <v/>
      </c>
      <c r="E10" s="52">
        <f>07B_NO_OPERACIONALES_MENSUAL!G18</f>
        <v/>
      </c>
      <c r="F10" s="52">
        <f>07B_NO_OPERACIONALES_MENSUAL!H18</f>
        <v/>
      </c>
      <c r="G10" s="52">
        <f>07B_NO_OPERACIONALES_MENSUAL!I18</f>
        <v/>
      </c>
      <c r="H10" s="52">
        <f>07B_NO_OPERACIONALES_MENSUAL!J18</f>
        <v/>
      </c>
      <c r="I10" s="52">
        <f>07B_NO_OPERACIONALES_MENSUAL!K18</f>
        <v/>
      </c>
      <c r="J10" s="52">
        <f>07B_NO_OPERACIONALES_MENSUAL!L18</f>
        <v/>
      </c>
      <c r="K10" s="52">
        <f>07B_NO_OPERACIONALES_MENSUAL!M18</f>
        <v/>
      </c>
      <c r="L10" s="52">
        <f>07B_NO_OPERACIONALES_MENSUAL!N18</f>
        <v/>
      </c>
      <c r="M10" s="52">
        <f>07B_NO_OPERACIONALES_MENSUAL!O18</f>
        <v/>
      </c>
      <c r="N10" s="52">
        <f>SUM(B10:M10)</f>
        <v/>
      </c>
    </row>
    <row r="11">
      <c r="A11" s="38" t="inlineStr">
        <is>
          <t>Resultado_antes_de_impuestos (aprox)</t>
        </is>
      </c>
      <c r="B11" s="57">
        <f>B9+B10</f>
        <v/>
      </c>
      <c r="C11" s="57">
        <f>C9+C10</f>
        <v/>
      </c>
      <c r="D11" s="57">
        <f>D9+D10</f>
        <v/>
      </c>
      <c r="E11" s="57">
        <f>E9+E10</f>
        <v/>
      </c>
      <c r="F11" s="57">
        <f>F9+F10</f>
        <v/>
      </c>
      <c r="G11" s="57">
        <f>G9+G10</f>
        <v/>
      </c>
      <c r="H11" s="57">
        <f>H9+H10</f>
        <v/>
      </c>
      <c r="I11" s="57">
        <f>I9+I10</f>
        <v/>
      </c>
      <c r="J11" s="57">
        <f>J9+J10</f>
        <v/>
      </c>
      <c r="K11" s="57">
        <f>K9+K10</f>
        <v/>
      </c>
      <c r="L11" s="57">
        <f>L9+L10</f>
        <v/>
      </c>
      <c r="M11" s="57">
        <f>M9+M10</f>
        <v/>
      </c>
      <c r="N11" s="57">
        <f>SUM(B11:M11)</f>
        <v/>
      </c>
    </row>
  </sheetData>
  <mergeCells count="1">
    <mergeCell ref="A1:N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500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4" customWidth="1" min="4" max="4"/>
    <col width="16" customWidth="1" min="5" max="5"/>
    <col width="14" customWidth="1" min="6" max="6"/>
    <col width="16" customWidth="1" min="7" max="7"/>
    <col width="10" customWidth="1" min="8" max="8"/>
    <col width="10" customWidth="1" min="9" max="9"/>
    <col width="12" customWidth="1" min="10" max="10"/>
    <col width="16" customWidth="1" min="11" max="11"/>
    <col width="28" customWidth="1" min="12" max="12"/>
    <col width="24" customWidth="1" min="13" max="13"/>
  </cols>
  <sheetData>
    <row r="1">
      <c r="A1" s="7" t="inlineStr">
        <is>
          <t>HITOS DE FACTURACIÓN (Inputs) — editable en A:D, L:M</t>
        </is>
      </c>
    </row>
    <row r="3">
      <c r="A3" s="8" t="inlineStr">
        <is>
          <t>Proyecto_ID</t>
        </is>
      </c>
      <c r="B3" s="8" t="inlineStr">
        <is>
          <t>Hito_n</t>
        </is>
      </c>
      <c r="C3" s="8" t="inlineStr">
        <is>
          <t>Mes_facturacion</t>
        </is>
      </c>
      <c r="D3" s="8" t="inlineStr">
        <is>
          <t>Pct_facturacion</t>
        </is>
      </c>
      <c r="E3" s="8" t="inlineStr">
        <is>
          <t>Monto_neto_hito</t>
        </is>
      </c>
      <c r="F3" s="8" t="inlineStr">
        <is>
          <t>IVA_hito</t>
        </is>
      </c>
      <c r="G3" s="8" t="inlineStr">
        <is>
          <t>Monto_bruto_hito</t>
        </is>
      </c>
      <c r="H3" s="8" t="inlineStr">
        <is>
          <t>DSO_dias</t>
        </is>
      </c>
      <c r="I3" s="8" t="inlineStr">
        <is>
          <t>Shift_meses</t>
        </is>
      </c>
      <c r="J3" s="8" t="inlineStr">
        <is>
          <t>Mes_cobro</t>
        </is>
      </c>
      <c r="K3" s="8" t="inlineStr">
        <is>
          <t>Cobro_bruto_hito</t>
        </is>
      </c>
      <c r="L3" s="8" t="inlineStr">
        <is>
          <t>Glosa</t>
        </is>
      </c>
      <c r="M3" s="8" t="inlineStr">
        <is>
          <t>Notas</t>
        </is>
      </c>
    </row>
    <row r="4">
      <c r="A4" s="16" t="inlineStr">
        <is>
          <t>PRJ-001</t>
        </is>
      </c>
      <c r="B4" s="18" t="n">
        <v>1</v>
      </c>
      <c r="C4" s="51" t="n">
        <v>46142</v>
      </c>
      <c r="D4" s="43" t="n">
        <v>0.5</v>
      </c>
      <c r="E4" s="52">
        <f>D4*VLOOKUP(A4,04_PROYECTOS!$A:$N,5,FALSE)*(INDEX(02B_ESCENARIOS!$B$4:$D$11, MATCH("MULT_PRECIO", 02B_ESCENARIOS!$A$4:$A$11, 0), MATCH("Agresivo", 02B_ESCENARIOS!$B$3:$D$3, 0)))*INDEX(02B_ESCENARIOS!$B$15:$D$19, MATCH(VLOOKUP(A4,04_PROYECTOS!$A:$N,9,FALSE), 02B_ESCENARIOS!$A$15:$A$19, 0), MATCH("Agresivo", 02B_ESCENARIOS!$B$14:$D$14, 0))</f>
        <v/>
      </c>
      <c r="F4" s="52">
        <f>E4*VLOOKUP(A4,04_PROYECTOS!$A:$N,6,FALSE)</f>
        <v/>
      </c>
      <c r="G4" s="52">
        <f>E4+F4</f>
        <v/>
      </c>
      <c r="H4" s="19">
        <f>IF(VLOOKUP(A4,04_PROYECTOS!$A:$N,10,FALSE)="", IF(VLOOKUP(A4,04_PROYECTOS!$A:$N,4,FALSE)="Privado", INDEX(02B_ESCENARIOS!$B$4:$D$11, MATCH("DSO_PRIVADO_DEFAULT", 02B_ESCENARIOS!$A$4:$A$11, 0), MATCH("Agresivo", 02B_ESCENARIOS!$B$3:$D$3, 0)), IF(VLOOKUP(A4,04_PROYECTOS!$A:$N,4,FALSE)="Publico_&lt;10M",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VLOOKUP(A4,04_PROYECTOS!$A:$N,10,FALSE))</f>
        <v/>
      </c>
      <c r="I4" s="19">
        <f>ROUNDUP(H4/30,0)</f>
        <v/>
      </c>
      <c r="J4" s="53">
        <f>EDATE(C4,I4)</f>
        <v/>
      </c>
      <c r="K4" s="52">
        <f>G4</f>
        <v/>
      </c>
      <c r="L4" s="16" t="inlineStr">
        <is>
          <t>Inicio 50%</t>
        </is>
      </c>
      <c r="M4" s="16" t="inlineStr"/>
    </row>
    <row r="5">
      <c r="A5" s="16" t="inlineStr">
        <is>
          <t>PRJ-001</t>
        </is>
      </c>
      <c r="B5" s="18" t="n">
        <v>2</v>
      </c>
      <c r="C5" s="51" t="n">
        <v>46142</v>
      </c>
      <c r="D5" s="43" t="n">
        <v>0.5</v>
      </c>
      <c r="E5" s="52">
        <f>D5*VLOOKUP(A5,04_PROYECTOS!$A:$N,5,FALSE)*(INDEX(02B_ESCENARIOS!$B$4:$D$11, MATCH("MULT_PRECIO", 02B_ESCENARIOS!$A$4:$A$11, 0), MATCH("Agresivo", 02B_ESCENARIOS!$B$3:$D$3, 0)))*INDEX(02B_ESCENARIOS!$B$15:$D$19, MATCH(VLOOKUP(A5,04_PROYECTOS!$A:$N,9,FALSE), 02B_ESCENARIOS!$A$15:$A$19, 0), MATCH("Agresivo", 02B_ESCENARIOS!$B$14:$D$14, 0))</f>
        <v/>
      </c>
      <c r="F5" s="52">
        <f>E5*VLOOKUP(A5,04_PROYECTOS!$A:$N,6,FALSE)</f>
        <v/>
      </c>
      <c r="G5" s="52">
        <f>E5+F5</f>
        <v/>
      </c>
      <c r="H5" s="19">
        <f>IF(VLOOKUP(A5,04_PROYECTOS!$A:$N,10,FALSE)="", IF(VLOOKUP(A5,04_PROYECTOS!$A:$N,4,FALSE)="Privado", INDEX(02B_ESCENARIOS!$B$4:$D$11, MATCH("DSO_PRIVADO_DEFAULT", 02B_ESCENARIOS!$A$4:$A$11, 0), MATCH("Agresivo", 02B_ESCENARIOS!$B$3:$D$3, 0)), IF(VLOOKUP(A5,04_PROYECTOS!$A:$N,4,FALSE)="Publico_&lt;10M",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VLOOKUP(A5,04_PROYECTOS!$A:$N,10,FALSE))</f>
        <v/>
      </c>
      <c r="I5" s="19">
        <f>ROUNDUP(H5/30,0)</f>
        <v/>
      </c>
      <c r="J5" s="53">
        <f>EDATE(C5,I5)</f>
        <v/>
      </c>
      <c r="K5" s="52">
        <f>G5</f>
        <v/>
      </c>
      <c r="L5" s="16" t="inlineStr">
        <is>
          <t>Final 50%</t>
        </is>
      </c>
      <c r="M5" s="16" t="inlineStr"/>
    </row>
    <row r="6">
      <c r="A6" s="16" t="inlineStr">
        <is>
          <t>PRJ-002</t>
        </is>
      </c>
      <c r="B6" s="18" t="n">
        <v>1</v>
      </c>
      <c r="C6" s="51" t="n">
        <v>46081</v>
      </c>
      <c r="D6" s="43" t="n">
        <v>0.5</v>
      </c>
      <c r="E6" s="52">
        <f>D6*VLOOKUP(A6,04_PROYECTOS!$A:$N,5,FALSE)*(INDEX(02B_ESCENARIOS!$B$4:$D$11, MATCH("MULT_PRECIO", 02B_ESCENARIOS!$A$4:$A$11, 0), MATCH("Agresivo", 02B_ESCENARIOS!$B$3:$D$3, 0)))*INDEX(02B_ESCENARIOS!$B$15:$D$19, MATCH(VLOOKUP(A6,04_PROYECTOS!$A:$N,9,FALSE), 02B_ESCENARIOS!$A$15:$A$19, 0), MATCH("Agresivo", 02B_ESCENARIOS!$B$14:$D$14, 0))</f>
        <v/>
      </c>
      <c r="F6" s="52">
        <f>E6*VLOOKUP(A6,04_PROYECTOS!$A:$N,6,FALSE)</f>
        <v/>
      </c>
      <c r="G6" s="52">
        <f>E6+F6</f>
        <v/>
      </c>
      <c r="H6" s="19">
        <f>IF(VLOOKUP(A6,04_PROYECTOS!$A:$N,10,FALSE)="", IF(VLOOKUP(A6,04_PROYECTOS!$A:$N,4,FALSE)="Privado", INDEX(02B_ESCENARIOS!$B$4:$D$11, MATCH("DSO_PRIVADO_DEFAULT", 02B_ESCENARIOS!$A$4:$A$11, 0), MATCH("Agresivo", 02B_ESCENARIOS!$B$3:$D$3, 0)), IF(VLOOKUP(A6,04_PROYECTOS!$A:$N,4,FALSE)="Publico_&lt;10M",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VLOOKUP(A6,04_PROYECTOS!$A:$N,10,FALSE))</f>
        <v/>
      </c>
      <c r="I6" s="19">
        <f>ROUNDUP(H6/30,0)</f>
        <v/>
      </c>
      <c r="J6" s="53">
        <f>EDATE(C6,I6)</f>
        <v/>
      </c>
      <c r="K6" s="52">
        <f>G6</f>
        <v/>
      </c>
      <c r="L6" s="16" t="inlineStr">
        <is>
          <t>Inicio 50%</t>
        </is>
      </c>
      <c r="M6" s="16" t="inlineStr"/>
    </row>
    <row r="7">
      <c r="A7" s="16" t="inlineStr">
        <is>
          <t>PRJ-002</t>
        </is>
      </c>
      <c r="B7" s="18" t="n">
        <v>2</v>
      </c>
      <c r="C7" s="51" t="n">
        <v>46081</v>
      </c>
      <c r="D7" s="43" t="n">
        <v>0.5</v>
      </c>
      <c r="E7" s="52">
        <f>D7*VLOOKUP(A7,04_PROYECTOS!$A:$N,5,FALSE)*(INDEX(02B_ESCENARIOS!$B$4:$D$11, MATCH("MULT_PRECIO", 02B_ESCENARIOS!$A$4:$A$11, 0), MATCH("Agresivo", 02B_ESCENARIOS!$B$3:$D$3, 0)))*INDEX(02B_ESCENARIOS!$B$15:$D$19, MATCH(VLOOKUP(A7,04_PROYECTOS!$A:$N,9,FALSE), 02B_ESCENARIOS!$A$15:$A$19, 0), MATCH("Agresivo", 02B_ESCENARIOS!$B$14:$D$14, 0))</f>
        <v/>
      </c>
      <c r="F7" s="52">
        <f>E7*VLOOKUP(A7,04_PROYECTOS!$A:$N,6,FALSE)</f>
        <v/>
      </c>
      <c r="G7" s="52">
        <f>E7+F7</f>
        <v/>
      </c>
      <c r="H7" s="19">
        <f>IF(VLOOKUP(A7,04_PROYECTOS!$A:$N,10,FALSE)="", IF(VLOOKUP(A7,04_PROYECTOS!$A:$N,4,FALSE)="Privado", INDEX(02B_ESCENARIOS!$B$4:$D$11, MATCH("DSO_PRIVADO_DEFAULT", 02B_ESCENARIOS!$A$4:$A$11, 0), MATCH("Agresivo", 02B_ESCENARIOS!$B$3:$D$3, 0)), IF(VLOOKUP(A7,04_PROYECTOS!$A:$N,4,FALSE)="Publico_&lt;10M",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VLOOKUP(A7,04_PROYECTOS!$A:$N,10,FALSE))</f>
        <v/>
      </c>
      <c r="I7" s="19">
        <f>ROUNDUP(H7/30,0)</f>
        <v/>
      </c>
      <c r="J7" s="53">
        <f>EDATE(C7,I7)</f>
        <v/>
      </c>
      <c r="K7" s="52">
        <f>G7</f>
        <v/>
      </c>
      <c r="L7" s="16" t="inlineStr">
        <is>
          <t>Final 50%</t>
        </is>
      </c>
      <c r="M7" s="16" t="inlineStr"/>
    </row>
    <row r="8">
      <c r="A8" s="16" t="inlineStr">
        <is>
          <t>PRJ-003</t>
        </is>
      </c>
      <c r="B8" s="18" t="n">
        <v>1</v>
      </c>
      <c r="C8" s="51" t="n">
        <v>46081</v>
      </c>
      <c r="D8" s="43" t="n">
        <v>0.5</v>
      </c>
      <c r="E8" s="52">
        <f>D8*VLOOKUP(A8,04_PROYECTOS!$A:$N,5,FALSE)*(INDEX(02B_ESCENARIOS!$B$4:$D$11, MATCH("MULT_PRECIO", 02B_ESCENARIOS!$A$4:$A$11, 0), MATCH("Agresivo", 02B_ESCENARIOS!$B$3:$D$3, 0)))*INDEX(02B_ESCENARIOS!$B$15:$D$19, MATCH(VLOOKUP(A8,04_PROYECTOS!$A:$N,9,FALSE), 02B_ESCENARIOS!$A$15:$A$19, 0), MATCH("Agresivo", 02B_ESCENARIOS!$B$14:$D$14, 0))</f>
        <v/>
      </c>
      <c r="F8" s="52">
        <f>E8*VLOOKUP(A8,04_PROYECTOS!$A:$N,6,FALSE)</f>
        <v/>
      </c>
      <c r="G8" s="52">
        <f>E8+F8</f>
        <v/>
      </c>
      <c r="H8" s="19">
        <f>IF(VLOOKUP(A8,04_PROYECTOS!$A:$N,10,FALSE)="", IF(VLOOKUP(A8,04_PROYECTOS!$A:$N,4,FALSE)="Privado", INDEX(02B_ESCENARIOS!$B$4:$D$11, MATCH("DSO_PRIVADO_DEFAULT", 02B_ESCENARIOS!$A$4:$A$11, 0), MATCH("Agresivo", 02B_ESCENARIOS!$B$3:$D$3, 0)), IF(VLOOKUP(A8,04_PROYECTOS!$A:$N,4,FALSE)="Publico_&lt;10M",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VLOOKUP(A8,04_PROYECTOS!$A:$N,10,FALSE))</f>
        <v/>
      </c>
      <c r="I8" s="19">
        <f>ROUNDUP(H8/30,0)</f>
        <v/>
      </c>
      <c r="J8" s="53">
        <f>EDATE(C8,I8)</f>
        <v/>
      </c>
      <c r="K8" s="52">
        <f>G8</f>
        <v/>
      </c>
      <c r="L8" s="16" t="inlineStr">
        <is>
          <t>Inicio 50%</t>
        </is>
      </c>
      <c r="M8" s="16" t="inlineStr"/>
    </row>
    <row r="9">
      <c r="A9" s="16" t="inlineStr">
        <is>
          <t>PRJ-003</t>
        </is>
      </c>
      <c r="B9" s="18" t="n">
        <v>2</v>
      </c>
      <c r="C9" s="51" t="n">
        <v>46081</v>
      </c>
      <c r="D9" s="43" t="n">
        <v>0.5</v>
      </c>
      <c r="E9" s="52">
        <f>D9*VLOOKUP(A9,04_PROYECTOS!$A:$N,5,FALSE)*(INDEX(02B_ESCENARIOS!$B$4:$D$11, MATCH("MULT_PRECIO", 02B_ESCENARIOS!$A$4:$A$11, 0), MATCH("Agresivo", 02B_ESCENARIOS!$B$3:$D$3, 0)))*INDEX(02B_ESCENARIOS!$B$15:$D$19, MATCH(VLOOKUP(A9,04_PROYECTOS!$A:$N,9,FALSE), 02B_ESCENARIOS!$A$15:$A$19, 0), MATCH("Agresivo", 02B_ESCENARIOS!$B$14:$D$14, 0))</f>
        <v/>
      </c>
      <c r="F9" s="52">
        <f>E9*VLOOKUP(A9,04_PROYECTOS!$A:$N,6,FALSE)</f>
        <v/>
      </c>
      <c r="G9" s="52">
        <f>E9+F9</f>
        <v/>
      </c>
      <c r="H9" s="19">
        <f>IF(VLOOKUP(A9,04_PROYECTOS!$A:$N,10,FALSE)="", IF(VLOOKUP(A9,04_PROYECTOS!$A:$N,4,FALSE)="Privado", INDEX(02B_ESCENARIOS!$B$4:$D$11, MATCH("DSO_PRIVADO_DEFAULT", 02B_ESCENARIOS!$A$4:$A$11, 0), MATCH("Agresivo", 02B_ESCENARIOS!$B$3:$D$3, 0)), IF(VLOOKUP(A9,04_PROYECTOS!$A:$N,4,FALSE)="Publico_&lt;10M",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VLOOKUP(A9,04_PROYECTOS!$A:$N,10,FALSE))</f>
        <v/>
      </c>
      <c r="I9" s="19">
        <f>ROUNDUP(H9/30,0)</f>
        <v/>
      </c>
      <c r="J9" s="53">
        <f>EDATE(C9,I9)</f>
        <v/>
      </c>
      <c r="K9" s="52">
        <f>G9</f>
        <v/>
      </c>
      <c r="L9" s="16" t="inlineStr">
        <is>
          <t>Final 50%</t>
        </is>
      </c>
      <c r="M9" s="16" t="inlineStr"/>
    </row>
    <row r="10">
      <c r="A10" s="16" t="inlineStr">
        <is>
          <t>PRJ-004</t>
        </is>
      </c>
      <c r="B10" s="18" t="n">
        <v>1</v>
      </c>
      <c r="C10" s="51" t="n">
        <v>46081</v>
      </c>
      <c r="D10" s="43" t="n">
        <v>0.5</v>
      </c>
      <c r="E10" s="52">
        <f>D10*VLOOKUP(A10,04_PROYECTOS!$A:$N,5,FALSE)*(INDEX(02B_ESCENARIOS!$B$4:$D$11, MATCH("MULT_PRECIO", 02B_ESCENARIOS!$A$4:$A$11, 0), MATCH("Agresivo", 02B_ESCENARIOS!$B$3:$D$3, 0)))*INDEX(02B_ESCENARIOS!$B$15:$D$19, MATCH(VLOOKUP(A10,04_PROYECTOS!$A:$N,9,FALSE), 02B_ESCENARIOS!$A$15:$A$19, 0), MATCH("Agresivo", 02B_ESCENARIOS!$B$14:$D$14, 0))</f>
        <v/>
      </c>
      <c r="F10" s="52">
        <f>E10*VLOOKUP(A10,04_PROYECTOS!$A:$N,6,FALSE)</f>
        <v/>
      </c>
      <c r="G10" s="52">
        <f>E10+F10</f>
        <v/>
      </c>
      <c r="H10" s="19">
        <f>IF(VLOOKUP(A10,04_PROYECTOS!$A:$N,10,FALSE)="", IF(VLOOKUP(A10,04_PROYECTOS!$A:$N,4,FALSE)="Privado", INDEX(02B_ESCENARIOS!$B$4:$D$11, MATCH("DSO_PRIVADO_DEFAULT", 02B_ESCENARIOS!$A$4:$A$11, 0), MATCH("Agresivo", 02B_ESCENARIOS!$B$3:$D$3, 0)), IF(VLOOKUP(A10,04_PROYECTOS!$A:$N,4,FALSE)="Publico_&lt;10M",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VLOOKUP(A10,04_PROYECTOS!$A:$N,10,FALSE))</f>
        <v/>
      </c>
      <c r="I10" s="19">
        <f>ROUNDUP(H10/30,0)</f>
        <v/>
      </c>
      <c r="J10" s="53">
        <f>EDATE(C10,I10)</f>
        <v/>
      </c>
      <c r="K10" s="52">
        <f>G10</f>
        <v/>
      </c>
      <c r="L10" s="16" t="inlineStr">
        <is>
          <t>Inicio 50%</t>
        </is>
      </c>
      <c r="M10" s="16" t="inlineStr"/>
    </row>
    <row r="11">
      <c r="A11" s="16" t="inlineStr">
        <is>
          <t>PRJ-004</t>
        </is>
      </c>
      <c r="B11" s="18" t="n">
        <v>2</v>
      </c>
      <c r="C11" s="51" t="n">
        <v>46142</v>
      </c>
      <c r="D11" s="43" t="n">
        <v>0.5</v>
      </c>
      <c r="E11" s="52">
        <f>D11*VLOOKUP(A11,04_PROYECTOS!$A:$N,5,FALSE)*(INDEX(02B_ESCENARIOS!$B$4:$D$11, MATCH("MULT_PRECIO", 02B_ESCENARIOS!$A$4:$A$11, 0), MATCH("Agresivo", 02B_ESCENARIOS!$B$3:$D$3, 0)))*INDEX(02B_ESCENARIOS!$B$15:$D$19, MATCH(VLOOKUP(A11,04_PROYECTOS!$A:$N,9,FALSE), 02B_ESCENARIOS!$A$15:$A$19, 0), MATCH("Agresivo", 02B_ESCENARIOS!$B$14:$D$14, 0))</f>
        <v/>
      </c>
      <c r="F11" s="52">
        <f>E11*VLOOKUP(A11,04_PROYECTOS!$A:$N,6,FALSE)</f>
        <v/>
      </c>
      <c r="G11" s="52">
        <f>E11+F11</f>
        <v/>
      </c>
      <c r="H11" s="19">
        <f>IF(VLOOKUP(A11,04_PROYECTOS!$A:$N,10,FALSE)="", IF(VLOOKUP(A11,04_PROYECTOS!$A:$N,4,FALSE)="Privado", INDEX(02B_ESCENARIOS!$B$4:$D$11, MATCH("DSO_PRIVADO_DEFAULT", 02B_ESCENARIOS!$A$4:$A$11, 0), MATCH("Agresivo", 02B_ESCENARIOS!$B$3:$D$3, 0)), IF(VLOOKUP(A11,04_PROYECTOS!$A:$N,4,FALSE)="Publico_&lt;10M",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VLOOKUP(A11,04_PROYECTOS!$A:$N,10,FALSE))</f>
        <v/>
      </c>
      <c r="I11" s="19">
        <f>ROUNDUP(H11/30,0)</f>
        <v/>
      </c>
      <c r="J11" s="53">
        <f>EDATE(C11,I11)</f>
        <v/>
      </c>
      <c r="K11" s="52">
        <f>G11</f>
        <v/>
      </c>
      <c r="L11" s="16" t="inlineStr">
        <is>
          <t>Final 50%</t>
        </is>
      </c>
      <c r="M11" s="16" t="inlineStr"/>
    </row>
    <row r="12">
      <c r="A12" s="16" t="inlineStr">
        <is>
          <t>PRJ-005</t>
        </is>
      </c>
      <c r="B12" s="18" t="n">
        <v>1</v>
      </c>
      <c r="C12" s="51" t="n">
        <v>46081</v>
      </c>
      <c r="D12" s="43" t="n">
        <v>0.5</v>
      </c>
      <c r="E12" s="52">
        <f>D12*VLOOKUP(A12,04_PROYECTOS!$A:$N,5,FALSE)*(INDEX(02B_ESCENARIOS!$B$4:$D$11, MATCH("MULT_PRECIO", 02B_ESCENARIOS!$A$4:$A$11, 0), MATCH("Agresivo", 02B_ESCENARIOS!$B$3:$D$3, 0)))*INDEX(02B_ESCENARIOS!$B$15:$D$19, MATCH(VLOOKUP(A12,04_PROYECTOS!$A:$N,9,FALSE), 02B_ESCENARIOS!$A$15:$A$19, 0), MATCH("Agresivo", 02B_ESCENARIOS!$B$14:$D$14, 0))</f>
        <v/>
      </c>
      <c r="F12" s="52">
        <f>E12*VLOOKUP(A12,04_PROYECTOS!$A:$N,6,FALSE)</f>
        <v/>
      </c>
      <c r="G12" s="52">
        <f>E12+F12</f>
        <v/>
      </c>
      <c r="H12" s="19">
        <f>IF(VLOOKUP(A12,04_PROYECTOS!$A:$N,10,FALSE)="", IF(VLOOKUP(A12,04_PROYECTOS!$A:$N,4,FALSE)="Privado", INDEX(02B_ESCENARIOS!$B$4:$D$11, MATCH("DSO_PRIVADO_DEFAULT", 02B_ESCENARIOS!$A$4:$A$11, 0), MATCH("Agresivo", 02B_ESCENARIOS!$B$3:$D$3, 0)), IF(VLOOKUP(A12,04_PROYECTOS!$A:$N,4,FALSE)="Publico_&lt;10M",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VLOOKUP(A12,04_PROYECTOS!$A:$N,10,FALSE))</f>
        <v/>
      </c>
      <c r="I12" s="19">
        <f>ROUNDUP(H12/30,0)</f>
        <v/>
      </c>
      <c r="J12" s="53">
        <f>EDATE(C12,I12)</f>
        <v/>
      </c>
      <c r="K12" s="52">
        <f>G12</f>
        <v/>
      </c>
      <c r="L12" s="16" t="inlineStr">
        <is>
          <t>Inicio 50%</t>
        </is>
      </c>
      <c r="M12" s="16" t="inlineStr"/>
    </row>
    <row r="13">
      <c r="A13" s="16" t="inlineStr">
        <is>
          <t>PRJ-005</t>
        </is>
      </c>
      <c r="B13" s="18" t="n">
        <v>2</v>
      </c>
      <c r="C13" s="51" t="n">
        <v>46081</v>
      </c>
      <c r="D13" s="43" t="n">
        <v>0.5</v>
      </c>
      <c r="E13" s="52">
        <f>D13*VLOOKUP(A13,04_PROYECTOS!$A:$N,5,FALSE)*(INDEX(02B_ESCENARIOS!$B$4:$D$11, MATCH("MULT_PRECIO", 02B_ESCENARIOS!$A$4:$A$11, 0), MATCH("Agresivo", 02B_ESCENARIOS!$B$3:$D$3, 0)))*INDEX(02B_ESCENARIOS!$B$15:$D$19, MATCH(VLOOKUP(A13,04_PROYECTOS!$A:$N,9,FALSE), 02B_ESCENARIOS!$A$15:$A$19, 0), MATCH("Agresivo", 02B_ESCENARIOS!$B$14:$D$14, 0))</f>
        <v/>
      </c>
      <c r="F13" s="52">
        <f>E13*VLOOKUP(A13,04_PROYECTOS!$A:$N,6,FALSE)</f>
        <v/>
      </c>
      <c r="G13" s="52">
        <f>E13+F13</f>
        <v/>
      </c>
      <c r="H13" s="19">
        <f>IF(VLOOKUP(A13,04_PROYECTOS!$A:$N,10,FALSE)="", IF(VLOOKUP(A13,04_PROYECTOS!$A:$N,4,FALSE)="Privado", INDEX(02B_ESCENARIOS!$B$4:$D$11, MATCH("DSO_PRIVADO_DEFAULT", 02B_ESCENARIOS!$A$4:$A$11, 0), MATCH("Agresivo", 02B_ESCENARIOS!$B$3:$D$3, 0)), IF(VLOOKUP(A13,04_PROYECTOS!$A:$N,4,FALSE)="Publico_&lt;10M",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VLOOKUP(A13,04_PROYECTOS!$A:$N,10,FALSE))</f>
        <v/>
      </c>
      <c r="I13" s="19">
        <f>ROUNDUP(H13/30,0)</f>
        <v/>
      </c>
      <c r="J13" s="53">
        <f>EDATE(C13,I13)</f>
        <v/>
      </c>
      <c r="K13" s="52">
        <f>G13</f>
        <v/>
      </c>
      <c r="L13" s="16" t="inlineStr">
        <is>
          <t>Final 50%</t>
        </is>
      </c>
      <c r="M13" s="16" t="inlineStr"/>
    </row>
    <row r="14">
      <c r="A14" s="16" t="inlineStr">
        <is>
          <t>PRJ-006</t>
        </is>
      </c>
      <c r="B14" s="18" t="n">
        <v>1</v>
      </c>
      <c r="C14" s="51" t="n">
        <v>46081</v>
      </c>
      <c r="D14" s="43" t="n">
        <v>1</v>
      </c>
      <c r="E14" s="52">
        <f>D14*VLOOKUP(A14,04_PROYECTOS!$A:$N,5,FALSE)*(INDEX(02B_ESCENARIOS!$B$4:$D$11, MATCH("MULT_PRECIO", 02B_ESCENARIOS!$A$4:$A$11, 0), MATCH("Agresivo", 02B_ESCENARIOS!$B$3:$D$3, 0)))*INDEX(02B_ESCENARIOS!$B$15:$D$19, MATCH(VLOOKUP(A14,04_PROYECTOS!$A:$N,9,FALSE), 02B_ESCENARIOS!$A$15:$A$19, 0), MATCH("Agresivo", 02B_ESCENARIOS!$B$14:$D$14, 0))</f>
        <v/>
      </c>
      <c r="F14" s="52">
        <f>E14*VLOOKUP(A14,04_PROYECTOS!$A:$N,6,FALSE)</f>
        <v/>
      </c>
      <c r="G14" s="52">
        <f>E14+F14</f>
        <v/>
      </c>
      <c r="H14" s="19">
        <f>IF(VLOOKUP(A14,04_PROYECTOS!$A:$N,10,FALSE)="", IF(VLOOKUP(A14,04_PROYECTOS!$A:$N,4,FALSE)="Privado", INDEX(02B_ESCENARIOS!$B$4:$D$11, MATCH("DSO_PRIVADO_DEFAULT", 02B_ESCENARIOS!$A$4:$A$11, 0), MATCH("Agresivo", 02B_ESCENARIOS!$B$3:$D$3, 0)), IF(VLOOKUP(A14,04_PROYECTOS!$A:$N,4,FALSE)="Publico_&lt;10M",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VLOOKUP(A14,04_PROYECTOS!$A:$N,10,FALSE))</f>
        <v/>
      </c>
      <c r="I14" s="19">
        <f>ROUNDUP(H14/30,0)</f>
        <v/>
      </c>
      <c r="J14" s="53">
        <f>EDATE(C14,I14)</f>
        <v/>
      </c>
      <c r="K14" s="52">
        <f>G14</f>
        <v/>
      </c>
      <c r="L14" s="16" t="inlineStr">
        <is>
          <t>Pago final público &lt;10M</t>
        </is>
      </c>
      <c r="M14" s="16" t="inlineStr"/>
    </row>
    <row r="15">
      <c r="A15" s="16" t="inlineStr">
        <is>
          <t>PRJ-007</t>
        </is>
      </c>
      <c r="B15" s="18" t="n">
        <v>1</v>
      </c>
      <c r="C15" s="51" t="n">
        <v>46112</v>
      </c>
      <c r="D15" s="43" t="n">
        <v>0.5</v>
      </c>
      <c r="E15" s="52">
        <f>D15*VLOOKUP(A15,04_PROYECTOS!$A:$N,5,FALSE)*(INDEX(02B_ESCENARIOS!$B$4:$D$11, MATCH("MULT_PRECIO", 02B_ESCENARIOS!$A$4:$A$11, 0), MATCH("Agresivo", 02B_ESCENARIOS!$B$3:$D$3, 0)))*INDEX(02B_ESCENARIOS!$B$15:$D$19, MATCH(VLOOKUP(A15,04_PROYECTOS!$A:$N,9,FALSE), 02B_ESCENARIOS!$A$15:$A$19, 0), MATCH("Agresivo", 02B_ESCENARIOS!$B$14:$D$14, 0))</f>
        <v/>
      </c>
      <c r="F15" s="52">
        <f>E15*VLOOKUP(A15,04_PROYECTOS!$A:$N,6,FALSE)</f>
        <v/>
      </c>
      <c r="G15" s="52">
        <f>E15+F15</f>
        <v/>
      </c>
      <c r="H15" s="19">
        <f>IF(VLOOKUP(A15,04_PROYECTOS!$A:$N,10,FALSE)="", IF(VLOOKUP(A15,04_PROYECTOS!$A:$N,4,FALSE)="Privado", INDEX(02B_ESCENARIOS!$B$4:$D$11, MATCH("DSO_PRIVADO_DEFAULT", 02B_ESCENARIOS!$A$4:$A$11, 0), MATCH("Agresivo", 02B_ESCENARIOS!$B$3:$D$3, 0)), IF(VLOOKUP(A15,04_PROYECTOS!$A:$N,4,FALSE)="Publico_&lt;10M",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VLOOKUP(A15,04_PROYECTOS!$A:$N,10,FALSE))</f>
        <v/>
      </c>
      <c r="I15" s="19">
        <f>ROUNDUP(H15/30,0)</f>
        <v/>
      </c>
      <c r="J15" s="53">
        <f>EDATE(C15,I15)</f>
        <v/>
      </c>
      <c r="K15" s="52">
        <f>G15</f>
        <v/>
      </c>
      <c r="L15" s="16" t="inlineStr">
        <is>
          <t>Inicio 50%</t>
        </is>
      </c>
      <c r="M15" s="16" t="inlineStr"/>
    </row>
    <row r="16">
      <c r="A16" s="16" t="inlineStr">
        <is>
          <t>PRJ-007</t>
        </is>
      </c>
      <c r="B16" s="18" t="n">
        <v>2</v>
      </c>
      <c r="C16" s="51" t="n">
        <v>46112</v>
      </c>
      <c r="D16" s="43" t="n">
        <v>0.5</v>
      </c>
      <c r="E16" s="52">
        <f>D16*VLOOKUP(A16,04_PROYECTOS!$A:$N,5,FALSE)*(INDEX(02B_ESCENARIOS!$B$4:$D$11, MATCH("MULT_PRECIO", 02B_ESCENARIOS!$A$4:$A$11, 0), MATCH("Agresivo", 02B_ESCENARIOS!$B$3:$D$3, 0)))*INDEX(02B_ESCENARIOS!$B$15:$D$19, MATCH(VLOOKUP(A16,04_PROYECTOS!$A:$N,9,FALSE), 02B_ESCENARIOS!$A$15:$A$19, 0), MATCH("Agresivo", 02B_ESCENARIOS!$B$14:$D$14, 0))</f>
        <v/>
      </c>
      <c r="F16" s="52">
        <f>E16*VLOOKUP(A16,04_PROYECTOS!$A:$N,6,FALSE)</f>
        <v/>
      </c>
      <c r="G16" s="52">
        <f>E16+F16</f>
        <v/>
      </c>
      <c r="H16" s="19">
        <f>IF(VLOOKUP(A16,04_PROYECTOS!$A:$N,10,FALSE)="", IF(VLOOKUP(A16,04_PROYECTOS!$A:$N,4,FALSE)="Privado", INDEX(02B_ESCENARIOS!$B$4:$D$11, MATCH("DSO_PRIVADO_DEFAULT", 02B_ESCENARIOS!$A$4:$A$11, 0), MATCH("Agresivo", 02B_ESCENARIOS!$B$3:$D$3, 0)), IF(VLOOKUP(A16,04_PROYECTOS!$A:$N,4,FALSE)="Publico_&lt;10M",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VLOOKUP(A16,04_PROYECTOS!$A:$N,10,FALSE))</f>
        <v/>
      </c>
      <c r="I16" s="19">
        <f>ROUNDUP(H16/30,0)</f>
        <v/>
      </c>
      <c r="J16" s="53">
        <f>EDATE(C16,I16)</f>
        <v/>
      </c>
      <c r="K16" s="52">
        <f>G16</f>
        <v/>
      </c>
      <c r="L16" s="16" t="inlineStr">
        <is>
          <t>Final 50%</t>
        </is>
      </c>
      <c r="M16" s="16" t="inlineStr"/>
    </row>
    <row r="17">
      <c r="A17" s="16" t="inlineStr">
        <is>
          <t>PRJ-008</t>
        </is>
      </c>
      <c r="B17" s="18" t="n">
        <v>1</v>
      </c>
      <c r="C17" s="51" t="n">
        <v>46081</v>
      </c>
      <c r="D17" s="43" t="n">
        <v>1</v>
      </c>
      <c r="E17" s="52">
        <f>D17*VLOOKUP(A17,04_PROYECTOS!$A:$N,5,FALSE)*(INDEX(02B_ESCENARIOS!$B$4:$D$11, MATCH("MULT_PRECIO", 02B_ESCENARIOS!$A$4:$A$11, 0), MATCH("Agresivo", 02B_ESCENARIOS!$B$3:$D$3, 0)))*INDEX(02B_ESCENARIOS!$B$15:$D$19, MATCH(VLOOKUP(A17,04_PROYECTOS!$A:$N,9,FALSE), 02B_ESCENARIOS!$A$15:$A$19, 0), MATCH("Agresivo", 02B_ESCENARIOS!$B$14:$D$14, 0))</f>
        <v/>
      </c>
      <c r="F17" s="52">
        <f>E17*VLOOKUP(A17,04_PROYECTOS!$A:$N,6,FALSE)</f>
        <v/>
      </c>
      <c r="G17" s="52">
        <f>E17+F17</f>
        <v/>
      </c>
      <c r="H17" s="19">
        <f>IF(VLOOKUP(A17,04_PROYECTOS!$A:$N,10,FALSE)="", IF(VLOOKUP(A17,04_PROYECTOS!$A:$N,4,FALSE)="Privado", INDEX(02B_ESCENARIOS!$B$4:$D$11, MATCH("DSO_PRIVADO_DEFAULT", 02B_ESCENARIOS!$A$4:$A$11, 0), MATCH("Agresivo", 02B_ESCENARIOS!$B$3:$D$3, 0)), IF(VLOOKUP(A17,04_PROYECTOS!$A:$N,4,FALSE)="Publico_&lt;10M",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VLOOKUP(A17,04_PROYECTOS!$A:$N,10,FALSE))</f>
        <v/>
      </c>
      <c r="I17" s="19">
        <f>ROUNDUP(H17/30,0)</f>
        <v/>
      </c>
      <c r="J17" s="53">
        <f>EDATE(C17,I17)</f>
        <v/>
      </c>
      <c r="K17" s="52">
        <f>G17</f>
        <v/>
      </c>
      <c r="L17" s="16" t="inlineStr">
        <is>
          <t>Pago final público &lt;10M</t>
        </is>
      </c>
      <c r="M17" s="16" t="inlineStr"/>
    </row>
    <row r="18">
      <c r="A18" s="16" t="inlineStr">
        <is>
          <t>PRJ-009</t>
        </is>
      </c>
      <c r="B18" s="18" t="n">
        <v>1</v>
      </c>
      <c r="C18" s="51" t="n">
        <v>46081</v>
      </c>
      <c r="D18" s="43" t="n">
        <v>1</v>
      </c>
      <c r="E18" s="52">
        <f>D18*VLOOKUP(A18,04_PROYECTOS!$A:$N,5,FALSE)*(INDEX(02B_ESCENARIOS!$B$4:$D$11, MATCH("MULT_PRECIO", 02B_ESCENARIOS!$A$4:$A$11, 0), MATCH("Agresivo", 02B_ESCENARIOS!$B$3:$D$3, 0)))*INDEX(02B_ESCENARIOS!$B$15:$D$19, MATCH(VLOOKUP(A18,04_PROYECTOS!$A:$N,9,FALSE), 02B_ESCENARIOS!$A$15:$A$19, 0), MATCH("Agresivo", 02B_ESCENARIOS!$B$14:$D$14, 0))</f>
        <v/>
      </c>
      <c r="F18" s="52">
        <f>E18*VLOOKUP(A18,04_PROYECTOS!$A:$N,6,FALSE)</f>
        <v/>
      </c>
      <c r="G18" s="52">
        <f>E18+F18</f>
        <v/>
      </c>
      <c r="H18" s="19">
        <f>IF(VLOOKUP(A18,04_PROYECTOS!$A:$N,10,FALSE)="", IF(VLOOKUP(A18,04_PROYECTOS!$A:$N,4,FALSE)="Privado", INDEX(02B_ESCENARIOS!$B$4:$D$11, MATCH("DSO_PRIVADO_DEFAULT", 02B_ESCENARIOS!$A$4:$A$11, 0), MATCH("Agresivo", 02B_ESCENARIOS!$B$3:$D$3, 0)), IF(VLOOKUP(A18,04_PROYECTOS!$A:$N,4,FALSE)="Publico_&lt;10M",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VLOOKUP(A18,04_PROYECTOS!$A:$N,10,FALSE))</f>
        <v/>
      </c>
      <c r="I18" s="19">
        <f>ROUNDUP(H18/30,0)</f>
        <v/>
      </c>
      <c r="J18" s="53">
        <f>EDATE(C18,I18)</f>
        <v/>
      </c>
      <c r="K18" s="52">
        <f>G18</f>
        <v/>
      </c>
      <c r="L18" s="16" t="inlineStr">
        <is>
          <t>Pago final público &lt;10M</t>
        </is>
      </c>
      <c r="M18" s="16" t="inlineStr"/>
    </row>
    <row r="19">
      <c r="A19" s="16" t="inlineStr">
        <is>
          <t>PRJ-010</t>
        </is>
      </c>
      <c r="B19" s="18" t="n">
        <v>1</v>
      </c>
      <c r="C19" s="51" t="n">
        <v>46053</v>
      </c>
      <c r="D19" s="43" t="n">
        <v>0.5</v>
      </c>
      <c r="E19" s="52">
        <f>D19*VLOOKUP(A19,04_PROYECTOS!$A:$N,5,FALSE)*(INDEX(02B_ESCENARIOS!$B$4:$D$11, MATCH("MULT_PRECIO", 02B_ESCENARIOS!$A$4:$A$11, 0), MATCH("Agresivo", 02B_ESCENARIOS!$B$3:$D$3, 0)))*INDEX(02B_ESCENARIOS!$B$15:$D$19, MATCH(VLOOKUP(A19,04_PROYECTOS!$A:$N,9,FALSE), 02B_ESCENARIOS!$A$15:$A$19, 0), MATCH("Agresivo", 02B_ESCENARIOS!$B$14:$D$14, 0))</f>
        <v/>
      </c>
      <c r="F19" s="52">
        <f>E19*VLOOKUP(A19,04_PROYECTOS!$A:$N,6,FALSE)</f>
        <v/>
      </c>
      <c r="G19" s="52">
        <f>E19+F19</f>
        <v/>
      </c>
      <c r="H19" s="19">
        <f>IF(VLOOKUP(A19,04_PROYECTOS!$A:$N,10,FALSE)="", IF(VLOOKUP(A19,04_PROYECTOS!$A:$N,4,FALSE)="Privado", INDEX(02B_ESCENARIOS!$B$4:$D$11, MATCH("DSO_PRIVADO_DEFAULT", 02B_ESCENARIOS!$A$4:$A$11, 0), MATCH("Agresivo", 02B_ESCENARIOS!$B$3:$D$3, 0)), IF(VLOOKUP(A19,04_PROYECTOS!$A:$N,4,FALSE)="Publico_&lt;10M",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VLOOKUP(A19,04_PROYECTOS!$A:$N,10,FALSE))</f>
        <v/>
      </c>
      <c r="I19" s="19">
        <f>ROUNDUP(H19/30,0)</f>
        <v/>
      </c>
      <c r="J19" s="53">
        <f>EDATE(C19,I19)</f>
        <v/>
      </c>
      <c r="K19" s="52">
        <f>G19</f>
        <v/>
      </c>
      <c r="L19" s="16" t="inlineStr">
        <is>
          <t>Inicio 50%</t>
        </is>
      </c>
      <c r="M19" s="16" t="inlineStr"/>
    </row>
    <row r="20">
      <c r="A20" s="16" t="inlineStr">
        <is>
          <t>PRJ-010</t>
        </is>
      </c>
      <c r="B20" s="18" t="n">
        <v>2</v>
      </c>
      <c r="C20" s="51" t="n">
        <v>46053</v>
      </c>
      <c r="D20" s="43" t="n">
        <v>0.5</v>
      </c>
      <c r="E20" s="52">
        <f>D20*VLOOKUP(A20,04_PROYECTOS!$A:$N,5,FALSE)*(INDEX(02B_ESCENARIOS!$B$4:$D$11, MATCH("MULT_PRECIO", 02B_ESCENARIOS!$A$4:$A$11, 0), MATCH("Agresivo", 02B_ESCENARIOS!$B$3:$D$3, 0)))*INDEX(02B_ESCENARIOS!$B$15:$D$19, MATCH(VLOOKUP(A20,04_PROYECTOS!$A:$N,9,FALSE), 02B_ESCENARIOS!$A$15:$A$19, 0), MATCH("Agresivo", 02B_ESCENARIOS!$B$14:$D$14, 0))</f>
        <v/>
      </c>
      <c r="F20" s="52">
        <f>E20*VLOOKUP(A20,04_PROYECTOS!$A:$N,6,FALSE)</f>
        <v/>
      </c>
      <c r="G20" s="52">
        <f>E20+F20</f>
        <v/>
      </c>
      <c r="H20" s="19">
        <f>IF(VLOOKUP(A20,04_PROYECTOS!$A:$N,10,FALSE)="", IF(VLOOKUP(A20,04_PROYECTOS!$A:$N,4,FALSE)="Privado", INDEX(02B_ESCENARIOS!$B$4:$D$11, MATCH("DSO_PRIVADO_DEFAULT", 02B_ESCENARIOS!$A$4:$A$11, 0), MATCH("Agresivo", 02B_ESCENARIOS!$B$3:$D$3, 0)), IF(VLOOKUP(A20,04_PROYECTOS!$A:$N,4,FALSE)="Publico_&lt;10M",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VLOOKUP(A20,04_PROYECTOS!$A:$N,10,FALSE))</f>
        <v/>
      </c>
      <c r="I20" s="19">
        <f>ROUNDUP(H20/30,0)</f>
        <v/>
      </c>
      <c r="J20" s="53">
        <f>EDATE(C20,I20)</f>
        <v/>
      </c>
      <c r="K20" s="52">
        <f>G20</f>
        <v/>
      </c>
      <c r="L20" s="16" t="inlineStr">
        <is>
          <t>Final 50%</t>
        </is>
      </c>
      <c r="M20" s="16" t="inlineStr"/>
    </row>
    <row r="21">
      <c r="A21" s="16" t="inlineStr">
        <is>
          <t>PRJ-011</t>
        </is>
      </c>
      <c r="B21" s="18" t="n">
        <v>1</v>
      </c>
      <c r="C21" s="51" t="n">
        <v>46112</v>
      </c>
      <c r="D21" s="43" t="n">
        <v>1</v>
      </c>
      <c r="E21" s="52">
        <f>D21*VLOOKUP(A21,04_PROYECTOS!$A:$N,5,FALSE)*(INDEX(02B_ESCENARIOS!$B$4:$D$11, MATCH("MULT_PRECIO", 02B_ESCENARIOS!$A$4:$A$11, 0), MATCH("Agresivo", 02B_ESCENARIOS!$B$3:$D$3, 0)))*INDEX(02B_ESCENARIOS!$B$15:$D$19, MATCH(VLOOKUP(A21,04_PROYECTOS!$A:$N,9,FALSE), 02B_ESCENARIOS!$A$15:$A$19, 0), MATCH("Agresivo", 02B_ESCENARIOS!$B$14:$D$14, 0))</f>
        <v/>
      </c>
      <c r="F21" s="52">
        <f>E21*VLOOKUP(A21,04_PROYECTOS!$A:$N,6,FALSE)</f>
        <v/>
      </c>
      <c r="G21" s="52">
        <f>E21+F21</f>
        <v/>
      </c>
      <c r="H21" s="19">
        <f>IF(VLOOKUP(A21,04_PROYECTOS!$A:$N,10,FALSE)="", IF(VLOOKUP(A21,04_PROYECTOS!$A:$N,4,FALSE)="Privado", INDEX(02B_ESCENARIOS!$B$4:$D$11, MATCH("DSO_PRIVADO_DEFAULT", 02B_ESCENARIOS!$A$4:$A$11, 0), MATCH("Agresivo", 02B_ESCENARIOS!$B$3:$D$3, 0)), IF(VLOOKUP(A21,04_PROYECTOS!$A:$N,4,FALSE)="Publico_&lt;10M",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VLOOKUP(A21,04_PROYECTOS!$A:$N,10,FALSE))</f>
        <v/>
      </c>
      <c r="I21" s="19">
        <f>ROUNDUP(H21/30,0)</f>
        <v/>
      </c>
      <c r="J21" s="53">
        <f>EDATE(C21,I21)</f>
        <v/>
      </c>
      <c r="K21" s="52">
        <f>G21</f>
        <v/>
      </c>
      <c r="L21" s="16" t="inlineStr">
        <is>
          <t>Pago final público &lt;10M</t>
        </is>
      </c>
      <c r="M21" s="16" t="inlineStr"/>
    </row>
    <row r="22">
      <c r="A22" s="16" t="inlineStr">
        <is>
          <t>PRJ-012</t>
        </is>
      </c>
      <c r="B22" s="18" t="n">
        <v>1</v>
      </c>
      <c r="C22" s="51" t="n">
        <v>46053</v>
      </c>
      <c r="D22" s="43" t="n">
        <v>1</v>
      </c>
      <c r="E22" s="52">
        <f>D22*VLOOKUP(A22,04_PROYECTOS!$A:$N,5,FALSE)*(INDEX(02B_ESCENARIOS!$B$4:$D$11, MATCH("MULT_PRECIO", 02B_ESCENARIOS!$A$4:$A$11, 0), MATCH("Agresivo", 02B_ESCENARIOS!$B$3:$D$3, 0)))*INDEX(02B_ESCENARIOS!$B$15:$D$19, MATCH(VLOOKUP(A22,04_PROYECTOS!$A:$N,9,FALSE), 02B_ESCENARIOS!$A$15:$A$19, 0), MATCH("Agresivo", 02B_ESCENARIOS!$B$14:$D$14, 0))</f>
        <v/>
      </c>
      <c r="F22" s="52">
        <f>E22*VLOOKUP(A22,04_PROYECTOS!$A:$N,6,FALSE)</f>
        <v/>
      </c>
      <c r="G22" s="52">
        <f>E22+F22</f>
        <v/>
      </c>
      <c r="H22" s="19">
        <f>IF(VLOOKUP(A22,04_PROYECTOS!$A:$N,10,FALSE)="", IF(VLOOKUP(A22,04_PROYECTOS!$A:$N,4,FALSE)="Privado", INDEX(02B_ESCENARIOS!$B$4:$D$11, MATCH("DSO_PRIVADO_DEFAULT", 02B_ESCENARIOS!$A$4:$A$11, 0), MATCH("Agresivo", 02B_ESCENARIOS!$B$3:$D$3, 0)), IF(VLOOKUP(A22,04_PROYECTOS!$A:$N,4,FALSE)="Publico_&lt;10M",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VLOOKUP(A22,04_PROYECTOS!$A:$N,10,FALSE))</f>
        <v/>
      </c>
      <c r="I22" s="19">
        <f>ROUNDUP(H22/30,0)</f>
        <v/>
      </c>
      <c r="J22" s="53">
        <f>EDATE(C22,I22)</f>
        <v/>
      </c>
      <c r="K22" s="52">
        <f>G22</f>
        <v/>
      </c>
      <c r="L22" s="16" t="inlineStr">
        <is>
          <t>Pago final público &lt;10M</t>
        </is>
      </c>
      <c r="M22" s="16" t="inlineStr"/>
    </row>
    <row r="23">
      <c r="A23" s="16" t="inlineStr">
        <is>
          <t>PRJ-013</t>
        </is>
      </c>
      <c r="B23" s="18" t="n">
        <v>1</v>
      </c>
      <c r="C23" s="51" t="n">
        <v>46081</v>
      </c>
      <c r="D23" s="43" t="n">
        <v>0.5</v>
      </c>
      <c r="E23" s="52">
        <f>D23*VLOOKUP(A23,04_PROYECTOS!$A:$N,5,FALSE)*(INDEX(02B_ESCENARIOS!$B$4:$D$11, MATCH("MULT_PRECIO", 02B_ESCENARIOS!$A$4:$A$11, 0), MATCH("Agresivo", 02B_ESCENARIOS!$B$3:$D$3, 0)))*INDEX(02B_ESCENARIOS!$B$15:$D$19, MATCH(VLOOKUP(A23,04_PROYECTOS!$A:$N,9,FALSE), 02B_ESCENARIOS!$A$15:$A$19, 0), MATCH("Agresivo", 02B_ESCENARIOS!$B$14:$D$14, 0))</f>
        <v/>
      </c>
      <c r="F23" s="52">
        <f>E23*VLOOKUP(A23,04_PROYECTOS!$A:$N,6,FALSE)</f>
        <v/>
      </c>
      <c r="G23" s="52">
        <f>E23+F23</f>
        <v/>
      </c>
      <c r="H23" s="19">
        <f>IF(VLOOKUP(A23,04_PROYECTOS!$A:$N,10,FALSE)="", IF(VLOOKUP(A23,04_PROYECTOS!$A:$N,4,FALSE)="Privado", INDEX(02B_ESCENARIOS!$B$4:$D$11, MATCH("DSO_PRIVADO_DEFAULT", 02B_ESCENARIOS!$A$4:$A$11, 0), MATCH("Agresivo", 02B_ESCENARIOS!$B$3:$D$3, 0)), IF(VLOOKUP(A23,04_PROYECTOS!$A:$N,4,FALSE)="Publico_&lt;10M",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VLOOKUP(A23,04_PROYECTOS!$A:$N,10,FALSE))</f>
        <v/>
      </c>
      <c r="I23" s="19">
        <f>ROUNDUP(H23/30,0)</f>
        <v/>
      </c>
      <c r="J23" s="53">
        <f>EDATE(C23,I23)</f>
        <v/>
      </c>
      <c r="K23" s="52">
        <f>G23</f>
        <v/>
      </c>
      <c r="L23" s="16" t="inlineStr">
        <is>
          <t>Inicio 50%</t>
        </is>
      </c>
      <c r="M23" s="16" t="inlineStr"/>
    </row>
    <row r="24">
      <c r="A24" s="16" t="inlineStr">
        <is>
          <t>PRJ-013</t>
        </is>
      </c>
      <c r="B24" s="18" t="n">
        <v>2</v>
      </c>
      <c r="C24" s="51" t="n">
        <v>46173</v>
      </c>
      <c r="D24" s="43" t="n">
        <v>0.5</v>
      </c>
      <c r="E24" s="52">
        <f>D24*VLOOKUP(A24,04_PROYECTOS!$A:$N,5,FALSE)*(INDEX(02B_ESCENARIOS!$B$4:$D$11, MATCH("MULT_PRECIO", 02B_ESCENARIOS!$A$4:$A$11, 0), MATCH("Agresivo", 02B_ESCENARIOS!$B$3:$D$3, 0)))*INDEX(02B_ESCENARIOS!$B$15:$D$19, MATCH(VLOOKUP(A24,04_PROYECTOS!$A:$N,9,FALSE), 02B_ESCENARIOS!$A$15:$A$19, 0), MATCH("Agresivo", 02B_ESCENARIOS!$B$14:$D$14, 0))</f>
        <v/>
      </c>
      <c r="F24" s="52">
        <f>E24*VLOOKUP(A24,04_PROYECTOS!$A:$N,6,FALSE)</f>
        <v/>
      </c>
      <c r="G24" s="52">
        <f>E24+F24</f>
        <v/>
      </c>
      <c r="H24" s="19">
        <f>IF(VLOOKUP(A24,04_PROYECTOS!$A:$N,10,FALSE)="", IF(VLOOKUP(A24,04_PROYECTOS!$A:$N,4,FALSE)="Privado", INDEX(02B_ESCENARIOS!$B$4:$D$11, MATCH("DSO_PRIVADO_DEFAULT", 02B_ESCENARIOS!$A$4:$A$11, 0), MATCH("Agresivo", 02B_ESCENARIOS!$B$3:$D$3, 0)), IF(VLOOKUP(A24,04_PROYECTOS!$A:$N,4,FALSE)="Publico_&lt;10M",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VLOOKUP(A24,04_PROYECTOS!$A:$N,10,FALSE))</f>
        <v/>
      </c>
      <c r="I24" s="19">
        <f>ROUNDUP(H24/30,0)</f>
        <v/>
      </c>
      <c r="J24" s="53">
        <f>EDATE(C24,I24)</f>
        <v/>
      </c>
      <c r="K24" s="52">
        <f>G24</f>
        <v/>
      </c>
      <c r="L24" s="16" t="inlineStr">
        <is>
          <t>Final 50%</t>
        </is>
      </c>
      <c r="M24" s="16" t="inlineStr"/>
    </row>
    <row r="25">
      <c r="A25" s="16" t="inlineStr">
        <is>
          <t>PRJ-014</t>
        </is>
      </c>
      <c r="B25" s="18" t="n">
        <v>1</v>
      </c>
      <c r="C25" s="51" t="n">
        <v>46081</v>
      </c>
      <c r="D25" s="43" t="n">
        <v>0.5</v>
      </c>
      <c r="E25" s="52">
        <f>D25*VLOOKUP(A25,04_PROYECTOS!$A:$N,5,FALSE)*(INDEX(02B_ESCENARIOS!$B$4:$D$11, MATCH("MULT_PRECIO", 02B_ESCENARIOS!$A$4:$A$11, 0), MATCH("Agresivo", 02B_ESCENARIOS!$B$3:$D$3, 0)))*INDEX(02B_ESCENARIOS!$B$15:$D$19, MATCH(VLOOKUP(A25,04_PROYECTOS!$A:$N,9,FALSE), 02B_ESCENARIOS!$A$15:$A$19, 0), MATCH("Agresivo", 02B_ESCENARIOS!$B$14:$D$14, 0))</f>
        <v/>
      </c>
      <c r="F25" s="52">
        <f>E25*VLOOKUP(A25,04_PROYECTOS!$A:$N,6,FALSE)</f>
        <v/>
      </c>
      <c r="G25" s="52">
        <f>E25+F25</f>
        <v/>
      </c>
      <c r="H25" s="19">
        <f>IF(VLOOKUP(A25,04_PROYECTOS!$A:$N,10,FALSE)="", IF(VLOOKUP(A25,04_PROYECTOS!$A:$N,4,FALSE)="Privado", INDEX(02B_ESCENARIOS!$B$4:$D$11, MATCH("DSO_PRIVADO_DEFAULT", 02B_ESCENARIOS!$A$4:$A$11, 0), MATCH("Agresivo", 02B_ESCENARIOS!$B$3:$D$3, 0)), IF(VLOOKUP(A25,04_PROYECTOS!$A:$N,4,FALSE)="Publico_&lt;10M",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VLOOKUP(A25,04_PROYECTOS!$A:$N,10,FALSE))</f>
        <v/>
      </c>
      <c r="I25" s="19">
        <f>ROUNDUP(H25/30,0)</f>
        <v/>
      </c>
      <c r="J25" s="53">
        <f>EDATE(C25,I25)</f>
        <v/>
      </c>
      <c r="K25" s="52">
        <f>G25</f>
        <v/>
      </c>
      <c r="L25" s="16" t="inlineStr">
        <is>
          <t>Inicio 50%</t>
        </is>
      </c>
      <c r="M25" s="16" t="inlineStr"/>
    </row>
    <row r="26">
      <c r="A26" s="16" t="inlineStr">
        <is>
          <t>PRJ-014</t>
        </is>
      </c>
      <c r="B26" s="18" t="n">
        <v>2</v>
      </c>
      <c r="C26" s="51" t="n">
        <v>46142</v>
      </c>
      <c r="D26" s="43" t="n">
        <v>0.5</v>
      </c>
      <c r="E26" s="52">
        <f>D26*VLOOKUP(A26,04_PROYECTOS!$A:$N,5,FALSE)*(INDEX(02B_ESCENARIOS!$B$4:$D$11, MATCH("MULT_PRECIO", 02B_ESCENARIOS!$A$4:$A$11, 0), MATCH("Agresivo", 02B_ESCENARIOS!$B$3:$D$3, 0)))*INDEX(02B_ESCENARIOS!$B$15:$D$19, MATCH(VLOOKUP(A26,04_PROYECTOS!$A:$N,9,FALSE), 02B_ESCENARIOS!$A$15:$A$19, 0), MATCH("Agresivo", 02B_ESCENARIOS!$B$14:$D$14, 0))</f>
        <v/>
      </c>
      <c r="F26" s="52">
        <f>E26*VLOOKUP(A26,04_PROYECTOS!$A:$N,6,FALSE)</f>
        <v/>
      </c>
      <c r="G26" s="52">
        <f>E26+F26</f>
        <v/>
      </c>
      <c r="H26" s="19">
        <f>IF(VLOOKUP(A26,04_PROYECTOS!$A:$N,10,FALSE)="", IF(VLOOKUP(A26,04_PROYECTOS!$A:$N,4,FALSE)="Privado", INDEX(02B_ESCENARIOS!$B$4:$D$11, MATCH("DSO_PRIVADO_DEFAULT", 02B_ESCENARIOS!$A$4:$A$11, 0), MATCH("Agresivo", 02B_ESCENARIOS!$B$3:$D$3, 0)), IF(VLOOKUP(A26,04_PROYECTOS!$A:$N,4,FALSE)="Publico_&lt;10M",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VLOOKUP(A26,04_PROYECTOS!$A:$N,10,FALSE))</f>
        <v/>
      </c>
      <c r="I26" s="19">
        <f>ROUNDUP(H26/30,0)</f>
        <v/>
      </c>
      <c r="J26" s="53">
        <f>EDATE(C26,I26)</f>
        <v/>
      </c>
      <c r="K26" s="52">
        <f>G26</f>
        <v/>
      </c>
      <c r="L26" s="16" t="inlineStr">
        <is>
          <t>Final 50%</t>
        </is>
      </c>
      <c r="M26" s="16" t="inlineStr"/>
    </row>
    <row r="27">
      <c r="A27" s="16" t="inlineStr">
        <is>
          <t>PRJ-015</t>
        </is>
      </c>
      <c r="B27" s="18" t="n">
        <v>1</v>
      </c>
      <c r="C27" s="51" t="n">
        <v>46112</v>
      </c>
      <c r="D27" s="43" t="n">
        <v>0.5</v>
      </c>
      <c r="E27" s="52">
        <f>D27*VLOOKUP(A27,04_PROYECTOS!$A:$N,5,FALSE)*(INDEX(02B_ESCENARIOS!$B$4:$D$11, MATCH("MULT_PRECIO", 02B_ESCENARIOS!$A$4:$A$11, 0), MATCH("Agresivo", 02B_ESCENARIOS!$B$3:$D$3, 0)))*INDEX(02B_ESCENARIOS!$B$15:$D$19, MATCH(VLOOKUP(A27,04_PROYECTOS!$A:$N,9,FALSE), 02B_ESCENARIOS!$A$15:$A$19, 0), MATCH("Agresivo", 02B_ESCENARIOS!$B$14:$D$14, 0))</f>
        <v/>
      </c>
      <c r="F27" s="52">
        <f>E27*VLOOKUP(A27,04_PROYECTOS!$A:$N,6,FALSE)</f>
        <v/>
      </c>
      <c r="G27" s="52">
        <f>E27+F27</f>
        <v/>
      </c>
      <c r="H27" s="19">
        <f>IF(VLOOKUP(A27,04_PROYECTOS!$A:$N,10,FALSE)="", IF(VLOOKUP(A27,04_PROYECTOS!$A:$N,4,FALSE)="Privado", INDEX(02B_ESCENARIOS!$B$4:$D$11, MATCH("DSO_PRIVADO_DEFAULT", 02B_ESCENARIOS!$A$4:$A$11, 0), MATCH("Agresivo", 02B_ESCENARIOS!$B$3:$D$3, 0)), IF(VLOOKUP(A27,04_PROYECTOS!$A:$N,4,FALSE)="Publico_&lt;10M",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VLOOKUP(A27,04_PROYECTOS!$A:$N,10,FALSE))</f>
        <v/>
      </c>
      <c r="I27" s="19">
        <f>ROUNDUP(H27/30,0)</f>
        <v/>
      </c>
      <c r="J27" s="53">
        <f>EDATE(C27,I27)</f>
        <v/>
      </c>
      <c r="K27" s="52">
        <f>G27</f>
        <v/>
      </c>
      <c r="L27" s="16" t="inlineStr">
        <is>
          <t>Inicio 50%</t>
        </is>
      </c>
      <c r="M27" s="16" t="inlineStr"/>
    </row>
    <row r="28">
      <c r="A28" s="16" t="inlineStr">
        <is>
          <t>PRJ-015</t>
        </is>
      </c>
      <c r="B28" s="18" t="n">
        <v>2</v>
      </c>
      <c r="C28" s="51" t="n">
        <v>46142</v>
      </c>
      <c r="D28" s="43" t="n">
        <v>0.5</v>
      </c>
      <c r="E28" s="52">
        <f>D28*VLOOKUP(A28,04_PROYECTOS!$A:$N,5,FALSE)*(INDEX(02B_ESCENARIOS!$B$4:$D$11, MATCH("MULT_PRECIO", 02B_ESCENARIOS!$A$4:$A$11, 0), MATCH("Agresivo", 02B_ESCENARIOS!$B$3:$D$3, 0)))*INDEX(02B_ESCENARIOS!$B$15:$D$19, MATCH(VLOOKUP(A28,04_PROYECTOS!$A:$N,9,FALSE), 02B_ESCENARIOS!$A$15:$A$19, 0), MATCH("Agresivo", 02B_ESCENARIOS!$B$14:$D$14, 0))</f>
        <v/>
      </c>
      <c r="F28" s="52">
        <f>E28*VLOOKUP(A28,04_PROYECTOS!$A:$N,6,FALSE)</f>
        <v/>
      </c>
      <c r="G28" s="52">
        <f>E28+F28</f>
        <v/>
      </c>
      <c r="H28" s="19">
        <f>IF(VLOOKUP(A28,04_PROYECTOS!$A:$N,10,FALSE)="", IF(VLOOKUP(A28,04_PROYECTOS!$A:$N,4,FALSE)="Privado", INDEX(02B_ESCENARIOS!$B$4:$D$11, MATCH("DSO_PRIVADO_DEFAULT", 02B_ESCENARIOS!$A$4:$A$11, 0), MATCH("Agresivo", 02B_ESCENARIOS!$B$3:$D$3, 0)), IF(VLOOKUP(A28,04_PROYECTOS!$A:$N,4,FALSE)="Publico_&lt;10M",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VLOOKUP(A28,04_PROYECTOS!$A:$N,10,FALSE))</f>
        <v/>
      </c>
      <c r="I28" s="19">
        <f>ROUNDUP(H28/30,0)</f>
        <v/>
      </c>
      <c r="J28" s="53">
        <f>EDATE(C28,I28)</f>
        <v/>
      </c>
      <c r="K28" s="52">
        <f>G28</f>
        <v/>
      </c>
      <c r="L28" s="16" t="inlineStr">
        <is>
          <t>Final 50%</t>
        </is>
      </c>
      <c r="M28" s="16" t="inlineStr"/>
    </row>
    <row r="29">
      <c r="A29" s="16" t="inlineStr">
        <is>
          <t>PRJ-016</t>
        </is>
      </c>
      <c r="B29" s="18" t="n">
        <v>1</v>
      </c>
      <c r="C29" s="51" t="n">
        <v>46112</v>
      </c>
      <c r="D29" s="43" t="n">
        <v>0.5</v>
      </c>
      <c r="E29" s="52">
        <f>D29*VLOOKUP(A29,04_PROYECTOS!$A:$N,5,FALSE)*(INDEX(02B_ESCENARIOS!$B$4:$D$11, MATCH("MULT_PRECIO", 02B_ESCENARIOS!$A$4:$A$11, 0), MATCH("Agresivo", 02B_ESCENARIOS!$B$3:$D$3, 0)))*INDEX(02B_ESCENARIOS!$B$15:$D$19, MATCH(VLOOKUP(A29,04_PROYECTOS!$A:$N,9,FALSE), 02B_ESCENARIOS!$A$15:$A$19, 0), MATCH("Agresivo", 02B_ESCENARIOS!$B$14:$D$14, 0))</f>
        <v/>
      </c>
      <c r="F29" s="52">
        <f>E29*VLOOKUP(A29,04_PROYECTOS!$A:$N,6,FALSE)</f>
        <v/>
      </c>
      <c r="G29" s="52">
        <f>E29+F29</f>
        <v/>
      </c>
      <c r="H29" s="19">
        <f>IF(VLOOKUP(A29,04_PROYECTOS!$A:$N,10,FALSE)="", IF(VLOOKUP(A29,04_PROYECTOS!$A:$N,4,FALSE)="Privado", INDEX(02B_ESCENARIOS!$B$4:$D$11, MATCH("DSO_PRIVADO_DEFAULT", 02B_ESCENARIOS!$A$4:$A$11, 0), MATCH("Agresivo", 02B_ESCENARIOS!$B$3:$D$3, 0)), IF(VLOOKUP(A29,04_PROYECTOS!$A:$N,4,FALSE)="Publico_&lt;10M",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VLOOKUP(A29,04_PROYECTOS!$A:$N,10,FALSE))</f>
        <v/>
      </c>
      <c r="I29" s="19">
        <f>ROUNDUP(H29/30,0)</f>
        <v/>
      </c>
      <c r="J29" s="53">
        <f>EDATE(C29,I29)</f>
        <v/>
      </c>
      <c r="K29" s="52">
        <f>G29</f>
        <v/>
      </c>
      <c r="L29" s="16" t="inlineStr">
        <is>
          <t>Inicio 50%</t>
        </is>
      </c>
      <c r="M29" s="16" t="inlineStr"/>
    </row>
    <row r="30">
      <c r="A30" s="16" t="inlineStr">
        <is>
          <t>PRJ-016</t>
        </is>
      </c>
      <c r="B30" s="18" t="n">
        <v>2</v>
      </c>
      <c r="C30" s="51" t="n">
        <v>46173</v>
      </c>
      <c r="D30" s="43" t="n">
        <v>0.5</v>
      </c>
      <c r="E30" s="52">
        <f>D30*VLOOKUP(A30,04_PROYECTOS!$A:$N,5,FALSE)*(INDEX(02B_ESCENARIOS!$B$4:$D$11, MATCH("MULT_PRECIO", 02B_ESCENARIOS!$A$4:$A$11, 0), MATCH("Agresivo", 02B_ESCENARIOS!$B$3:$D$3, 0)))*INDEX(02B_ESCENARIOS!$B$15:$D$19, MATCH(VLOOKUP(A30,04_PROYECTOS!$A:$N,9,FALSE), 02B_ESCENARIOS!$A$15:$A$19, 0), MATCH("Agresivo", 02B_ESCENARIOS!$B$14:$D$14, 0))</f>
        <v/>
      </c>
      <c r="F30" s="52">
        <f>E30*VLOOKUP(A30,04_PROYECTOS!$A:$N,6,FALSE)</f>
        <v/>
      </c>
      <c r="G30" s="52">
        <f>E30+F30</f>
        <v/>
      </c>
      <c r="H30" s="19">
        <f>IF(VLOOKUP(A30,04_PROYECTOS!$A:$N,10,FALSE)="", IF(VLOOKUP(A30,04_PROYECTOS!$A:$N,4,FALSE)="Privado", INDEX(02B_ESCENARIOS!$B$4:$D$11, MATCH("DSO_PRIVADO_DEFAULT", 02B_ESCENARIOS!$A$4:$A$11, 0), MATCH("Agresivo", 02B_ESCENARIOS!$B$3:$D$3, 0)), IF(VLOOKUP(A30,04_PROYECTOS!$A:$N,4,FALSE)="Publico_&lt;10M",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VLOOKUP(A30,04_PROYECTOS!$A:$N,10,FALSE))</f>
        <v/>
      </c>
      <c r="I30" s="19">
        <f>ROUNDUP(H30/30,0)</f>
        <v/>
      </c>
      <c r="J30" s="53">
        <f>EDATE(C30,I30)</f>
        <v/>
      </c>
      <c r="K30" s="52">
        <f>G30</f>
        <v/>
      </c>
      <c r="L30" s="16" t="inlineStr">
        <is>
          <t>Final 50%</t>
        </is>
      </c>
      <c r="M30" s="16" t="inlineStr"/>
    </row>
    <row r="31">
      <c r="A31" s="16" t="inlineStr">
        <is>
          <t>PRJ-017</t>
        </is>
      </c>
      <c r="B31" s="18" t="n">
        <v>1</v>
      </c>
      <c r="C31" s="51" t="n">
        <v>46081</v>
      </c>
      <c r="D31" s="43" t="n">
        <v>0.5</v>
      </c>
      <c r="E31" s="52">
        <f>D31*VLOOKUP(A31,04_PROYECTOS!$A:$N,5,FALSE)*(INDEX(02B_ESCENARIOS!$B$4:$D$11, MATCH("MULT_PRECIO", 02B_ESCENARIOS!$A$4:$A$11, 0), MATCH("Agresivo", 02B_ESCENARIOS!$B$3:$D$3, 0)))*INDEX(02B_ESCENARIOS!$B$15:$D$19, MATCH(VLOOKUP(A31,04_PROYECTOS!$A:$N,9,FALSE), 02B_ESCENARIOS!$A$15:$A$19, 0), MATCH("Agresivo", 02B_ESCENARIOS!$B$14:$D$14, 0))</f>
        <v/>
      </c>
      <c r="F31" s="52">
        <f>E31*VLOOKUP(A31,04_PROYECTOS!$A:$N,6,FALSE)</f>
        <v/>
      </c>
      <c r="G31" s="52">
        <f>E31+F31</f>
        <v/>
      </c>
      <c r="H31" s="19">
        <f>IF(VLOOKUP(A31,04_PROYECTOS!$A:$N,10,FALSE)="", IF(VLOOKUP(A31,04_PROYECTOS!$A:$N,4,FALSE)="Privado", INDEX(02B_ESCENARIOS!$B$4:$D$11, MATCH("DSO_PRIVADO_DEFAULT", 02B_ESCENARIOS!$A$4:$A$11, 0), MATCH("Agresivo", 02B_ESCENARIOS!$B$3:$D$3, 0)), IF(VLOOKUP(A31,04_PROYECTOS!$A:$N,4,FALSE)="Publico_&lt;10M",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VLOOKUP(A31,04_PROYECTOS!$A:$N,10,FALSE))</f>
        <v/>
      </c>
      <c r="I31" s="19">
        <f>ROUNDUP(H31/30,0)</f>
        <v/>
      </c>
      <c r="J31" s="53">
        <f>EDATE(C31,I31)</f>
        <v/>
      </c>
      <c r="K31" s="52">
        <f>G31</f>
        <v/>
      </c>
      <c r="L31" s="16" t="inlineStr">
        <is>
          <t>Inicio 50%</t>
        </is>
      </c>
      <c r="M31" s="16" t="inlineStr"/>
    </row>
    <row r="32">
      <c r="A32" s="16" t="inlineStr">
        <is>
          <t>PRJ-017</t>
        </is>
      </c>
      <c r="B32" s="18" t="n">
        <v>2</v>
      </c>
      <c r="C32" s="51" t="n">
        <v>46142</v>
      </c>
      <c r="D32" s="43" t="n">
        <v>0.5</v>
      </c>
      <c r="E32" s="52">
        <f>D32*VLOOKUP(A32,04_PROYECTOS!$A:$N,5,FALSE)*(INDEX(02B_ESCENARIOS!$B$4:$D$11, MATCH("MULT_PRECIO", 02B_ESCENARIOS!$A$4:$A$11, 0), MATCH("Agresivo", 02B_ESCENARIOS!$B$3:$D$3, 0)))*INDEX(02B_ESCENARIOS!$B$15:$D$19, MATCH(VLOOKUP(A32,04_PROYECTOS!$A:$N,9,FALSE), 02B_ESCENARIOS!$A$15:$A$19, 0), MATCH("Agresivo", 02B_ESCENARIOS!$B$14:$D$14, 0))</f>
        <v/>
      </c>
      <c r="F32" s="52">
        <f>E32*VLOOKUP(A32,04_PROYECTOS!$A:$N,6,FALSE)</f>
        <v/>
      </c>
      <c r="G32" s="52">
        <f>E32+F32</f>
        <v/>
      </c>
      <c r="H32" s="19">
        <f>IF(VLOOKUP(A32,04_PROYECTOS!$A:$N,10,FALSE)="", IF(VLOOKUP(A32,04_PROYECTOS!$A:$N,4,FALSE)="Privado", INDEX(02B_ESCENARIOS!$B$4:$D$11, MATCH("DSO_PRIVADO_DEFAULT", 02B_ESCENARIOS!$A$4:$A$11, 0), MATCH("Agresivo", 02B_ESCENARIOS!$B$3:$D$3, 0)), IF(VLOOKUP(A32,04_PROYECTOS!$A:$N,4,FALSE)="Publico_&lt;10M",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VLOOKUP(A32,04_PROYECTOS!$A:$N,10,FALSE))</f>
        <v/>
      </c>
      <c r="I32" s="19">
        <f>ROUNDUP(H32/30,0)</f>
        <v/>
      </c>
      <c r="J32" s="53">
        <f>EDATE(C32,I32)</f>
        <v/>
      </c>
      <c r="K32" s="52">
        <f>G32</f>
        <v/>
      </c>
      <c r="L32" s="16" t="inlineStr">
        <is>
          <t>Final 50%</t>
        </is>
      </c>
      <c r="M32" s="16" t="inlineStr"/>
    </row>
    <row r="33">
      <c r="A33" s="16" t="inlineStr">
        <is>
          <t>PRJ-018</t>
        </is>
      </c>
      <c r="B33" s="18" t="n">
        <v>1</v>
      </c>
      <c r="C33" s="51" t="n">
        <v>46053</v>
      </c>
      <c r="D33" s="43" t="n">
        <v>0.5</v>
      </c>
      <c r="E33" s="52">
        <f>D33*VLOOKUP(A33,04_PROYECTOS!$A:$N,5,FALSE)*(INDEX(02B_ESCENARIOS!$B$4:$D$11, MATCH("MULT_PRECIO", 02B_ESCENARIOS!$A$4:$A$11, 0), MATCH("Agresivo", 02B_ESCENARIOS!$B$3:$D$3, 0)))*INDEX(02B_ESCENARIOS!$B$15:$D$19, MATCH(VLOOKUP(A33,04_PROYECTOS!$A:$N,9,FALSE), 02B_ESCENARIOS!$A$15:$A$19, 0), MATCH("Agresivo", 02B_ESCENARIOS!$B$14:$D$14, 0))</f>
        <v/>
      </c>
      <c r="F33" s="52">
        <f>E33*VLOOKUP(A33,04_PROYECTOS!$A:$N,6,FALSE)</f>
        <v/>
      </c>
      <c r="G33" s="52">
        <f>E33+F33</f>
        <v/>
      </c>
      <c r="H33" s="19">
        <f>IF(VLOOKUP(A33,04_PROYECTOS!$A:$N,10,FALSE)="", IF(VLOOKUP(A33,04_PROYECTOS!$A:$N,4,FALSE)="Privado", INDEX(02B_ESCENARIOS!$B$4:$D$11, MATCH("DSO_PRIVADO_DEFAULT", 02B_ESCENARIOS!$A$4:$A$11, 0), MATCH("Agresivo", 02B_ESCENARIOS!$B$3:$D$3, 0)), IF(VLOOKUP(A33,04_PROYECTOS!$A:$N,4,FALSE)="Publico_&lt;10M",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VLOOKUP(A33,04_PROYECTOS!$A:$N,10,FALSE))</f>
        <v/>
      </c>
      <c r="I33" s="19">
        <f>ROUNDUP(H33/30,0)</f>
        <v/>
      </c>
      <c r="J33" s="53">
        <f>EDATE(C33,I33)</f>
        <v/>
      </c>
      <c r="K33" s="52">
        <f>G33</f>
        <v/>
      </c>
      <c r="L33" s="16" t="inlineStr">
        <is>
          <t>Inicio 50%</t>
        </is>
      </c>
      <c r="M33" s="16" t="inlineStr"/>
    </row>
    <row r="34">
      <c r="A34" s="16" t="inlineStr">
        <is>
          <t>PRJ-018</t>
        </is>
      </c>
      <c r="B34" s="18" t="n">
        <v>2</v>
      </c>
      <c r="C34" s="51" t="n">
        <v>46053</v>
      </c>
      <c r="D34" s="43" t="n">
        <v>0.5</v>
      </c>
      <c r="E34" s="52">
        <f>D34*VLOOKUP(A34,04_PROYECTOS!$A:$N,5,FALSE)*(INDEX(02B_ESCENARIOS!$B$4:$D$11, MATCH("MULT_PRECIO", 02B_ESCENARIOS!$A$4:$A$11, 0), MATCH("Agresivo", 02B_ESCENARIOS!$B$3:$D$3, 0)))*INDEX(02B_ESCENARIOS!$B$15:$D$19, MATCH(VLOOKUP(A34,04_PROYECTOS!$A:$N,9,FALSE), 02B_ESCENARIOS!$A$15:$A$19, 0), MATCH("Agresivo", 02B_ESCENARIOS!$B$14:$D$14, 0))</f>
        <v/>
      </c>
      <c r="F34" s="52">
        <f>E34*VLOOKUP(A34,04_PROYECTOS!$A:$N,6,FALSE)</f>
        <v/>
      </c>
      <c r="G34" s="52">
        <f>E34+F34</f>
        <v/>
      </c>
      <c r="H34" s="19">
        <f>IF(VLOOKUP(A34,04_PROYECTOS!$A:$N,10,FALSE)="", IF(VLOOKUP(A34,04_PROYECTOS!$A:$N,4,FALSE)="Privado", INDEX(02B_ESCENARIOS!$B$4:$D$11, MATCH("DSO_PRIVADO_DEFAULT", 02B_ESCENARIOS!$A$4:$A$11, 0), MATCH("Agresivo", 02B_ESCENARIOS!$B$3:$D$3, 0)), IF(VLOOKUP(A34,04_PROYECTOS!$A:$N,4,FALSE)="Publico_&lt;10M",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VLOOKUP(A34,04_PROYECTOS!$A:$N,10,FALSE))</f>
        <v/>
      </c>
      <c r="I34" s="19">
        <f>ROUNDUP(H34/30,0)</f>
        <v/>
      </c>
      <c r="J34" s="53">
        <f>EDATE(C34,I34)</f>
        <v/>
      </c>
      <c r="K34" s="52">
        <f>G34</f>
        <v/>
      </c>
      <c r="L34" s="16" t="inlineStr">
        <is>
          <t>Final 50%</t>
        </is>
      </c>
      <c r="M34" s="16" t="inlineStr"/>
    </row>
    <row r="35">
      <c r="A35" s="16" t="inlineStr">
        <is>
          <t>PRJ-019</t>
        </is>
      </c>
      <c r="B35" s="18" t="n">
        <v>1</v>
      </c>
      <c r="C35" s="51" t="n">
        <v>46081</v>
      </c>
      <c r="D35" s="43" t="n">
        <v>0.5</v>
      </c>
      <c r="E35" s="52">
        <f>D35*VLOOKUP(A35,04_PROYECTOS!$A:$N,5,FALSE)*(INDEX(02B_ESCENARIOS!$B$4:$D$11, MATCH("MULT_PRECIO", 02B_ESCENARIOS!$A$4:$A$11, 0), MATCH("Agresivo", 02B_ESCENARIOS!$B$3:$D$3, 0)))*INDEX(02B_ESCENARIOS!$B$15:$D$19, MATCH(VLOOKUP(A35,04_PROYECTOS!$A:$N,9,FALSE), 02B_ESCENARIOS!$A$15:$A$19, 0), MATCH("Agresivo", 02B_ESCENARIOS!$B$14:$D$14, 0))</f>
        <v/>
      </c>
      <c r="F35" s="52">
        <f>E35*VLOOKUP(A35,04_PROYECTOS!$A:$N,6,FALSE)</f>
        <v/>
      </c>
      <c r="G35" s="52">
        <f>E35+F35</f>
        <v/>
      </c>
      <c r="H35" s="19">
        <f>IF(VLOOKUP(A35,04_PROYECTOS!$A:$N,10,FALSE)="", IF(VLOOKUP(A35,04_PROYECTOS!$A:$N,4,FALSE)="Privado", INDEX(02B_ESCENARIOS!$B$4:$D$11, MATCH("DSO_PRIVADO_DEFAULT", 02B_ESCENARIOS!$A$4:$A$11, 0), MATCH("Agresivo", 02B_ESCENARIOS!$B$3:$D$3, 0)), IF(VLOOKUP(A35,04_PROYECTOS!$A:$N,4,FALSE)="Publico_&lt;10M",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VLOOKUP(A35,04_PROYECTOS!$A:$N,10,FALSE))</f>
        <v/>
      </c>
      <c r="I35" s="19">
        <f>ROUNDUP(H35/30,0)</f>
        <v/>
      </c>
      <c r="J35" s="53">
        <f>EDATE(C35,I35)</f>
        <v/>
      </c>
      <c r="K35" s="52">
        <f>G35</f>
        <v/>
      </c>
      <c r="L35" s="16" t="inlineStr">
        <is>
          <t>Inicio 50%</t>
        </is>
      </c>
      <c r="M35" s="16" t="inlineStr"/>
    </row>
    <row r="36">
      <c r="A36" s="16" t="inlineStr">
        <is>
          <t>PRJ-019</t>
        </is>
      </c>
      <c r="B36" s="18" t="n">
        <v>2</v>
      </c>
      <c r="C36" s="51" t="n">
        <v>46081</v>
      </c>
      <c r="D36" s="43" t="n">
        <v>0.5</v>
      </c>
      <c r="E36" s="52">
        <f>D36*VLOOKUP(A36,04_PROYECTOS!$A:$N,5,FALSE)*(INDEX(02B_ESCENARIOS!$B$4:$D$11, MATCH("MULT_PRECIO", 02B_ESCENARIOS!$A$4:$A$11, 0), MATCH("Agresivo", 02B_ESCENARIOS!$B$3:$D$3, 0)))*INDEX(02B_ESCENARIOS!$B$15:$D$19, MATCH(VLOOKUP(A36,04_PROYECTOS!$A:$N,9,FALSE), 02B_ESCENARIOS!$A$15:$A$19, 0), MATCH("Agresivo", 02B_ESCENARIOS!$B$14:$D$14, 0))</f>
        <v/>
      </c>
      <c r="F36" s="52">
        <f>E36*VLOOKUP(A36,04_PROYECTOS!$A:$N,6,FALSE)</f>
        <v/>
      </c>
      <c r="G36" s="52">
        <f>E36+F36</f>
        <v/>
      </c>
      <c r="H36" s="19">
        <f>IF(VLOOKUP(A36,04_PROYECTOS!$A:$N,10,FALSE)="", IF(VLOOKUP(A36,04_PROYECTOS!$A:$N,4,FALSE)="Privado", INDEX(02B_ESCENARIOS!$B$4:$D$11, MATCH("DSO_PRIVADO_DEFAULT", 02B_ESCENARIOS!$A$4:$A$11, 0), MATCH("Agresivo", 02B_ESCENARIOS!$B$3:$D$3, 0)), IF(VLOOKUP(A36,04_PROYECTOS!$A:$N,4,FALSE)="Publico_&lt;10M",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VLOOKUP(A36,04_PROYECTOS!$A:$N,10,FALSE))</f>
        <v/>
      </c>
      <c r="I36" s="19">
        <f>ROUNDUP(H36/30,0)</f>
        <v/>
      </c>
      <c r="J36" s="53">
        <f>EDATE(C36,I36)</f>
        <v/>
      </c>
      <c r="K36" s="52">
        <f>G36</f>
        <v/>
      </c>
      <c r="L36" s="16" t="inlineStr">
        <is>
          <t>Final 50%</t>
        </is>
      </c>
      <c r="M36" s="16" t="inlineStr"/>
    </row>
    <row r="37">
      <c r="A37" s="16" t="inlineStr">
        <is>
          <t>PRJ-020</t>
        </is>
      </c>
      <c r="B37" s="18" t="n">
        <v>1</v>
      </c>
      <c r="C37" s="51" t="n">
        <v>46053</v>
      </c>
      <c r="D37" s="43" t="n">
        <v>0.5</v>
      </c>
      <c r="E37" s="52">
        <f>D37*VLOOKUP(A37,04_PROYECTOS!$A:$N,5,FALSE)*(INDEX(02B_ESCENARIOS!$B$4:$D$11, MATCH("MULT_PRECIO", 02B_ESCENARIOS!$A$4:$A$11, 0), MATCH("Agresivo", 02B_ESCENARIOS!$B$3:$D$3, 0)))*INDEX(02B_ESCENARIOS!$B$15:$D$19, MATCH(VLOOKUP(A37,04_PROYECTOS!$A:$N,9,FALSE), 02B_ESCENARIOS!$A$15:$A$19, 0), MATCH("Agresivo", 02B_ESCENARIOS!$B$14:$D$14, 0))</f>
        <v/>
      </c>
      <c r="F37" s="52">
        <f>E37*VLOOKUP(A37,04_PROYECTOS!$A:$N,6,FALSE)</f>
        <v/>
      </c>
      <c r="G37" s="52">
        <f>E37+F37</f>
        <v/>
      </c>
      <c r="H37" s="19">
        <f>IF(VLOOKUP(A37,04_PROYECTOS!$A:$N,10,FALSE)="", IF(VLOOKUP(A37,04_PROYECTOS!$A:$N,4,FALSE)="Privado", INDEX(02B_ESCENARIOS!$B$4:$D$11, MATCH("DSO_PRIVADO_DEFAULT", 02B_ESCENARIOS!$A$4:$A$11, 0), MATCH("Agresivo", 02B_ESCENARIOS!$B$3:$D$3, 0)), IF(VLOOKUP(A37,04_PROYECTOS!$A:$N,4,FALSE)="Publico_&lt;10M",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VLOOKUP(A37,04_PROYECTOS!$A:$N,10,FALSE))</f>
        <v/>
      </c>
      <c r="I37" s="19">
        <f>ROUNDUP(H37/30,0)</f>
        <v/>
      </c>
      <c r="J37" s="53">
        <f>EDATE(C37,I37)</f>
        <v/>
      </c>
      <c r="K37" s="52">
        <f>G37</f>
        <v/>
      </c>
      <c r="L37" s="16" t="inlineStr">
        <is>
          <t>Inicio 50%</t>
        </is>
      </c>
      <c r="M37" s="16" t="inlineStr"/>
    </row>
    <row r="38">
      <c r="A38" s="16" t="inlineStr">
        <is>
          <t>PRJ-020</t>
        </is>
      </c>
      <c r="B38" s="18" t="n">
        <v>2</v>
      </c>
      <c r="C38" s="51" t="n">
        <v>46053</v>
      </c>
      <c r="D38" s="43" t="n">
        <v>0.5</v>
      </c>
      <c r="E38" s="52">
        <f>D38*VLOOKUP(A38,04_PROYECTOS!$A:$N,5,FALSE)*(INDEX(02B_ESCENARIOS!$B$4:$D$11, MATCH("MULT_PRECIO", 02B_ESCENARIOS!$A$4:$A$11, 0), MATCH("Agresivo", 02B_ESCENARIOS!$B$3:$D$3, 0)))*INDEX(02B_ESCENARIOS!$B$15:$D$19, MATCH(VLOOKUP(A38,04_PROYECTOS!$A:$N,9,FALSE), 02B_ESCENARIOS!$A$15:$A$19, 0), MATCH("Agresivo", 02B_ESCENARIOS!$B$14:$D$14, 0))</f>
        <v/>
      </c>
      <c r="F38" s="52">
        <f>E38*VLOOKUP(A38,04_PROYECTOS!$A:$N,6,FALSE)</f>
        <v/>
      </c>
      <c r="G38" s="52">
        <f>E38+F38</f>
        <v/>
      </c>
      <c r="H38" s="19">
        <f>IF(VLOOKUP(A38,04_PROYECTOS!$A:$N,10,FALSE)="", IF(VLOOKUP(A38,04_PROYECTOS!$A:$N,4,FALSE)="Privado", INDEX(02B_ESCENARIOS!$B$4:$D$11, MATCH("DSO_PRIVADO_DEFAULT", 02B_ESCENARIOS!$A$4:$A$11, 0), MATCH("Agresivo", 02B_ESCENARIOS!$B$3:$D$3, 0)), IF(VLOOKUP(A38,04_PROYECTOS!$A:$N,4,FALSE)="Publico_&lt;10M",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VLOOKUP(A38,04_PROYECTOS!$A:$N,10,FALSE))</f>
        <v/>
      </c>
      <c r="I38" s="19">
        <f>ROUNDUP(H38/30,0)</f>
        <v/>
      </c>
      <c r="J38" s="53">
        <f>EDATE(C38,I38)</f>
        <v/>
      </c>
      <c r="K38" s="52">
        <f>G38</f>
        <v/>
      </c>
      <c r="L38" s="16" t="inlineStr">
        <is>
          <t>Final 50%</t>
        </is>
      </c>
      <c r="M38" s="16" t="inlineStr"/>
    </row>
    <row r="39">
      <c r="A39" s="16" t="inlineStr">
        <is>
          <t>PRJ-021</t>
        </is>
      </c>
      <c r="B39" s="18" t="n">
        <v>1</v>
      </c>
      <c r="C39" s="51" t="n">
        <v>46053</v>
      </c>
      <c r="D39" s="43" t="n">
        <v>1</v>
      </c>
      <c r="E39" s="52">
        <f>D39*VLOOKUP(A39,04_PROYECTOS!$A:$N,5,FALSE)*(INDEX(02B_ESCENARIOS!$B$4:$D$11, MATCH("MULT_PRECIO", 02B_ESCENARIOS!$A$4:$A$11, 0), MATCH("Agresivo", 02B_ESCENARIOS!$B$3:$D$3, 0)))*INDEX(02B_ESCENARIOS!$B$15:$D$19, MATCH(VLOOKUP(A39,04_PROYECTOS!$A:$N,9,FALSE), 02B_ESCENARIOS!$A$15:$A$19, 0), MATCH("Agresivo", 02B_ESCENARIOS!$B$14:$D$14, 0))</f>
        <v/>
      </c>
      <c r="F39" s="52">
        <f>E39*VLOOKUP(A39,04_PROYECTOS!$A:$N,6,FALSE)</f>
        <v/>
      </c>
      <c r="G39" s="52">
        <f>E39+F39</f>
        <v/>
      </c>
      <c r="H39" s="19">
        <f>IF(VLOOKUP(A39,04_PROYECTOS!$A:$N,10,FALSE)="", IF(VLOOKUP(A39,04_PROYECTOS!$A:$N,4,FALSE)="Privado", INDEX(02B_ESCENARIOS!$B$4:$D$11, MATCH("DSO_PRIVADO_DEFAULT", 02B_ESCENARIOS!$A$4:$A$11, 0), MATCH("Agresivo", 02B_ESCENARIOS!$B$3:$D$3, 0)), IF(VLOOKUP(A39,04_PROYECTOS!$A:$N,4,FALSE)="Publico_&lt;10M",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VLOOKUP(A39,04_PROYECTOS!$A:$N,10,FALSE))</f>
        <v/>
      </c>
      <c r="I39" s="19">
        <f>ROUNDUP(H39/30,0)</f>
        <v/>
      </c>
      <c r="J39" s="53">
        <f>EDATE(C39,I39)</f>
        <v/>
      </c>
      <c r="K39" s="52">
        <f>G39</f>
        <v/>
      </c>
      <c r="L39" s="16" t="inlineStr">
        <is>
          <t>Pago final público &lt;10M</t>
        </is>
      </c>
      <c r="M39" s="16" t="inlineStr"/>
    </row>
    <row r="40">
      <c r="A40" s="16" t="inlineStr">
        <is>
          <t>PRJ-022</t>
        </is>
      </c>
      <c r="B40" s="18" t="n">
        <v>1</v>
      </c>
      <c r="C40" s="51" t="n">
        <v>46053</v>
      </c>
      <c r="D40" s="43" t="n">
        <v>1</v>
      </c>
      <c r="E40" s="52">
        <f>D40*VLOOKUP(A40,04_PROYECTOS!$A:$N,5,FALSE)*(INDEX(02B_ESCENARIOS!$B$4:$D$11, MATCH("MULT_PRECIO", 02B_ESCENARIOS!$A$4:$A$11, 0), MATCH("Agresivo", 02B_ESCENARIOS!$B$3:$D$3, 0)))*INDEX(02B_ESCENARIOS!$B$15:$D$19, MATCH(VLOOKUP(A40,04_PROYECTOS!$A:$N,9,FALSE), 02B_ESCENARIOS!$A$15:$A$19, 0), MATCH("Agresivo", 02B_ESCENARIOS!$B$14:$D$14, 0))</f>
        <v/>
      </c>
      <c r="F40" s="52">
        <f>E40*VLOOKUP(A40,04_PROYECTOS!$A:$N,6,FALSE)</f>
        <v/>
      </c>
      <c r="G40" s="52">
        <f>E40+F40</f>
        <v/>
      </c>
      <c r="H40" s="19">
        <f>IF(VLOOKUP(A40,04_PROYECTOS!$A:$N,10,FALSE)="", IF(VLOOKUP(A40,04_PROYECTOS!$A:$N,4,FALSE)="Privado", INDEX(02B_ESCENARIOS!$B$4:$D$11, MATCH("DSO_PRIVADO_DEFAULT", 02B_ESCENARIOS!$A$4:$A$11, 0), MATCH("Agresivo", 02B_ESCENARIOS!$B$3:$D$3, 0)), IF(VLOOKUP(A40,04_PROYECTOS!$A:$N,4,FALSE)="Publico_&lt;10M",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VLOOKUP(A40,04_PROYECTOS!$A:$N,10,FALSE))</f>
        <v/>
      </c>
      <c r="I40" s="19">
        <f>ROUNDUP(H40/30,0)</f>
        <v/>
      </c>
      <c r="J40" s="53">
        <f>EDATE(C40,I40)</f>
        <v/>
      </c>
      <c r="K40" s="52">
        <f>G40</f>
        <v/>
      </c>
      <c r="L40" s="16" t="inlineStr">
        <is>
          <t>Pago final público &lt;10M</t>
        </is>
      </c>
      <c r="M40" s="16" t="inlineStr"/>
    </row>
    <row r="41">
      <c r="A41" s="16" t="inlineStr">
        <is>
          <t>PRJ-023</t>
        </is>
      </c>
      <c r="B41" s="18" t="n">
        <v>1</v>
      </c>
      <c r="C41" s="51" t="n">
        <v>46053</v>
      </c>
      <c r="D41" s="43" t="n">
        <v>1</v>
      </c>
      <c r="E41" s="52">
        <f>D41*VLOOKUP(A41,04_PROYECTOS!$A:$N,5,FALSE)*(INDEX(02B_ESCENARIOS!$B$4:$D$11, MATCH("MULT_PRECIO", 02B_ESCENARIOS!$A$4:$A$11, 0), MATCH("Agresivo", 02B_ESCENARIOS!$B$3:$D$3, 0)))*INDEX(02B_ESCENARIOS!$B$15:$D$19, MATCH(VLOOKUP(A41,04_PROYECTOS!$A:$N,9,FALSE), 02B_ESCENARIOS!$A$15:$A$19, 0), MATCH("Agresivo", 02B_ESCENARIOS!$B$14:$D$14, 0))</f>
        <v/>
      </c>
      <c r="F41" s="52">
        <f>E41*VLOOKUP(A41,04_PROYECTOS!$A:$N,6,FALSE)</f>
        <v/>
      </c>
      <c r="G41" s="52">
        <f>E41+F41</f>
        <v/>
      </c>
      <c r="H41" s="19">
        <f>IF(VLOOKUP(A41,04_PROYECTOS!$A:$N,10,FALSE)="", IF(VLOOKUP(A41,04_PROYECTOS!$A:$N,4,FALSE)="Privado", INDEX(02B_ESCENARIOS!$B$4:$D$11, MATCH("DSO_PRIVADO_DEFAULT", 02B_ESCENARIOS!$A$4:$A$11, 0), MATCH("Agresivo", 02B_ESCENARIOS!$B$3:$D$3, 0)), IF(VLOOKUP(A41,04_PROYECTOS!$A:$N,4,FALSE)="Publico_&lt;10M",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VLOOKUP(A41,04_PROYECTOS!$A:$N,10,FALSE))</f>
        <v/>
      </c>
      <c r="I41" s="19">
        <f>ROUNDUP(H41/30,0)</f>
        <v/>
      </c>
      <c r="J41" s="53">
        <f>EDATE(C41,I41)</f>
        <v/>
      </c>
      <c r="K41" s="52">
        <f>G41</f>
        <v/>
      </c>
      <c r="L41" s="16" t="inlineStr">
        <is>
          <t>Pago final público &lt;10M</t>
        </is>
      </c>
      <c r="M41" s="16" t="inlineStr"/>
    </row>
    <row r="42">
      <c r="A42" s="16" t="inlineStr">
        <is>
          <t>PRJ-024</t>
        </is>
      </c>
      <c r="B42" s="18" t="n">
        <v>1</v>
      </c>
      <c r="C42" s="51" t="n">
        <v>46112</v>
      </c>
      <c r="D42" s="43" t="n">
        <v>0.5</v>
      </c>
      <c r="E42" s="52">
        <f>D42*VLOOKUP(A42,04_PROYECTOS!$A:$N,5,FALSE)*(INDEX(02B_ESCENARIOS!$B$4:$D$11, MATCH("MULT_PRECIO", 02B_ESCENARIOS!$A$4:$A$11, 0), MATCH("Agresivo", 02B_ESCENARIOS!$B$3:$D$3, 0)))*INDEX(02B_ESCENARIOS!$B$15:$D$19, MATCH(VLOOKUP(A42,04_PROYECTOS!$A:$N,9,FALSE), 02B_ESCENARIOS!$A$15:$A$19, 0), MATCH("Agresivo", 02B_ESCENARIOS!$B$14:$D$14, 0))</f>
        <v/>
      </c>
      <c r="F42" s="52">
        <f>E42*VLOOKUP(A42,04_PROYECTOS!$A:$N,6,FALSE)</f>
        <v/>
      </c>
      <c r="G42" s="52">
        <f>E42+F42</f>
        <v/>
      </c>
      <c r="H42" s="19">
        <f>IF(VLOOKUP(A42,04_PROYECTOS!$A:$N,10,FALSE)="", IF(VLOOKUP(A42,04_PROYECTOS!$A:$N,4,FALSE)="Privado", INDEX(02B_ESCENARIOS!$B$4:$D$11, MATCH("DSO_PRIVADO_DEFAULT", 02B_ESCENARIOS!$A$4:$A$11, 0), MATCH("Agresivo", 02B_ESCENARIOS!$B$3:$D$3, 0)), IF(VLOOKUP(A42,04_PROYECTOS!$A:$N,4,FALSE)="Publico_&lt;10M",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VLOOKUP(A42,04_PROYECTOS!$A:$N,10,FALSE))</f>
        <v/>
      </c>
      <c r="I42" s="19">
        <f>ROUNDUP(H42/30,0)</f>
        <v/>
      </c>
      <c r="J42" s="53">
        <f>EDATE(C42,I42)</f>
        <v/>
      </c>
      <c r="K42" s="52">
        <f>G42</f>
        <v/>
      </c>
      <c r="L42" s="16" t="inlineStr">
        <is>
          <t>Inicio 50%</t>
        </is>
      </c>
      <c r="M42" s="16" t="inlineStr"/>
    </row>
    <row r="43">
      <c r="A43" s="16" t="inlineStr">
        <is>
          <t>PRJ-024</t>
        </is>
      </c>
      <c r="B43" s="18" t="n">
        <v>2</v>
      </c>
      <c r="C43" s="51" t="n">
        <v>46112</v>
      </c>
      <c r="D43" s="43" t="n">
        <v>0.5</v>
      </c>
      <c r="E43" s="52">
        <f>D43*VLOOKUP(A43,04_PROYECTOS!$A:$N,5,FALSE)*(INDEX(02B_ESCENARIOS!$B$4:$D$11, MATCH("MULT_PRECIO", 02B_ESCENARIOS!$A$4:$A$11, 0), MATCH("Agresivo", 02B_ESCENARIOS!$B$3:$D$3, 0)))*INDEX(02B_ESCENARIOS!$B$15:$D$19, MATCH(VLOOKUP(A43,04_PROYECTOS!$A:$N,9,FALSE), 02B_ESCENARIOS!$A$15:$A$19, 0), MATCH("Agresivo", 02B_ESCENARIOS!$B$14:$D$14, 0))</f>
        <v/>
      </c>
      <c r="F43" s="52">
        <f>E43*VLOOKUP(A43,04_PROYECTOS!$A:$N,6,FALSE)</f>
        <v/>
      </c>
      <c r="G43" s="52">
        <f>E43+F43</f>
        <v/>
      </c>
      <c r="H43" s="19">
        <f>IF(VLOOKUP(A43,04_PROYECTOS!$A:$N,10,FALSE)="", IF(VLOOKUP(A43,04_PROYECTOS!$A:$N,4,FALSE)="Privado", INDEX(02B_ESCENARIOS!$B$4:$D$11, MATCH("DSO_PRIVADO_DEFAULT", 02B_ESCENARIOS!$A$4:$A$11, 0), MATCH("Agresivo", 02B_ESCENARIOS!$B$3:$D$3, 0)), IF(VLOOKUP(A43,04_PROYECTOS!$A:$N,4,FALSE)="Publico_&lt;10M",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VLOOKUP(A43,04_PROYECTOS!$A:$N,10,FALSE))</f>
        <v/>
      </c>
      <c r="I43" s="19">
        <f>ROUNDUP(H43/30,0)</f>
        <v/>
      </c>
      <c r="J43" s="53">
        <f>EDATE(C43,I43)</f>
        <v/>
      </c>
      <c r="K43" s="52">
        <f>G43</f>
        <v/>
      </c>
      <c r="L43" s="16" t="inlineStr">
        <is>
          <t>Final 50%</t>
        </is>
      </c>
      <c r="M43" s="16" t="inlineStr"/>
    </row>
    <row r="44">
      <c r="A44" s="16" t="inlineStr">
        <is>
          <t>PRJ-025</t>
        </is>
      </c>
      <c r="B44" s="18" t="n">
        <v>1</v>
      </c>
      <c r="C44" s="51" t="n">
        <v>46173</v>
      </c>
      <c r="D44" s="43" t="n">
        <v>0.5</v>
      </c>
      <c r="E44" s="52">
        <f>D44*VLOOKUP(A44,04_PROYECTOS!$A:$N,5,FALSE)*(INDEX(02B_ESCENARIOS!$B$4:$D$11, MATCH("MULT_PRECIO", 02B_ESCENARIOS!$A$4:$A$11, 0), MATCH("Agresivo", 02B_ESCENARIOS!$B$3:$D$3, 0)))*INDEX(02B_ESCENARIOS!$B$15:$D$19, MATCH(VLOOKUP(A44,04_PROYECTOS!$A:$N,9,FALSE), 02B_ESCENARIOS!$A$15:$A$19, 0), MATCH("Agresivo", 02B_ESCENARIOS!$B$14:$D$14, 0))</f>
        <v/>
      </c>
      <c r="F44" s="52">
        <f>E44*VLOOKUP(A44,04_PROYECTOS!$A:$N,6,FALSE)</f>
        <v/>
      </c>
      <c r="G44" s="52">
        <f>E44+F44</f>
        <v/>
      </c>
      <c r="H44" s="19">
        <f>IF(VLOOKUP(A44,04_PROYECTOS!$A:$N,10,FALSE)="", IF(VLOOKUP(A44,04_PROYECTOS!$A:$N,4,FALSE)="Privado", INDEX(02B_ESCENARIOS!$B$4:$D$11, MATCH("DSO_PRIVADO_DEFAULT", 02B_ESCENARIOS!$A$4:$A$11, 0), MATCH("Agresivo", 02B_ESCENARIOS!$B$3:$D$3, 0)), IF(VLOOKUP(A44,04_PROYECTOS!$A:$N,4,FALSE)="Publico_&lt;10M",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VLOOKUP(A44,04_PROYECTOS!$A:$N,10,FALSE))</f>
        <v/>
      </c>
      <c r="I44" s="19">
        <f>ROUNDUP(H44/30,0)</f>
        <v/>
      </c>
      <c r="J44" s="53">
        <f>EDATE(C44,I44)</f>
        <v/>
      </c>
      <c r="K44" s="52">
        <f>G44</f>
        <v/>
      </c>
      <c r="L44" s="16" t="inlineStr">
        <is>
          <t>Inicio 50%</t>
        </is>
      </c>
      <c r="M44" s="16" t="inlineStr"/>
    </row>
    <row r="45">
      <c r="A45" s="16" t="inlineStr">
        <is>
          <t>PRJ-025</t>
        </is>
      </c>
      <c r="B45" s="18" t="n">
        <v>2</v>
      </c>
      <c r="C45" s="51" t="n">
        <v>46173</v>
      </c>
      <c r="D45" s="43" t="n">
        <v>0.5</v>
      </c>
      <c r="E45" s="52">
        <f>D45*VLOOKUP(A45,04_PROYECTOS!$A:$N,5,FALSE)*(INDEX(02B_ESCENARIOS!$B$4:$D$11, MATCH("MULT_PRECIO", 02B_ESCENARIOS!$A$4:$A$11, 0), MATCH("Agresivo", 02B_ESCENARIOS!$B$3:$D$3, 0)))*INDEX(02B_ESCENARIOS!$B$15:$D$19, MATCH(VLOOKUP(A45,04_PROYECTOS!$A:$N,9,FALSE), 02B_ESCENARIOS!$A$15:$A$19, 0), MATCH("Agresivo", 02B_ESCENARIOS!$B$14:$D$14, 0))</f>
        <v/>
      </c>
      <c r="F45" s="52">
        <f>E45*VLOOKUP(A45,04_PROYECTOS!$A:$N,6,FALSE)</f>
        <v/>
      </c>
      <c r="G45" s="52">
        <f>E45+F45</f>
        <v/>
      </c>
      <c r="H45" s="19">
        <f>IF(VLOOKUP(A45,04_PROYECTOS!$A:$N,10,FALSE)="", IF(VLOOKUP(A45,04_PROYECTOS!$A:$N,4,FALSE)="Privado", INDEX(02B_ESCENARIOS!$B$4:$D$11, MATCH("DSO_PRIVADO_DEFAULT", 02B_ESCENARIOS!$A$4:$A$11, 0), MATCH("Agresivo", 02B_ESCENARIOS!$B$3:$D$3, 0)), IF(VLOOKUP(A45,04_PROYECTOS!$A:$N,4,FALSE)="Publico_&lt;10M",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VLOOKUP(A45,04_PROYECTOS!$A:$N,10,FALSE))</f>
        <v/>
      </c>
      <c r="I45" s="19">
        <f>ROUNDUP(H45/30,0)</f>
        <v/>
      </c>
      <c r="J45" s="53">
        <f>EDATE(C45,I45)</f>
        <v/>
      </c>
      <c r="K45" s="52">
        <f>G45</f>
        <v/>
      </c>
      <c r="L45" s="16" t="inlineStr">
        <is>
          <t>Final 50%</t>
        </is>
      </c>
      <c r="M45" s="16" t="inlineStr"/>
    </row>
    <row r="46">
      <c r="E46">
        <f>D46*VLOOKUP(A46,04_PROYECTOS!$A:$N,5,FALSE)*(INDEX(02B_ESCENARIOS!$B$4:$D$11, MATCH("MULT_PRECIO", 02B_ESCENARIOS!$A$4:$A$11, 0), MATCH("Agresivo", 02B_ESCENARIOS!$B$3:$D$3, 0)))*INDEX(02B_ESCENARIOS!$B$15:$D$19, MATCH(VLOOKUP(A46,04_PROYECTOS!$A:$N,9,FALSE), 02B_ESCENARIOS!$A$15:$A$19, 0), MATCH("Agresivo", 02B_ESCENARIOS!$B$14:$D$14, 0))</f>
        <v/>
      </c>
      <c r="F46">
        <f>E46*VLOOKUP(A46,04_PROYECTOS!$A:$N,6,FALSE)</f>
        <v/>
      </c>
      <c r="G46">
        <f>E46+F46</f>
        <v/>
      </c>
      <c r="H46">
        <f>IF(VLOOKUP(A46,04_PROYECTOS!$A:$N,10,FALSE)="", IF(VLOOKUP(A46,04_PROYECTOS!$A:$N,4,FALSE)="Privado", INDEX(02B_ESCENARIOS!$B$4:$D$11, MATCH("DSO_PRIVADO_DEFAULT", 02B_ESCENARIOS!$A$4:$A$11, 0), MATCH("Agresivo", 02B_ESCENARIOS!$B$3:$D$3, 0)), IF(VLOOKUP(A46,04_PROYECTOS!$A:$N,4,FALSE)="Publico_&lt;10M",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VLOOKUP(A46,04_PROYECTOS!$A:$N,10,FALSE))</f>
        <v/>
      </c>
      <c r="I46">
        <f>ROUNDUP(H46/30,0)</f>
        <v/>
      </c>
      <c r="J46">
        <f>EDATE(C46,I46)</f>
        <v/>
      </c>
      <c r="K46">
        <f>G46</f>
        <v/>
      </c>
    </row>
    <row r="47">
      <c r="E47">
        <f>D47*VLOOKUP(A47,04_PROYECTOS!$A:$N,5,FALSE)*(INDEX(02B_ESCENARIOS!$B$4:$D$11, MATCH("MULT_PRECIO", 02B_ESCENARIOS!$A$4:$A$11, 0), MATCH("Agresivo", 02B_ESCENARIOS!$B$3:$D$3, 0)))*INDEX(02B_ESCENARIOS!$B$15:$D$19, MATCH(VLOOKUP(A47,04_PROYECTOS!$A:$N,9,FALSE), 02B_ESCENARIOS!$A$15:$A$19, 0), MATCH("Agresivo", 02B_ESCENARIOS!$B$14:$D$14, 0))</f>
        <v/>
      </c>
      <c r="F47">
        <f>E47*VLOOKUP(A47,04_PROYECTOS!$A:$N,6,FALSE)</f>
        <v/>
      </c>
      <c r="G47">
        <f>E47+F47</f>
        <v/>
      </c>
      <c r="H47">
        <f>IF(VLOOKUP(A47,04_PROYECTOS!$A:$N,10,FALSE)="", IF(VLOOKUP(A47,04_PROYECTOS!$A:$N,4,FALSE)="Privado", INDEX(02B_ESCENARIOS!$B$4:$D$11, MATCH("DSO_PRIVADO_DEFAULT", 02B_ESCENARIOS!$A$4:$A$11, 0), MATCH("Agresivo", 02B_ESCENARIOS!$B$3:$D$3, 0)), IF(VLOOKUP(A47,04_PROYECTOS!$A:$N,4,FALSE)="Publico_&lt;10M",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VLOOKUP(A47,04_PROYECTOS!$A:$N,10,FALSE))</f>
        <v/>
      </c>
      <c r="I47">
        <f>ROUNDUP(H47/30,0)</f>
        <v/>
      </c>
      <c r="J47">
        <f>EDATE(C47,I47)</f>
        <v/>
      </c>
      <c r="K47">
        <f>G47</f>
        <v/>
      </c>
    </row>
    <row r="48">
      <c r="E48">
        <f>D48*VLOOKUP(A48,04_PROYECTOS!$A:$N,5,FALSE)*(INDEX(02B_ESCENARIOS!$B$4:$D$11, MATCH("MULT_PRECIO", 02B_ESCENARIOS!$A$4:$A$11, 0), MATCH("Agresivo", 02B_ESCENARIOS!$B$3:$D$3, 0)))*INDEX(02B_ESCENARIOS!$B$15:$D$19, MATCH(VLOOKUP(A48,04_PROYECTOS!$A:$N,9,FALSE), 02B_ESCENARIOS!$A$15:$A$19, 0), MATCH("Agresivo", 02B_ESCENARIOS!$B$14:$D$14, 0))</f>
        <v/>
      </c>
      <c r="F48">
        <f>E48*VLOOKUP(A48,04_PROYECTOS!$A:$N,6,FALSE)</f>
        <v/>
      </c>
      <c r="G48">
        <f>E48+F48</f>
        <v/>
      </c>
      <c r="H48">
        <f>IF(VLOOKUP(A48,04_PROYECTOS!$A:$N,10,FALSE)="", IF(VLOOKUP(A48,04_PROYECTOS!$A:$N,4,FALSE)="Privado", INDEX(02B_ESCENARIOS!$B$4:$D$11, MATCH("DSO_PRIVADO_DEFAULT", 02B_ESCENARIOS!$A$4:$A$11, 0), MATCH("Agresivo", 02B_ESCENARIOS!$B$3:$D$3, 0)), IF(VLOOKUP(A48,04_PROYECTOS!$A:$N,4,FALSE)="Publico_&lt;10M",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VLOOKUP(A48,04_PROYECTOS!$A:$N,10,FALSE))</f>
        <v/>
      </c>
      <c r="I48">
        <f>ROUNDUP(H48/30,0)</f>
        <v/>
      </c>
      <c r="J48">
        <f>EDATE(C48,I48)</f>
        <v/>
      </c>
      <c r="K48">
        <f>G48</f>
        <v/>
      </c>
    </row>
    <row r="49">
      <c r="E49">
        <f>D49*VLOOKUP(A49,04_PROYECTOS!$A:$N,5,FALSE)*(INDEX(02B_ESCENARIOS!$B$4:$D$11, MATCH("MULT_PRECIO", 02B_ESCENARIOS!$A$4:$A$11, 0), MATCH("Agresivo", 02B_ESCENARIOS!$B$3:$D$3, 0)))*INDEX(02B_ESCENARIOS!$B$15:$D$19, MATCH(VLOOKUP(A49,04_PROYECTOS!$A:$N,9,FALSE), 02B_ESCENARIOS!$A$15:$A$19, 0), MATCH("Agresivo", 02B_ESCENARIOS!$B$14:$D$14, 0))</f>
        <v/>
      </c>
      <c r="F49">
        <f>E49*VLOOKUP(A49,04_PROYECTOS!$A:$N,6,FALSE)</f>
        <v/>
      </c>
      <c r="G49">
        <f>E49+F49</f>
        <v/>
      </c>
      <c r="H49">
        <f>IF(VLOOKUP(A49,04_PROYECTOS!$A:$N,10,FALSE)="", IF(VLOOKUP(A49,04_PROYECTOS!$A:$N,4,FALSE)="Privado", INDEX(02B_ESCENARIOS!$B$4:$D$11, MATCH("DSO_PRIVADO_DEFAULT", 02B_ESCENARIOS!$A$4:$A$11, 0), MATCH("Agresivo", 02B_ESCENARIOS!$B$3:$D$3, 0)), IF(VLOOKUP(A49,04_PROYECTOS!$A:$N,4,FALSE)="Publico_&lt;10M",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VLOOKUP(A49,04_PROYECTOS!$A:$N,10,FALSE))</f>
        <v/>
      </c>
      <c r="I49">
        <f>ROUNDUP(H49/30,0)</f>
        <v/>
      </c>
      <c r="J49">
        <f>EDATE(C49,I49)</f>
        <v/>
      </c>
      <c r="K49">
        <f>G49</f>
        <v/>
      </c>
    </row>
    <row r="50">
      <c r="E50">
        <f>D50*VLOOKUP(A50,04_PROYECTOS!$A:$N,5,FALSE)*(INDEX(02B_ESCENARIOS!$B$4:$D$11, MATCH("MULT_PRECIO", 02B_ESCENARIOS!$A$4:$A$11, 0), MATCH("Agresivo", 02B_ESCENARIOS!$B$3:$D$3, 0)))*INDEX(02B_ESCENARIOS!$B$15:$D$19, MATCH(VLOOKUP(A50,04_PROYECTOS!$A:$N,9,FALSE), 02B_ESCENARIOS!$A$15:$A$19, 0), MATCH("Agresivo", 02B_ESCENARIOS!$B$14:$D$14, 0))</f>
        <v/>
      </c>
      <c r="F50">
        <f>E50*VLOOKUP(A50,04_PROYECTOS!$A:$N,6,FALSE)</f>
        <v/>
      </c>
      <c r="G50">
        <f>E50+F50</f>
        <v/>
      </c>
      <c r="H50">
        <f>IF(VLOOKUP(A50,04_PROYECTOS!$A:$N,10,FALSE)="", IF(VLOOKUP(A50,04_PROYECTOS!$A:$N,4,FALSE)="Privado", INDEX(02B_ESCENARIOS!$B$4:$D$11, MATCH("DSO_PRIVADO_DEFAULT", 02B_ESCENARIOS!$A$4:$A$11, 0), MATCH("Agresivo", 02B_ESCENARIOS!$B$3:$D$3, 0)), IF(VLOOKUP(A50,04_PROYECTOS!$A:$N,4,FALSE)="Publico_&lt;10M",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VLOOKUP(A50,04_PROYECTOS!$A:$N,10,FALSE))</f>
        <v/>
      </c>
      <c r="I50">
        <f>ROUNDUP(H50/30,0)</f>
        <v/>
      </c>
      <c r="J50">
        <f>EDATE(C50,I50)</f>
        <v/>
      </c>
      <c r="K50">
        <f>G50</f>
        <v/>
      </c>
    </row>
    <row r="51">
      <c r="E51">
        <f>D51*VLOOKUP(A51,04_PROYECTOS!$A:$N,5,FALSE)*(INDEX(02B_ESCENARIOS!$B$4:$D$11, MATCH("MULT_PRECIO", 02B_ESCENARIOS!$A$4:$A$11, 0), MATCH("Agresivo", 02B_ESCENARIOS!$B$3:$D$3, 0)))*INDEX(02B_ESCENARIOS!$B$15:$D$19, MATCH(VLOOKUP(A51,04_PROYECTOS!$A:$N,9,FALSE), 02B_ESCENARIOS!$A$15:$A$19, 0), MATCH("Agresivo", 02B_ESCENARIOS!$B$14:$D$14, 0))</f>
        <v/>
      </c>
      <c r="F51">
        <f>E51*VLOOKUP(A51,04_PROYECTOS!$A:$N,6,FALSE)</f>
        <v/>
      </c>
      <c r="G51">
        <f>E51+F51</f>
        <v/>
      </c>
      <c r="H51">
        <f>IF(VLOOKUP(A51,04_PROYECTOS!$A:$N,10,FALSE)="", IF(VLOOKUP(A51,04_PROYECTOS!$A:$N,4,FALSE)="Privado", INDEX(02B_ESCENARIOS!$B$4:$D$11, MATCH("DSO_PRIVADO_DEFAULT", 02B_ESCENARIOS!$A$4:$A$11, 0), MATCH("Agresivo", 02B_ESCENARIOS!$B$3:$D$3, 0)), IF(VLOOKUP(A51,04_PROYECTOS!$A:$N,4,FALSE)="Publico_&lt;10M",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VLOOKUP(A51,04_PROYECTOS!$A:$N,10,FALSE))</f>
        <v/>
      </c>
      <c r="I51">
        <f>ROUNDUP(H51/30,0)</f>
        <v/>
      </c>
      <c r="J51">
        <f>EDATE(C51,I51)</f>
        <v/>
      </c>
      <c r="K51">
        <f>G51</f>
        <v/>
      </c>
    </row>
    <row r="52">
      <c r="E52">
        <f>D52*VLOOKUP(A52,04_PROYECTOS!$A:$N,5,FALSE)*(INDEX(02B_ESCENARIOS!$B$4:$D$11, MATCH("MULT_PRECIO", 02B_ESCENARIOS!$A$4:$A$11, 0), MATCH("Agresivo", 02B_ESCENARIOS!$B$3:$D$3, 0)))*INDEX(02B_ESCENARIOS!$B$15:$D$19, MATCH(VLOOKUP(A52,04_PROYECTOS!$A:$N,9,FALSE), 02B_ESCENARIOS!$A$15:$A$19, 0), MATCH("Agresivo", 02B_ESCENARIOS!$B$14:$D$14, 0))</f>
        <v/>
      </c>
      <c r="F52">
        <f>E52*VLOOKUP(A52,04_PROYECTOS!$A:$N,6,FALSE)</f>
        <v/>
      </c>
      <c r="G52">
        <f>E52+F52</f>
        <v/>
      </c>
      <c r="H52">
        <f>IF(VLOOKUP(A52,04_PROYECTOS!$A:$N,10,FALSE)="", IF(VLOOKUP(A52,04_PROYECTOS!$A:$N,4,FALSE)="Privado", INDEX(02B_ESCENARIOS!$B$4:$D$11, MATCH("DSO_PRIVADO_DEFAULT", 02B_ESCENARIOS!$A$4:$A$11, 0), MATCH("Agresivo", 02B_ESCENARIOS!$B$3:$D$3, 0)), IF(VLOOKUP(A52,04_PROYECTOS!$A:$N,4,FALSE)="Publico_&lt;10M",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VLOOKUP(A52,04_PROYECTOS!$A:$N,10,FALSE))</f>
        <v/>
      </c>
      <c r="I52">
        <f>ROUNDUP(H52/30,0)</f>
        <v/>
      </c>
      <c r="J52">
        <f>EDATE(C52,I52)</f>
        <v/>
      </c>
      <c r="K52">
        <f>G52</f>
        <v/>
      </c>
    </row>
    <row r="53">
      <c r="E53">
        <f>D53*VLOOKUP(A53,04_PROYECTOS!$A:$N,5,FALSE)*(INDEX(02B_ESCENARIOS!$B$4:$D$11, MATCH("MULT_PRECIO", 02B_ESCENARIOS!$A$4:$A$11, 0), MATCH("Agresivo", 02B_ESCENARIOS!$B$3:$D$3, 0)))*INDEX(02B_ESCENARIOS!$B$15:$D$19, MATCH(VLOOKUP(A53,04_PROYECTOS!$A:$N,9,FALSE), 02B_ESCENARIOS!$A$15:$A$19, 0), MATCH("Agresivo", 02B_ESCENARIOS!$B$14:$D$14, 0))</f>
        <v/>
      </c>
      <c r="F53">
        <f>E53*VLOOKUP(A53,04_PROYECTOS!$A:$N,6,FALSE)</f>
        <v/>
      </c>
      <c r="G53">
        <f>E53+F53</f>
        <v/>
      </c>
      <c r="H53">
        <f>IF(VLOOKUP(A53,04_PROYECTOS!$A:$N,10,FALSE)="", IF(VLOOKUP(A53,04_PROYECTOS!$A:$N,4,FALSE)="Privado", INDEX(02B_ESCENARIOS!$B$4:$D$11, MATCH("DSO_PRIVADO_DEFAULT", 02B_ESCENARIOS!$A$4:$A$11, 0), MATCH("Agresivo", 02B_ESCENARIOS!$B$3:$D$3, 0)), IF(VLOOKUP(A53,04_PROYECTOS!$A:$N,4,FALSE)="Publico_&lt;10M",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VLOOKUP(A53,04_PROYECTOS!$A:$N,10,FALSE))</f>
        <v/>
      </c>
      <c r="I53">
        <f>ROUNDUP(H53/30,0)</f>
        <v/>
      </c>
      <c r="J53">
        <f>EDATE(C53,I53)</f>
        <v/>
      </c>
      <c r="K53">
        <f>G53</f>
        <v/>
      </c>
    </row>
    <row r="54">
      <c r="E54">
        <f>D54*VLOOKUP(A54,04_PROYECTOS!$A:$N,5,FALSE)*(INDEX(02B_ESCENARIOS!$B$4:$D$11, MATCH("MULT_PRECIO", 02B_ESCENARIOS!$A$4:$A$11, 0), MATCH("Agresivo", 02B_ESCENARIOS!$B$3:$D$3, 0)))*INDEX(02B_ESCENARIOS!$B$15:$D$19, MATCH(VLOOKUP(A54,04_PROYECTOS!$A:$N,9,FALSE), 02B_ESCENARIOS!$A$15:$A$19, 0), MATCH("Agresivo", 02B_ESCENARIOS!$B$14:$D$14, 0))</f>
        <v/>
      </c>
      <c r="F54">
        <f>E54*VLOOKUP(A54,04_PROYECTOS!$A:$N,6,FALSE)</f>
        <v/>
      </c>
      <c r="G54">
        <f>E54+F54</f>
        <v/>
      </c>
      <c r="H54">
        <f>IF(VLOOKUP(A54,04_PROYECTOS!$A:$N,10,FALSE)="", IF(VLOOKUP(A54,04_PROYECTOS!$A:$N,4,FALSE)="Privado", INDEX(02B_ESCENARIOS!$B$4:$D$11, MATCH("DSO_PRIVADO_DEFAULT", 02B_ESCENARIOS!$A$4:$A$11, 0), MATCH("Agresivo", 02B_ESCENARIOS!$B$3:$D$3, 0)), IF(VLOOKUP(A54,04_PROYECTOS!$A:$N,4,FALSE)="Publico_&lt;10M",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VLOOKUP(A54,04_PROYECTOS!$A:$N,10,FALSE))</f>
        <v/>
      </c>
      <c r="I54">
        <f>ROUNDUP(H54/30,0)</f>
        <v/>
      </c>
      <c r="J54">
        <f>EDATE(C54,I54)</f>
        <v/>
      </c>
      <c r="K54">
        <f>G54</f>
        <v/>
      </c>
    </row>
    <row r="55">
      <c r="E55">
        <f>D55*VLOOKUP(A55,04_PROYECTOS!$A:$N,5,FALSE)*(INDEX(02B_ESCENARIOS!$B$4:$D$11, MATCH("MULT_PRECIO", 02B_ESCENARIOS!$A$4:$A$11, 0), MATCH("Agresivo", 02B_ESCENARIOS!$B$3:$D$3, 0)))*INDEX(02B_ESCENARIOS!$B$15:$D$19, MATCH(VLOOKUP(A55,04_PROYECTOS!$A:$N,9,FALSE), 02B_ESCENARIOS!$A$15:$A$19, 0), MATCH("Agresivo", 02B_ESCENARIOS!$B$14:$D$14, 0))</f>
        <v/>
      </c>
      <c r="F55">
        <f>E55*VLOOKUP(A55,04_PROYECTOS!$A:$N,6,FALSE)</f>
        <v/>
      </c>
      <c r="G55">
        <f>E55+F55</f>
        <v/>
      </c>
      <c r="H55">
        <f>IF(VLOOKUP(A55,04_PROYECTOS!$A:$N,10,FALSE)="", IF(VLOOKUP(A55,04_PROYECTOS!$A:$N,4,FALSE)="Privado", INDEX(02B_ESCENARIOS!$B$4:$D$11, MATCH("DSO_PRIVADO_DEFAULT", 02B_ESCENARIOS!$A$4:$A$11, 0), MATCH("Agresivo", 02B_ESCENARIOS!$B$3:$D$3, 0)), IF(VLOOKUP(A55,04_PROYECTOS!$A:$N,4,FALSE)="Publico_&lt;10M",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VLOOKUP(A55,04_PROYECTOS!$A:$N,10,FALSE))</f>
        <v/>
      </c>
      <c r="I55">
        <f>ROUNDUP(H55/30,0)</f>
        <v/>
      </c>
      <c r="J55">
        <f>EDATE(C55,I55)</f>
        <v/>
      </c>
      <c r="K55">
        <f>G55</f>
        <v/>
      </c>
    </row>
    <row r="56">
      <c r="E56">
        <f>D56*VLOOKUP(A56,04_PROYECTOS!$A:$N,5,FALSE)*(INDEX(02B_ESCENARIOS!$B$4:$D$11, MATCH("MULT_PRECIO", 02B_ESCENARIOS!$A$4:$A$11, 0), MATCH("Agresivo", 02B_ESCENARIOS!$B$3:$D$3, 0)))*INDEX(02B_ESCENARIOS!$B$15:$D$19, MATCH(VLOOKUP(A56,04_PROYECTOS!$A:$N,9,FALSE), 02B_ESCENARIOS!$A$15:$A$19, 0), MATCH("Agresivo", 02B_ESCENARIOS!$B$14:$D$14, 0))</f>
        <v/>
      </c>
      <c r="F56">
        <f>E56*VLOOKUP(A56,04_PROYECTOS!$A:$N,6,FALSE)</f>
        <v/>
      </c>
      <c r="G56">
        <f>E56+F56</f>
        <v/>
      </c>
      <c r="H56">
        <f>IF(VLOOKUP(A56,04_PROYECTOS!$A:$N,10,FALSE)="", IF(VLOOKUP(A56,04_PROYECTOS!$A:$N,4,FALSE)="Privado", INDEX(02B_ESCENARIOS!$B$4:$D$11, MATCH("DSO_PRIVADO_DEFAULT", 02B_ESCENARIOS!$A$4:$A$11, 0), MATCH("Agresivo", 02B_ESCENARIOS!$B$3:$D$3, 0)), IF(VLOOKUP(A56,04_PROYECTOS!$A:$N,4,FALSE)="Publico_&lt;10M",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VLOOKUP(A56,04_PROYECTOS!$A:$N,10,FALSE))</f>
        <v/>
      </c>
      <c r="I56">
        <f>ROUNDUP(H56/30,0)</f>
        <v/>
      </c>
      <c r="J56">
        <f>EDATE(C56,I56)</f>
        <v/>
      </c>
      <c r="K56">
        <f>G56</f>
        <v/>
      </c>
    </row>
    <row r="57">
      <c r="E57">
        <f>D57*VLOOKUP(A57,04_PROYECTOS!$A:$N,5,FALSE)*(INDEX(02B_ESCENARIOS!$B$4:$D$11, MATCH("MULT_PRECIO", 02B_ESCENARIOS!$A$4:$A$11, 0), MATCH("Agresivo", 02B_ESCENARIOS!$B$3:$D$3, 0)))*INDEX(02B_ESCENARIOS!$B$15:$D$19, MATCH(VLOOKUP(A57,04_PROYECTOS!$A:$N,9,FALSE), 02B_ESCENARIOS!$A$15:$A$19, 0), MATCH("Agresivo", 02B_ESCENARIOS!$B$14:$D$14, 0))</f>
        <v/>
      </c>
      <c r="F57">
        <f>E57*VLOOKUP(A57,04_PROYECTOS!$A:$N,6,FALSE)</f>
        <v/>
      </c>
      <c r="G57">
        <f>E57+F57</f>
        <v/>
      </c>
      <c r="H57">
        <f>IF(VLOOKUP(A57,04_PROYECTOS!$A:$N,10,FALSE)="", IF(VLOOKUP(A57,04_PROYECTOS!$A:$N,4,FALSE)="Privado", INDEX(02B_ESCENARIOS!$B$4:$D$11, MATCH("DSO_PRIVADO_DEFAULT", 02B_ESCENARIOS!$A$4:$A$11, 0), MATCH("Agresivo", 02B_ESCENARIOS!$B$3:$D$3, 0)), IF(VLOOKUP(A57,04_PROYECTOS!$A:$N,4,FALSE)="Publico_&lt;10M",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VLOOKUP(A57,04_PROYECTOS!$A:$N,10,FALSE))</f>
        <v/>
      </c>
      <c r="I57">
        <f>ROUNDUP(H57/30,0)</f>
        <v/>
      </c>
      <c r="J57">
        <f>EDATE(C57,I57)</f>
        <v/>
      </c>
      <c r="K57">
        <f>G57</f>
        <v/>
      </c>
    </row>
    <row r="58">
      <c r="E58">
        <f>D58*VLOOKUP(A58,04_PROYECTOS!$A:$N,5,FALSE)*(INDEX(02B_ESCENARIOS!$B$4:$D$11, MATCH("MULT_PRECIO", 02B_ESCENARIOS!$A$4:$A$11, 0), MATCH("Agresivo", 02B_ESCENARIOS!$B$3:$D$3, 0)))*INDEX(02B_ESCENARIOS!$B$15:$D$19, MATCH(VLOOKUP(A58,04_PROYECTOS!$A:$N,9,FALSE), 02B_ESCENARIOS!$A$15:$A$19, 0), MATCH("Agresivo", 02B_ESCENARIOS!$B$14:$D$14, 0))</f>
        <v/>
      </c>
      <c r="F58">
        <f>E58*VLOOKUP(A58,04_PROYECTOS!$A:$N,6,FALSE)</f>
        <v/>
      </c>
      <c r="G58">
        <f>E58+F58</f>
        <v/>
      </c>
      <c r="H58">
        <f>IF(VLOOKUP(A58,04_PROYECTOS!$A:$N,10,FALSE)="", IF(VLOOKUP(A58,04_PROYECTOS!$A:$N,4,FALSE)="Privado", INDEX(02B_ESCENARIOS!$B$4:$D$11, MATCH("DSO_PRIVADO_DEFAULT", 02B_ESCENARIOS!$A$4:$A$11, 0), MATCH("Agresivo", 02B_ESCENARIOS!$B$3:$D$3, 0)), IF(VLOOKUP(A58,04_PROYECTOS!$A:$N,4,FALSE)="Publico_&lt;10M",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VLOOKUP(A58,04_PROYECTOS!$A:$N,10,FALSE))</f>
        <v/>
      </c>
      <c r="I58">
        <f>ROUNDUP(H58/30,0)</f>
        <v/>
      </c>
      <c r="J58">
        <f>EDATE(C58,I58)</f>
        <v/>
      </c>
      <c r="K58">
        <f>G58</f>
        <v/>
      </c>
    </row>
    <row r="59">
      <c r="E59">
        <f>D59*VLOOKUP(A59,04_PROYECTOS!$A:$N,5,FALSE)*(INDEX(02B_ESCENARIOS!$B$4:$D$11, MATCH("MULT_PRECIO", 02B_ESCENARIOS!$A$4:$A$11, 0), MATCH("Agresivo", 02B_ESCENARIOS!$B$3:$D$3, 0)))*INDEX(02B_ESCENARIOS!$B$15:$D$19, MATCH(VLOOKUP(A59,04_PROYECTOS!$A:$N,9,FALSE), 02B_ESCENARIOS!$A$15:$A$19, 0), MATCH("Agresivo", 02B_ESCENARIOS!$B$14:$D$14, 0))</f>
        <v/>
      </c>
      <c r="F59">
        <f>E59*VLOOKUP(A59,04_PROYECTOS!$A:$N,6,FALSE)</f>
        <v/>
      </c>
      <c r="G59">
        <f>E59+F59</f>
        <v/>
      </c>
      <c r="H59">
        <f>IF(VLOOKUP(A59,04_PROYECTOS!$A:$N,10,FALSE)="", IF(VLOOKUP(A59,04_PROYECTOS!$A:$N,4,FALSE)="Privado", INDEX(02B_ESCENARIOS!$B$4:$D$11, MATCH("DSO_PRIVADO_DEFAULT", 02B_ESCENARIOS!$A$4:$A$11, 0), MATCH("Agresivo", 02B_ESCENARIOS!$B$3:$D$3, 0)), IF(VLOOKUP(A59,04_PROYECTOS!$A:$N,4,FALSE)="Publico_&lt;10M",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VLOOKUP(A59,04_PROYECTOS!$A:$N,10,FALSE))</f>
        <v/>
      </c>
      <c r="I59">
        <f>ROUNDUP(H59/30,0)</f>
        <v/>
      </c>
      <c r="J59">
        <f>EDATE(C59,I59)</f>
        <v/>
      </c>
      <c r="K59">
        <f>G59</f>
        <v/>
      </c>
    </row>
    <row r="60">
      <c r="E60">
        <f>D60*VLOOKUP(A60,04_PROYECTOS!$A:$N,5,FALSE)*(INDEX(02B_ESCENARIOS!$B$4:$D$11, MATCH("MULT_PRECIO", 02B_ESCENARIOS!$A$4:$A$11, 0), MATCH("Agresivo", 02B_ESCENARIOS!$B$3:$D$3, 0)))*INDEX(02B_ESCENARIOS!$B$15:$D$19, MATCH(VLOOKUP(A60,04_PROYECTOS!$A:$N,9,FALSE), 02B_ESCENARIOS!$A$15:$A$19, 0), MATCH("Agresivo", 02B_ESCENARIOS!$B$14:$D$14, 0))</f>
        <v/>
      </c>
      <c r="F60">
        <f>E60*VLOOKUP(A60,04_PROYECTOS!$A:$N,6,FALSE)</f>
        <v/>
      </c>
      <c r="G60">
        <f>E60+F60</f>
        <v/>
      </c>
      <c r="H60">
        <f>IF(VLOOKUP(A60,04_PROYECTOS!$A:$N,10,FALSE)="", IF(VLOOKUP(A60,04_PROYECTOS!$A:$N,4,FALSE)="Privado", INDEX(02B_ESCENARIOS!$B$4:$D$11, MATCH("DSO_PRIVADO_DEFAULT", 02B_ESCENARIOS!$A$4:$A$11, 0), MATCH("Agresivo", 02B_ESCENARIOS!$B$3:$D$3, 0)), IF(VLOOKUP(A60,04_PROYECTOS!$A:$N,4,FALSE)="Publico_&lt;10M",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VLOOKUP(A60,04_PROYECTOS!$A:$N,10,FALSE))</f>
        <v/>
      </c>
      <c r="I60">
        <f>ROUNDUP(H60/30,0)</f>
        <v/>
      </c>
      <c r="J60">
        <f>EDATE(C60,I60)</f>
        <v/>
      </c>
      <c r="K60">
        <f>G60</f>
        <v/>
      </c>
    </row>
    <row r="61">
      <c r="E61">
        <f>D61*VLOOKUP(A61,04_PROYECTOS!$A:$N,5,FALSE)*(INDEX(02B_ESCENARIOS!$B$4:$D$11, MATCH("MULT_PRECIO", 02B_ESCENARIOS!$A$4:$A$11, 0), MATCH("Agresivo", 02B_ESCENARIOS!$B$3:$D$3, 0)))*INDEX(02B_ESCENARIOS!$B$15:$D$19, MATCH(VLOOKUP(A61,04_PROYECTOS!$A:$N,9,FALSE), 02B_ESCENARIOS!$A$15:$A$19, 0), MATCH("Agresivo", 02B_ESCENARIOS!$B$14:$D$14, 0))</f>
        <v/>
      </c>
      <c r="F61">
        <f>E61*VLOOKUP(A61,04_PROYECTOS!$A:$N,6,FALSE)</f>
        <v/>
      </c>
      <c r="G61">
        <f>E61+F61</f>
        <v/>
      </c>
      <c r="H61">
        <f>IF(VLOOKUP(A61,04_PROYECTOS!$A:$N,10,FALSE)="", IF(VLOOKUP(A61,04_PROYECTOS!$A:$N,4,FALSE)="Privado", INDEX(02B_ESCENARIOS!$B$4:$D$11, MATCH("DSO_PRIVADO_DEFAULT", 02B_ESCENARIOS!$A$4:$A$11, 0), MATCH("Agresivo", 02B_ESCENARIOS!$B$3:$D$3, 0)), IF(VLOOKUP(A61,04_PROYECTOS!$A:$N,4,FALSE)="Publico_&lt;10M",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VLOOKUP(A61,04_PROYECTOS!$A:$N,10,FALSE))</f>
        <v/>
      </c>
      <c r="I61">
        <f>ROUNDUP(H61/30,0)</f>
        <v/>
      </c>
      <c r="J61">
        <f>EDATE(C61,I61)</f>
        <v/>
      </c>
      <c r="K61">
        <f>G61</f>
        <v/>
      </c>
    </row>
    <row r="62">
      <c r="E62">
        <f>D62*VLOOKUP(A62,04_PROYECTOS!$A:$N,5,FALSE)*(INDEX(02B_ESCENARIOS!$B$4:$D$11, MATCH("MULT_PRECIO", 02B_ESCENARIOS!$A$4:$A$11, 0), MATCH("Agresivo", 02B_ESCENARIOS!$B$3:$D$3, 0)))*INDEX(02B_ESCENARIOS!$B$15:$D$19, MATCH(VLOOKUP(A62,04_PROYECTOS!$A:$N,9,FALSE), 02B_ESCENARIOS!$A$15:$A$19, 0), MATCH("Agresivo", 02B_ESCENARIOS!$B$14:$D$14, 0))</f>
        <v/>
      </c>
      <c r="F62">
        <f>E62*VLOOKUP(A62,04_PROYECTOS!$A:$N,6,FALSE)</f>
        <v/>
      </c>
      <c r="G62">
        <f>E62+F62</f>
        <v/>
      </c>
      <c r="H62">
        <f>IF(VLOOKUP(A62,04_PROYECTOS!$A:$N,10,FALSE)="", IF(VLOOKUP(A62,04_PROYECTOS!$A:$N,4,FALSE)="Privado", INDEX(02B_ESCENARIOS!$B$4:$D$11, MATCH("DSO_PRIVADO_DEFAULT", 02B_ESCENARIOS!$A$4:$A$11, 0), MATCH("Agresivo", 02B_ESCENARIOS!$B$3:$D$3, 0)), IF(VLOOKUP(A62,04_PROYECTOS!$A:$N,4,FALSE)="Publico_&lt;10M",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VLOOKUP(A62,04_PROYECTOS!$A:$N,10,FALSE))</f>
        <v/>
      </c>
      <c r="I62">
        <f>ROUNDUP(H62/30,0)</f>
        <v/>
      </c>
      <c r="J62">
        <f>EDATE(C62,I62)</f>
        <v/>
      </c>
      <c r="K62">
        <f>G62</f>
        <v/>
      </c>
    </row>
    <row r="63">
      <c r="E63">
        <f>D63*VLOOKUP(A63,04_PROYECTOS!$A:$N,5,FALSE)*(INDEX(02B_ESCENARIOS!$B$4:$D$11, MATCH("MULT_PRECIO", 02B_ESCENARIOS!$A$4:$A$11, 0), MATCH("Agresivo", 02B_ESCENARIOS!$B$3:$D$3, 0)))*INDEX(02B_ESCENARIOS!$B$15:$D$19, MATCH(VLOOKUP(A63,04_PROYECTOS!$A:$N,9,FALSE), 02B_ESCENARIOS!$A$15:$A$19, 0), MATCH("Agresivo", 02B_ESCENARIOS!$B$14:$D$14, 0))</f>
        <v/>
      </c>
      <c r="F63">
        <f>E63*VLOOKUP(A63,04_PROYECTOS!$A:$N,6,FALSE)</f>
        <v/>
      </c>
      <c r="G63">
        <f>E63+F63</f>
        <v/>
      </c>
      <c r="H63">
        <f>IF(VLOOKUP(A63,04_PROYECTOS!$A:$N,10,FALSE)="", IF(VLOOKUP(A63,04_PROYECTOS!$A:$N,4,FALSE)="Privado", INDEX(02B_ESCENARIOS!$B$4:$D$11, MATCH("DSO_PRIVADO_DEFAULT", 02B_ESCENARIOS!$A$4:$A$11, 0), MATCH("Agresivo", 02B_ESCENARIOS!$B$3:$D$3, 0)), IF(VLOOKUP(A63,04_PROYECTOS!$A:$N,4,FALSE)="Publico_&lt;10M",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VLOOKUP(A63,04_PROYECTOS!$A:$N,10,FALSE))</f>
        <v/>
      </c>
      <c r="I63">
        <f>ROUNDUP(H63/30,0)</f>
        <v/>
      </c>
      <c r="J63">
        <f>EDATE(C63,I63)</f>
        <v/>
      </c>
      <c r="K63">
        <f>G63</f>
        <v/>
      </c>
    </row>
    <row r="64">
      <c r="E64">
        <f>D64*VLOOKUP(A64,04_PROYECTOS!$A:$N,5,FALSE)*(INDEX(02B_ESCENARIOS!$B$4:$D$11, MATCH("MULT_PRECIO", 02B_ESCENARIOS!$A$4:$A$11, 0), MATCH("Agresivo", 02B_ESCENARIOS!$B$3:$D$3, 0)))*INDEX(02B_ESCENARIOS!$B$15:$D$19, MATCH(VLOOKUP(A64,04_PROYECTOS!$A:$N,9,FALSE), 02B_ESCENARIOS!$A$15:$A$19, 0), MATCH("Agresivo", 02B_ESCENARIOS!$B$14:$D$14, 0))</f>
        <v/>
      </c>
      <c r="F64">
        <f>E64*VLOOKUP(A64,04_PROYECTOS!$A:$N,6,FALSE)</f>
        <v/>
      </c>
      <c r="G64">
        <f>E64+F64</f>
        <v/>
      </c>
      <c r="H64">
        <f>IF(VLOOKUP(A64,04_PROYECTOS!$A:$N,10,FALSE)="", IF(VLOOKUP(A64,04_PROYECTOS!$A:$N,4,FALSE)="Privado", INDEX(02B_ESCENARIOS!$B$4:$D$11, MATCH("DSO_PRIVADO_DEFAULT", 02B_ESCENARIOS!$A$4:$A$11, 0), MATCH("Agresivo", 02B_ESCENARIOS!$B$3:$D$3, 0)), IF(VLOOKUP(A64,04_PROYECTOS!$A:$N,4,FALSE)="Publico_&lt;10M",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VLOOKUP(A64,04_PROYECTOS!$A:$N,10,FALSE))</f>
        <v/>
      </c>
      <c r="I64">
        <f>ROUNDUP(H64/30,0)</f>
        <v/>
      </c>
      <c r="J64">
        <f>EDATE(C64,I64)</f>
        <v/>
      </c>
      <c r="K64">
        <f>G64</f>
        <v/>
      </c>
    </row>
    <row r="65">
      <c r="E65">
        <f>D65*VLOOKUP(A65,04_PROYECTOS!$A:$N,5,FALSE)*(INDEX(02B_ESCENARIOS!$B$4:$D$11, MATCH("MULT_PRECIO", 02B_ESCENARIOS!$A$4:$A$11, 0), MATCH("Agresivo", 02B_ESCENARIOS!$B$3:$D$3, 0)))*INDEX(02B_ESCENARIOS!$B$15:$D$19, MATCH(VLOOKUP(A65,04_PROYECTOS!$A:$N,9,FALSE), 02B_ESCENARIOS!$A$15:$A$19, 0), MATCH("Agresivo", 02B_ESCENARIOS!$B$14:$D$14, 0))</f>
        <v/>
      </c>
      <c r="F65">
        <f>E65*VLOOKUP(A65,04_PROYECTOS!$A:$N,6,FALSE)</f>
        <v/>
      </c>
      <c r="G65">
        <f>E65+F65</f>
        <v/>
      </c>
      <c r="H65">
        <f>IF(VLOOKUP(A65,04_PROYECTOS!$A:$N,10,FALSE)="", IF(VLOOKUP(A65,04_PROYECTOS!$A:$N,4,FALSE)="Privado", INDEX(02B_ESCENARIOS!$B$4:$D$11, MATCH("DSO_PRIVADO_DEFAULT", 02B_ESCENARIOS!$A$4:$A$11, 0), MATCH("Agresivo", 02B_ESCENARIOS!$B$3:$D$3, 0)), IF(VLOOKUP(A65,04_PROYECTOS!$A:$N,4,FALSE)="Publico_&lt;10M",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VLOOKUP(A65,04_PROYECTOS!$A:$N,10,FALSE))</f>
        <v/>
      </c>
      <c r="I65">
        <f>ROUNDUP(H65/30,0)</f>
        <v/>
      </c>
      <c r="J65">
        <f>EDATE(C65,I65)</f>
        <v/>
      </c>
      <c r="K65">
        <f>G65</f>
        <v/>
      </c>
    </row>
    <row r="66">
      <c r="E66">
        <f>D66*VLOOKUP(A66,04_PROYECTOS!$A:$N,5,FALSE)*(INDEX(02B_ESCENARIOS!$B$4:$D$11, MATCH("MULT_PRECIO", 02B_ESCENARIOS!$A$4:$A$11, 0), MATCH("Agresivo", 02B_ESCENARIOS!$B$3:$D$3, 0)))*INDEX(02B_ESCENARIOS!$B$15:$D$19, MATCH(VLOOKUP(A66,04_PROYECTOS!$A:$N,9,FALSE), 02B_ESCENARIOS!$A$15:$A$19, 0), MATCH("Agresivo", 02B_ESCENARIOS!$B$14:$D$14, 0))</f>
        <v/>
      </c>
      <c r="F66">
        <f>E66*VLOOKUP(A66,04_PROYECTOS!$A:$N,6,FALSE)</f>
        <v/>
      </c>
      <c r="G66">
        <f>E66+F66</f>
        <v/>
      </c>
      <c r="H66">
        <f>IF(VLOOKUP(A66,04_PROYECTOS!$A:$N,10,FALSE)="", IF(VLOOKUP(A66,04_PROYECTOS!$A:$N,4,FALSE)="Privado", INDEX(02B_ESCENARIOS!$B$4:$D$11, MATCH("DSO_PRIVADO_DEFAULT", 02B_ESCENARIOS!$A$4:$A$11, 0), MATCH("Agresivo", 02B_ESCENARIOS!$B$3:$D$3, 0)), IF(VLOOKUP(A66,04_PROYECTOS!$A:$N,4,FALSE)="Publico_&lt;10M",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VLOOKUP(A66,04_PROYECTOS!$A:$N,10,FALSE))</f>
        <v/>
      </c>
      <c r="I66">
        <f>ROUNDUP(H66/30,0)</f>
        <v/>
      </c>
      <c r="J66">
        <f>EDATE(C66,I66)</f>
        <v/>
      </c>
      <c r="K66">
        <f>G66</f>
        <v/>
      </c>
    </row>
    <row r="67">
      <c r="E67">
        <f>D67*VLOOKUP(A67,04_PROYECTOS!$A:$N,5,FALSE)*(INDEX(02B_ESCENARIOS!$B$4:$D$11, MATCH("MULT_PRECIO", 02B_ESCENARIOS!$A$4:$A$11, 0), MATCH("Agresivo", 02B_ESCENARIOS!$B$3:$D$3, 0)))*INDEX(02B_ESCENARIOS!$B$15:$D$19, MATCH(VLOOKUP(A67,04_PROYECTOS!$A:$N,9,FALSE), 02B_ESCENARIOS!$A$15:$A$19, 0), MATCH("Agresivo", 02B_ESCENARIOS!$B$14:$D$14, 0))</f>
        <v/>
      </c>
      <c r="F67">
        <f>E67*VLOOKUP(A67,04_PROYECTOS!$A:$N,6,FALSE)</f>
        <v/>
      </c>
      <c r="G67">
        <f>E67+F67</f>
        <v/>
      </c>
      <c r="H67">
        <f>IF(VLOOKUP(A67,04_PROYECTOS!$A:$N,10,FALSE)="", IF(VLOOKUP(A67,04_PROYECTOS!$A:$N,4,FALSE)="Privado", INDEX(02B_ESCENARIOS!$B$4:$D$11, MATCH("DSO_PRIVADO_DEFAULT", 02B_ESCENARIOS!$A$4:$A$11, 0), MATCH("Agresivo", 02B_ESCENARIOS!$B$3:$D$3, 0)), IF(VLOOKUP(A67,04_PROYECTOS!$A:$N,4,FALSE)="Publico_&lt;10M",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VLOOKUP(A67,04_PROYECTOS!$A:$N,10,FALSE))</f>
        <v/>
      </c>
      <c r="I67">
        <f>ROUNDUP(H67/30,0)</f>
        <v/>
      </c>
      <c r="J67">
        <f>EDATE(C67,I67)</f>
        <v/>
      </c>
      <c r="K67">
        <f>G67</f>
        <v/>
      </c>
    </row>
    <row r="68">
      <c r="E68">
        <f>D68*VLOOKUP(A68,04_PROYECTOS!$A:$N,5,FALSE)*(INDEX(02B_ESCENARIOS!$B$4:$D$11, MATCH("MULT_PRECIO", 02B_ESCENARIOS!$A$4:$A$11, 0), MATCH("Agresivo", 02B_ESCENARIOS!$B$3:$D$3, 0)))*INDEX(02B_ESCENARIOS!$B$15:$D$19, MATCH(VLOOKUP(A68,04_PROYECTOS!$A:$N,9,FALSE), 02B_ESCENARIOS!$A$15:$A$19, 0), MATCH("Agresivo", 02B_ESCENARIOS!$B$14:$D$14, 0))</f>
        <v/>
      </c>
      <c r="F68">
        <f>E68*VLOOKUP(A68,04_PROYECTOS!$A:$N,6,FALSE)</f>
        <v/>
      </c>
      <c r="G68">
        <f>E68+F68</f>
        <v/>
      </c>
      <c r="H68">
        <f>IF(VLOOKUP(A68,04_PROYECTOS!$A:$N,10,FALSE)="", IF(VLOOKUP(A68,04_PROYECTOS!$A:$N,4,FALSE)="Privado", INDEX(02B_ESCENARIOS!$B$4:$D$11, MATCH("DSO_PRIVADO_DEFAULT", 02B_ESCENARIOS!$A$4:$A$11, 0), MATCH("Agresivo", 02B_ESCENARIOS!$B$3:$D$3, 0)), IF(VLOOKUP(A68,04_PROYECTOS!$A:$N,4,FALSE)="Publico_&lt;10M",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VLOOKUP(A68,04_PROYECTOS!$A:$N,10,FALSE))</f>
        <v/>
      </c>
      <c r="I68">
        <f>ROUNDUP(H68/30,0)</f>
        <v/>
      </c>
      <c r="J68">
        <f>EDATE(C68,I68)</f>
        <v/>
      </c>
      <c r="K68">
        <f>G68</f>
        <v/>
      </c>
    </row>
    <row r="69">
      <c r="E69">
        <f>D69*VLOOKUP(A69,04_PROYECTOS!$A:$N,5,FALSE)*(INDEX(02B_ESCENARIOS!$B$4:$D$11, MATCH("MULT_PRECIO", 02B_ESCENARIOS!$A$4:$A$11, 0), MATCH("Agresivo", 02B_ESCENARIOS!$B$3:$D$3, 0)))*INDEX(02B_ESCENARIOS!$B$15:$D$19, MATCH(VLOOKUP(A69,04_PROYECTOS!$A:$N,9,FALSE), 02B_ESCENARIOS!$A$15:$A$19, 0), MATCH("Agresivo", 02B_ESCENARIOS!$B$14:$D$14, 0))</f>
        <v/>
      </c>
      <c r="F69">
        <f>E69*VLOOKUP(A69,04_PROYECTOS!$A:$N,6,FALSE)</f>
        <v/>
      </c>
      <c r="G69">
        <f>E69+F69</f>
        <v/>
      </c>
      <c r="H69">
        <f>IF(VLOOKUP(A69,04_PROYECTOS!$A:$N,10,FALSE)="", IF(VLOOKUP(A69,04_PROYECTOS!$A:$N,4,FALSE)="Privado", INDEX(02B_ESCENARIOS!$B$4:$D$11, MATCH("DSO_PRIVADO_DEFAULT", 02B_ESCENARIOS!$A$4:$A$11, 0), MATCH("Agresivo", 02B_ESCENARIOS!$B$3:$D$3, 0)), IF(VLOOKUP(A69,04_PROYECTOS!$A:$N,4,FALSE)="Publico_&lt;10M",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VLOOKUP(A69,04_PROYECTOS!$A:$N,10,FALSE))</f>
        <v/>
      </c>
      <c r="I69">
        <f>ROUNDUP(H69/30,0)</f>
        <v/>
      </c>
      <c r="J69">
        <f>EDATE(C69,I69)</f>
        <v/>
      </c>
      <c r="K69">
        <f>G69</f>
        <v/>
      </c>
    </row>
    <row r="70">
      <c r="E70">
        <f>D70*VLOOKUP(A70,04_PROYECTOS!$A:$N,5,FALSE)*(INDEX(02B_ESCENARIOS!$B$4:$D$11, MATCH("MULT_PRECIO", 02B_ESCENARIOS!$A$4:$A$11, 0), MATCH("Agresivo", 02B_ESCENARIOS!$B$3:$D$3, 0)))*INDEX(02B_ESCENARIOS!$B$15:$D$19, MATCH(VLOOKUP(A70,04_PROYECTOS!$A:$N,9,FALSE), 02B_ESCENARIOS!$A$15:$A$19, 0), MATCH("Agresivo", 02B_ESCENARIOS!$B$14:$D$14, 0))</f>
        <v/>
      </c>
      <c r="F70">
        <f>E70*VLOOKUP(A70,04_PROYECTOS!$A:$N,6,FALSE)</f>
        <v/>
      </c>
      <c r="G70">
        <f>E70+F70</f>
        <v/>
      </c>
      <c r="H70">
        <f>IF(VLOOKUP(A70,04_PROYECTOS!$A:$N,10,FALSE)="", IF(VLOOKUP(A70,04_PROYECTOS!$A:$N,4,FALSE)="Privado", INDEX(02B_ESCENARIOS!$B$4:$D$11, MATCH("DSO_PRIVADO_DEFAULT", 02B_ESCENARIOS!$A$4:$A$11, 0), MATCH("Agresivo", 02B_ESCENARIOS!$B$3:$D$3, 0)), IF(VLOOKUP(A70,04_PROYECTOS!$A:$N,4,FALSE)="Publico_&lt;10M",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VLOOKUP(A70,04_PROYECTOS!$A:$N,10,FALSE))</f>
        <v/>
      </c>
      <c r="I70">
        <f>ROUNDUP(H70/30,0)</f>
        <v/>
      </c>
      <c r="J70">
        <f>EDATE(C70,I70)</f>
        <v/>
      </c>
      <c r="K70">
        <f>G70</f>
        <v/>
      </c>
    </row>
    <row r="71">
      <c r="E71">
        <f>D71*VLOOKUP(A71,04_PROYECTOS!$A:$N,5,FALSE)*(INDEX(02B_ESCENARIOS!$B$4:$D$11, MATCH("MULT_PRECIO", 02B_ESCENARIOS!$A$4:$A$11, 0), MATCH("Agresivo", 02B_ESCENARIOS!$B$3:$D$3, 0)))*INDEX(02B_ESCENARIOS!$B$15:$D$19, MATCH(VLOOKUP(A71,04_PROYECTOS!$A:$N,9,FALSE), 02B_ESCENARIOS!$A$15:$A$19, 0), MATCH("Agresivo", 02B_ESCENARIOS!$B$14:$D$14, 0))</f>
        <v/>
      </c>
      <c r="F71">
        <f>E71*VLOOKUP(A71,04_PROYECTOS!$A:$N,6,FALSE)</f>
        <v/>
      </c>
      <c r="G71">
        <f>E71+F71</f>
        <v/>
      </c>
      <c r="H71">
        <f>IF(VLOOKUP(A71,04_PROYECTOS!$A:$N,10,FALSE)="", IF(VLOOKUP(A71,04_PROYECTOS!$A:$N,4,FALSE)="Privado", INDEX(02B_ESCENARIOS!$B$4:$D$11, MATCH("DSO_PRIVADO_DEFAULT", 02B_ESCENARIOS!$A$4:$A$11, 0), MATCH("Agresivo", 02B_ESCENARIOS!$B$3:$D$3, 0)), IF(VLOOKUP(A71,04_PROYECTOS!$A:$N,4,FALSE)="Publico_&lt;10M",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VLOOKUP(A71,04_PROYECTOS!$A:$N,10,FALSE))</f>
        <v/>
      </c>
      <c r="I71">
        <f>ROUNDUP(H71/30,0)</f>
        <v/>
      </c>
      <c r="J71">
        <f>EDATE(C71,I71)</f>
        <v/>
      </c>
      <c r="K71">
        <f>G71</f>
        <v/>
      </c>
    </row>
    <row r="72">
      <c r="E72">
        <f>D72*VLOOKUP(A72,04_PROYECTOS!$A:$N,5,FALSE)*(INDEX(02B_ESCENARIOS!$B$4:$D$11, MATCH("MULT_PRECIO", 02B_ESCENARIOS!$A$4:$A$11, 0), MATCH("Agresivo", 02B_ESCENARIOS!$B$3:$D$3, 0)))*INDEX(02B_ESCENARIOS!$B$15:$D$19, MATCH(VLOOKUP(A72,04_PROYECTOS!$A:$N,9,FALSE), 02B_ESCENARIOS!$A$15:$A$19, 0), MATCH("Agresivo", 02B_ESCENARIOS!$B$14:$D$14, 0))</f>
        <v/>
      </c>
      <c r="F72">
        <f>E72*VLOOKUP(A72,04_PROYECTOS!$A:$N,6,FALSE)</f>
        <v/>
      </c>
      <c r="G72">
        <f>E72+F72</f>
        <v/>
      </c>
      <c r="H72">
        <f>IF(VLOOKUP(A72,04_PROYECTOS!$A:$N,10,FALSE)="", IF(VLOOKUP(A72,04_PROYECTOS!$A:$N,4,FALSE)="Privado", INDEX(02B_ESCENARIOS!$B$4:$D$11, MATCH("DSO_PRIVADO_DEFAULT", 02B_ESCENARIOS!$A$4:$A$11, 0), MATCH("Agresivo", 02B_ESCENARIOS!$B$3:$D$3, 0)), IF(VLOOKUP(A72,04_PROYECTOS!$A:$N,4,FALSE)="Publico_&lt;10M",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VLOOKUP(A72,04_PROYECTOS!$A:$N,10,FALSE))</f>
        <v/>
      </c>
      <c r="I72">
        <f>ROUNDUP(H72/30,0)</f>
        <v/>
      </c>
      <c r="J72">
        <f>EDATE(C72,I72)</f>
        <v/>
      </c>
      <c r="K72">
        <f>G72</f>
        <v/>
      </c>
    </row>
    <row r="73">
      <c r="E73">
        <f>D73*VLOOKUP(A73,04_PROYECTOS!$A:$N,5,FALSE)*(INDEX(02B_ESCENARIOS!$B$4:$D$11, MATCH("MULT_PRECIO", 02B_ESCENARIOS!$A$4:$A$11, 0), MATCH("Agresivo", 02B_ESCENARIOS!$B$3:$D$3, 0)))*INDEX(02B_ESCENARIOS!$B$15:$D$19, MATCH(VLOOKUP(A73,04_PROYECTOS!$A:$N,9,FALSE), 02B_ESCENARIOS!$A$15:$A$19, 0), MATCH("Agresivo", 02B_ESCENARIOS!$B$14:$D$14, 0))</f>
        <v/>
      </c>
      <c r="F73">
        <f>E73*VLOOKUP(A73,04_PROYECTOS!$A:$N,6,FALSE)</f>
        <v/>
      </c>
      <c r="G73">
        <f>E73+F73</f>
        <v/>
      </c>
      <c r="H73">
        <f>IF(VLOOKUP(A73,04_PROYECTOS!$A:$N,10,FALSE)="", IF(VLOOKUP(A73,04_PROYECTOS!$A:$N,4,FALSE)="Privado", INDEX(02B_ESCENARIOS!$B$4:$D$11, MATCH("DSO_PRIVADO_DEFAULT", 02B_ESCENARIOS!$A$4:$A$11, 0), MATCH("Agresivo", 02B_ESCENARIOS!$B$3:$D$3, 0)), IF(VLOOKUP(A73,04_PROYECTOS!$A:$N,4,FALSE)="Publico_&lt;10M",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VLOOKUP(A73,04_PROYECTOS!$A:$N,10,FALSE))</f>
        <v/>
      </c>
      <c r="I73">
        <f>ROUNDUP(H73/30,0)</f>
        <v/>
      </c>
      <c r="J73">
        <f>EDATE(C73,I73)</f>
        <v/>
      </c>
      <c r="K73">
        <f>G73</f>
        <v/>
      </c>
    </row>
    <row r="74">
      <c r="E74">
        <f>D74*VLOOKUP(A74,04_PROYECTOS!$A:$N,5,FALSE)*(INDEX(02B_ESCENARIOS!$B$4:$D$11, MATCH("MULT_PRECIO", 02B_ESCENARIOS!$A$4:$A$11, 0), MATCH("Agresivo", 02B_ESCENARIOS!$B$3:$D$3, 0)))*INDEX(02B_ESCENARIOS!$B$15:$D$19, MATCH(VLOOKUP(A74,04_PROYECTOS!$A:$N,9,FALSE), 02B_ESCENARIOS!$A$15:$A$19, 0), MATCH("Agresivo", 02B_ESCENARIOS!$B$14:$D$14, 0))</f>
        <v/>
      </c>
      <c r="F74">
        <f>E74*VLOOKUP(A74,04_PROYECTOS!$A:$N,6,FALSE)</f>
        <v/>
      </c>
      <c r="G74">
        <f>E74+F74</f>
        <v/>
      </c>
      <c r="H74">
        <f>IF(VLOOKUP(A74,04_PROYECTOS!$A:$N,10,FALSE)="", IF(VLOOKUP(A74,04_PROYECTOS!$A:$N,4,FALSE)="Privado", INDEX(02B_ESCENARIOS!$B$4:$D$11, MATCH("DSO_PRIVADO_DEFAULT", 02B_ESCENARIOS!$A$4:$A$11, 0), MATCH("Agresivo", 02B_ESCENARIOS!$B$3:$D$3, 0)), IF(VLOOKUP(A74,04_PROYECTOS!$A:$N,4,FALSE)="Publico_&lt;10M",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VLOOKUP(A74,04_PROYECTOS!$A:$N,10,FALSE))</f>
        <v/>
      </c>
      <c r="I74">
        <f>ROUNDUP(H74/30,0)</f>
        <v/>
      </c>
      <c r="J74">
        <f>EDATE(C74,I74)</f>
        <v/>
      </c>
      <c r="K74">
        <f>G74</f>
        <v/>
      </c>
    </row>
    <row r="75">
      <c r="E75">
        <f>D75*VLOOKUP(A75,04_PROYECTOS!$A:$N,5,FALSE)*(INDEX(02B_ESCENARIOS!$B$4:$D$11, MATCH("MULT_PRECIO", 02B_ESCENARIOS!$A$4:$A$11, 0), MATCH("Agresivo", 02B_ESCENARIOS!$B$3:$D$3, 0)))*INDEX(02B_ESCENARIOS!$B$15:$D$19, MATCH(VLOOKUP(A75,04_PROYECTOS!$A:$N,9,FALSE), 02B_ESCENARIOS!$A$15:$A$19, 0), MATCH("Agresivo", 02B_ESCENARIOS!$B$14:$D$14, 0))</f>
        <v/>
      </c>
      <c r="F75">
        <f>E75*VLOOKUP(A75,04_PROYECTOS!$A:$N,6,FALSE)</f>
        <v/>
      </c>
      <c r="G75">
        <f>E75+F75</f>
        <v/>
      </c>
      <c r="H75">
        <f>IF(VLOOKUP(A75,04_PROYECTOS!$A:$N,10,FALSE)="", IF(VLOOKUP(A75,04_PROYECTOS!$A:$N,4,FALSE)="Privado", INDEX(02B_ESCENARIOS!$B$4:$D$11, MATCH("DSO_PRIVADO_DEFAULT", 02B_ESCENARIOS!$A$4:$A$11, 0), MATCH("Agresivo", 02B_ESCENARIOS!$B$3:$D$3, 0)), IF(VLOOKUP(A75,04_PROYECTOS!$A:$N,4,FALSE)="Publico_&lt;10M",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VLOOKUP(A75,04_PROYECTOS!$A:$N,10,FALSE))</f>
        <v/>
      </c>
      <c r="I75">
        <f>ROUNDUP(H75/30,0)</f>
        <v/>
      </c>
      <c r="J75">
        <f>EDATE(C75,I75)</f>
        <v/>
      </c>
      <c r="K75">
        <f>G75</f>
        <v/>
      </c>
    </row>
    <row r="76">
      <c r="E76">
        <f>D76*VLOOKUP(A76,04_PROYECTOS!$A:$N,5,FALSE)*(INDEX(02B_ESCENARIOS!$B$4:$D$11, MATCH("MULT_PRECIO", 02B_ESCENARIOS!$A$4:$A$11, 0), MATCH("Agresivo", 02B_ESCENARIOS!$B$3:$D$3, 0)))*INDEX(02B_ESCENARIOS!$B$15:$D$19, MATCH(VLOOKUP(A76,04_PROYECTOS!$A:$N,9,FALSE), 02B_ESCENARIOS!$A$15:$A$19, 0), MATCH("Agresivo", 02B_ESCENARIOS!$B$14:$D$14, 0))</f>
        <v/>
      </c>
      <c r="F76">
        <f>E76*VLOOKUP(A76,04_PROYECTOS!$A:$N,6,FALSE)</f>
        <v/>
      </c>
      <c r="G76">
        <f>E76+F76</f>
        <v/>
      </c>
      <c r="H76">
        <f>IF(VLOOKUP(A76,04_PROYECTOS!$A:$N,10,FALSE)="", IF(VLOOKUP(A76,04_PROYECTOS!$A:$N,4,FALSE)="Privado", INDEX(02B_ESCENARIOS!$B$4:$D$11, MATCH("DSO_PRIVADO_DEFAULT", 02B_ESCENARIOS!$A$4:$A$11, 0), MATCH("Agresivo", 02B_ESCENARIOS!$B$3:$D$3, 0)), IF(VLOOKUP(A76,04_PROYECTOS!$A:$N,4,FALSE)="Publico_&lt;10M",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VLOOKUP(A76,04_PROYECTOS!$A:$N,10,FALSE))</f>
        <v/>
      </c>
      <c r="I76">
        <f>ROUNDUP(H76/30,0)</f>
        <v/>
      </c>
      <c r="J76">
        <f>EDATE(C76,I76)</f>
        <v/>
      </c>
      <c r="K76">
        <f>G76</f>
        <v/>
      </c>
    </row>
    <row r="77">
      <c r="E77">
        <f>D77*VLOOKUP(A77,04_PROYECTOS!$A:$N,5,FALSE)*(INDEX(02B_ESCENARIOS!$B$4:$D$11, MATCH("MULT_PRECIO", 02B_ESCENARIOS!$A$4:$A$11, 0), MATCH("Agresivo", 02B_ESCENARIOS!$B$3:$D$3, 0)))*INDEX(02B_ESCENARIOS!$B$15:$D$19, MATCH(VLOOKUP(A77,04_PROYECTOS!$A:$N,9,FALSE), 02B_ESCENARIOS!$A$15:$A$19, 0), MATCH("Agresivo", 02B_ESCENARIOS!$B$14:$D$14, 0))</f>
        <v/>
      </c>
      <c r="F77">
        <f>E77*VLOOKUP(A77,04_PROYECTOS!$A:$N,6,FALSE)</f>
        <v/>
      </c>
      <c r="G77">
        <f>E77+F77</f>
        <v/>
      </c>
      <c r="H77">
        <f>IF(VLOOKUP(A77,04_PROYECTOS!$A:$N,10,FALSE)="", IF(VLOOKUP(A77,04_PROYECTOS!$A:$N,4,FALSE)="Privado", INDEX(02B_ESCENARIOS!$B$4:$D$11, MATCH("DSO_PRIVADO_DEFAULT", 02B_ESCENARIOS!$A$4:$A$11, 0), MATCH("Agresivo", 02B_ESCENARIOS!$B$3:$D$3, 0)), IF(VLOOKUP(A77,04_PROYECTOS!$A:$N,4,FALSE)="Publico_&lt;10M",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VLOOKUP(A77,04_PROYECTOS!$A:$N,10,FALSE))</f>
        <v/>
      </c>
      <c r="I77">
        <f>ROUNDUP(H77/30,0)</f>
        <v/>
      </c>
      <c r="J77">
        <f>EDATE(C77,I77)</f>
        <v/>
      </c>
      <c r="K77">
        <f>G77</f>
        <v/>
      </c>
    </row>
    <row r="78">
      <c r="E78">
        <f>D78*VLOOKUP(A78,04_PROYECTOS!$A:$N,5,FALSE)*(INDEX(02B_ESCENARIOS!$B$4:$D$11, MATCH("MULT_PRECIO", 02B_ESCENARIOS!$A$4:$A$11, 0), MATCH("Agresivo", 02B_ESCENARIOS!$B$3:$D$3, 0)))*INDEX(02B_ESCENARIOS!$B$15:$D$19, MATCH(VLOOKUP(A78,04_PROYECTOS!$A:$N,9,FALSE), 02B_ESCENARIOS!$A$15:$A$19, 0), MATCH("Agresivo", 02B_ESCENARIOS!$B$14:$D$14, 0))</f>
        <v/>
      </c>
      <c r="F78">
        <f>E78*VLOOKUP(A78,04_PROYECTOS!$A:$N,6,FALSE)</f>
        <v/>
      </c>
      <c r="G78">
        <f>E78+F78</f>
        <v/>
      </c>
      <c r="H78">
        <f>IF(VLOOKUP(A78,04_PROYECTOS!$A:$N,10,FALSE)="", IF(VLOOKUP(A78,04_PROYECTOS!$A:$N,4,FALSE)="Privado", INDEX(02B_ESCENARIOS!$B$4:$D$11, MATCH("DSO_PRIVADO_DEFAULT", 02B_ESCENARIOS!$A$4:$A$11, 0), MATCH("Agresivo", 02B_ESCENARIOS!$B$3:$D$3, 0)), IF(VLOOKUP(A78,04_PROYECTOS!$A:$N,4,FALSE)="Publico_&lt;10M",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VLOOKUP(A78,04_PROYECTOS!$A:$N,10,FALSE))</f>
        <v/>
      </c>
      <c r="I78">
        <f>ROUNDUP(H78/30,0)</f>
        <v/>
      </c>
      <c r="J78">
        <f>EDATE(C78,I78)</f>
        <v/>
      </c>
      <c r="K78">
        <f>G78</f>
        <v/>
      </c>
    </row>
    <row r="79">
      <c r="E79">
        <f>D79*VLOOKUP(A79,04_PROYECTOS!$A:$N,5,FALSE)*(INDEX(02B_ESCENARIOS!$B$4:$D$11, MATCH("MULT_PRECIO", 02B_ESCENARIOS!$A$4:$A$11, 0), MATCH("Agresivo", 02B_ESCENARIOS!$B$3:$D$3, 0)))*INDEX(02B_ESCENARIOS!$B$15:$D$19, MATCH(VLOOKUP(A79,04_PROYECTOS!$A:$N,9,FALSE), 02B_ESCENARIOS!$A$15:$A$19, 0), MATCH("Agresivo", 02B_ESCENARIOS!$B$14:$D$14, 0))</f>
        <v/>
      </c>
      <c r="F79">
        <f>E79*VLOOKUP(A79,04_PROYECTOS!$A:$N,6,FALSE)</f>
        <v/>
      </c>
      <c r="G79">
        <f>E79+F79</f>
        <v/>
      </c>
      <c r="H79">
        <f>IF(VLOOKUP(A79,04_PROYECTOS!$A:$N,10,FALSE)="", IF(VLOOKUP(A79,04_PROYECTOS!$A:$N,4,FALSE)="Privado", INDEX(02B_ESCENARIOS!$B$4:$D$11, MATCH("DSO_PRIVADO_DEFAULT", 02B_ESCENARIOS!$A$4:$A$11, 0), MATCH("Agresivo", 02B_ESCENARIOS!$B$3:$D$3, 0)), IF(VLOOKUP(A79,04_PROYECTOS!$A:$N,4,FALSE)="Publico_&lt;10M",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VLOOKUP(A79,04_PROYECTOS!$A:$N,10,FALSE))</f>
        <v/>
      </c>
      <c r="I79">
        <f>ROUNDUP(H79/30,0)</f>
        <v/>
      </c>
      <c r="J79">
        <f>EDATE(C79,I79)</f>
        <v/>
      </c>
      <c r="K79">
        <f>G79</f>
        <v/>
      </c>
    </row>
    <row r="80">
      <c r="E80">
        <f>D80*VLOOKUP(A80,04_PROYECTOS!$A:$N,5,FALSE)*(INDEX(02B_ESCENARIOS!$B$4:$D$11, MATCH("MULT_PRECIO", 02B_ESCENARIOS!$A$4:$A$11, 0), MATCH("Agresivo", 02B_ESCENARIOS!$B$3:$D$3, 0)))*INDEX(02B_ESCENARIOS!$B$15:$D$19, MATCH(VLOOKUP(A80,04_PROYECTOS!$A:$N,9,FALSE), 02B_ESCENARIOS!$A$15:$A$19, 0), MATCH("Agresivo", 02B_ESCENARIOS!$B$14:$D$14, 0))</f>
        <v/>
      </c>
      <c r="F80">
        <f>E80*VLOOKUP(A80,04_PROYECTOS!$A:$N,6,FALSE)</f>
        <v/>
      </c>
      <c r="G80">
        <f>E80+F80</f>
        <v/>
      </c>
      <c r="H80">
        <f>IF(VLOOKUP(A80,04_PROYECTOS!$A:$N,10,FALSE)="", IF(VLOOKUP(A80,04_PROYECTOS!$A:$N,4,FALSE)="Privado", INDEX(02B_ESCENARIOS!$B$4:$D$11, MATCH("DSO_PRIVADO_DEFAULT", 02B_ESCENARIOS!$A$4:$A$11, 0), MATCH("Agresivo", 02B_ESCENARIOS!$B$3:$D$3, 0)), IF(VLOOKUP(A80,04_PROYECTOS!$A:$N,4,FALSE)="Publico_&lt;10M",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VLOOKUP(A80,04_PROYECTOS!$A:$N,10,FALSE))</f>
        <v/>
      </c>
      <c r="I80">
        <f>ROUNDUP(H80/30,0)</f>
        <v/>
      </c>
      <c r="J80">
        <f>EDATE(C80,I80)</f>
        <v/>
      </c>
      <c r="K80">
        <f>G80</f>
        <v/>
      </c>
    </row>
    <row r="81">
      <c r="E81">
        <f>D81*VLOOKUP(A81,04_PROYECTOS!$A:$N,5,FALSE)*(INDEX(02B_ESCENARIOS!$B$4:$D$11, MATCH("MULT_PRECIO", 02B_ESCENARIOS!$A$4:$A$11, 0), MATCH("Agresivo", 02B_ESCENARIOS!$B$3:$D$3, 0)))*INDEX(02B_ESCENARIOS!$B$15:$D$19, MATCH(VLOOKUP(A81,04_PROYECTOS!$A:$N,9,FALSE), 02B_ESCENARIOS!$A$15:$A$19, 0), MATCH("Agresivo", 02B_ESCENARIOS!$B$14:$D$14, 0))</f>
        <v/>
      </c>
      <c r="F81">
        <f>E81*VLOOKUP(A81,04_PROYECTOS!$A:$N,6,FALSE)</f>
        <v/>
      </c>
      <c r="G81">
        <f>E81+F81</f>
        <v/>
      </c>
      <c r="H81">
        <f>IF(VLOOKUP(A81,04_PROYECTOS!$A:$N,10,FALSE)="", IF(VLOOKUP(A81,04_PROYECTOS!$A:$N,4,FALSE)="Privado", INDEX(02B_ESCENARIOS!$B$4:$D$11, MATCH("DSO_PRIVADO_DEFAULT", 02B_ESCENARIOS!$A$4:$A$11, 0), MATCH("Agresivo", 02B_ESCENARIOS!$B$3:$D$3, 0)), IF(VLOOKUP(A81,04_PROYECTOS!$A:$N,4,FALSE)="Publico_&lt;10M",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VLOOKUP(A81,04_PROYECTOS!$A:$N,10,FALSE))</f>
        <v/>
      </c>
      <c r="I81">
        <f>ROUNDUP(H81/30,0)</f>
        <v/>
      </c>
      <c r="J81">
        <f>EDATE(C81,I81)</f>
        <v/>
      </c>
      <c r="K81">
        <f>G81</f>
        <v/>
      </c>
    </row>
    <row r="82">
      <c r="E82">
        <f>D82*VLOOKUP(A82,04_PROYECTOS!$A:$N,5,FALSE)*(INDEX(02B_ESCENARIOS!$B$4:$D$11, MATCH("MULT_PRECIO", 02B_ESCENARIOS!$A$4:$A$11, 0), MATCH("Agresivo", 02B_ESCENARIOS!$B$3:$D$3, 0)))*INDEX(02B_ESCENARIOS!$B$15:$D$19, MATCH(VLOOKUP(A82,04_PROYECTOS!$A:$N,9,FALSE), 02B_ESCENARIOS!$A$15:$A$19, 0), MATCH("Agresivo", 02B_ESCENARIOS!$B$14:$D$14, 0))</f>
        <v/>
      </c>
      <c r="F82">
        <f>E82*VLOOKUP(A82,04_PROYECTOS!$A:$N,6,FALSE)</f>
        <v/>
      </c>
      <c r="G82">
        <f>E82+F82</f>
        <v/>
      </c>
      <c r="H82">
        <f>IF(VLOOKUP(A82,04_PROYECTOS!$A:$N,10,FALSE)="", IF(VLOOKUP(A82,04_PROYECTOS!$A:$N,4,FALSE)="Privado", INDEX(02B_ESCENARIOS!$B$4:$D$11, MATCH("DSO_PRIVADO_DEFAULT", 02B_ESCENARIOS!$A$4:$A$11, 0), MATCH("Agresivo", 02B_ESCENARIOS!$B$3:$D$3, 0)), IF(VLOOKUP(A82,04_PROYECTOS!$A:$N,4,FALSE)="Publico_&lt;10M",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VLOOKUP(A82,04_PROYECTOS!$A:$N,10,FALSE))</f>
        <v/>
      </c>
      <c r="I82">
        <f>ROUNDUP(H82/30,0)</f>
        <v/>
      </c>
      <c r="J82">
        <f>EDATE(C82,I82)</f>
        <v/>
      </c>
      <c r="K82">
        <f>G82</f>
        <v/>
      </c>
    </row>
    <row r="83">
      <c r="E83">
        <f>D83*VLOOKUP(A83,04_PROYECTOS!$A:$N,5,FALSE)*(INDEX(02B_ESCENARIOS!$B$4:$D$11, MATCH("MULT_PRECIO", 02B_ESCENARIOS!$A$4:$A$11, 0), MATCH("Agresivo", 02B_ESCENARIOS!$B$3:$D$3, 0)))*INDEX(02B_ESCENARIOS!$B$15:$D$19, MATCH(VLOOKUP(A83,04_PROYECTOS!$A:$N,9,FALSE), 02B_ESCENARIOS!$A$15:$A$19, 0), MATCH("Agresivo", 02B_ESCENARIOS!$B$14:$D$14, 0))</f>
        <v/>
      </c>
      <c r="F83">
        <f>E83*VLOOKUP(A83,04_PROYECTOS!$A:$N,6,FALSE)</f>
        <v/>
      </c>
      <c r="G83">
        <f>E83+F83</f>
        <v/>
      </c>
      <c r="H83">
        <f>IF(VLOOKUP(A83,04_PROYECTOS!$A:$N,10,FALSE)="", IF(VLOOKUP(A83,04_PROYECTOS!$A:$N,4,FALSE)="Privado", INDEX(02B_ESCENARIOS!$B$4:$D$11, MATCH("DSO_PRIVADO_DEFAULT", 02B_ESCENARIOS!$A$4:$A$11, 0), MATCH("Agresivo", 02B_ESCENARIOS!$B$3:$D$3, 0)), IF(VLOOKUP(A83,04_PROYECTOS!$A:$N,4,FALSE)="Publico_&lt;10M",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VLOOKUP(A83,04_PROYECTOS!$A:$N,10,FALSE))</f>
        <v/>
      </c>
      <c r="I83">
        <f>ROUNDUP(H83/30,0)</f>
        <v/>
      </c>
      <c r="J83">
        <f>EDATE(C83,I83)</f>
        <v/>
      </c>
      <c r="K83">
        <f>G83</f>
        <v/>
      </c>
    </row>
    <row r="84">
      <c r="E84">
        <f>D84*VLOOKUP(A84,04_PROYECTOS!$A:$N,5,FALSE)*(INDEX(02B_ESCENARIOS!$B$4:$D$11, MATCH("MULT_PRECIO", 02B_ESCENARIOS!$A$4:$A$11, 0), MATCH("Agresivo", 02B_ESCENARIOS!$B$3:$D$3, 0)))*INDEX(02B_ESCENARIOS!$B$15:$D$19, MATCH(VLOOKUP(A84,04_PROYECTOS!$A:$N,9,FALSE), 02B_ESCENARIOS!$A$15:$A$19, 0), MATCH("Agresivo", 02B_ESCENARIOS!$B$14:$D$14, 0))</f>
        <v/>
      </c>
      <c r="F84">
        <f>E84*VLOOKUP(A84,04_PROYECTOS!$A:$N,6,FALSE)</f>
        <v/>
      </c>
      <c r="G84">
        <f>E84+F84</f>
        <v/>
      </c>
      <c r="H84">
        <f>IF(VLOOKUP(A84,04_PROYECTOS!$A:$N,10,FALSE)="", IF(VLOOKUP(A84,04_PROYECTOS!$A:$N,4,FALSE)="Privado", INDEX(02B_ESCENARIOS!$B$4:$D$11, MATCH("DSO_PRIVADO_DEFAULT", 02B_ESCENARIOS!$A$4:$A$11, 0), MATCH("Agresivo", 02B_ESCENARIOS!$B$3:$D$3, 0)), IF(VLOOKUP(A84,04_PROYECTOS!$A:$N,4,FALSE)="Publico_&lt;10M",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VLOOKUP(A84,04_PROYECTOS!$A:$N,10,FALSE))</f>
        <v/>
      </c>
      <c r="I84">
        <f>ROUNDUP(H84/30,0)</f>
        <v/>
      </c>
      <c r="J84">
        <f>EDATE(C84,I84)</f>
        <v/>
      </c>
      <c r="K84">
        <f>G84</f>
        <v/>
      </c>
    </row>
    <row r="85">
      <c r="E85">
        <f>D85*VLOOKUP(A85,04_PROYECTOS!$A:$N,5,FALSE)*(INDEX(02B_ESCENARIOS!$B$4:$D$11, MATCH("MULT_PRECIO", 02B_ESCENARIOS!$A$4:$A$11, 0), MATCH("Agresivo", 02B_ESCENARIOS!$B$3:$D$3, 0)))*INDEX(02B_ESCENARIOS!$B$15:$D$19, MATCH(VLOOKUP(A85,04_PROYECTOS!$A:$N,9,FALSE), 02B_ESCENARIOS!$A$15:$A$19, 0), MATCH("Agresivo", 02B_ESCENARIOS!$B$14:$D$14, 0))</f>
        <v/>
      </c>
      <c r="F85">
        <f>E85*VLOOKUP(A85,04_PROYECTOS!$A:$N,6,FALSE)</f>
        <v/>
      </c>
      <c r="G85">
        <f>E85+F85</f>
        <v/>
      </c>
      <c r="H85">
        <f>IF(VLOOKUP(A85,04_PROYECTOS!$A:$N,10,FALSE)="", IF(VLOOKUP(A85,04_PROYECTOS!$A:$N,4,FALSE)="Privado", INDEX(02B_ESCENARIOS!$B$4:$D$11, MATCH("DSO_PRIVADO_DEFAULT", 02B_ESCENARIOS!$A$4:$A$11, 0), MATCH("Agresivo", 02B_ESCENARIOS!$B$3:$D$3, 0)), IF(VLOOKUP(A85,04_PROYECTOS!$A:$N,4,FALSE)="Publico_&lt;10M",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VLOOKUP(A85,04_PROYECTOS!$A:$N,10,FALSE))</f>
        <v/>
      </c>
      <c r="I85">
        <f>ROUNDUP(H85/30,0)</f>
        <v/>
      </c>
      <c r="J85">
        <f>EDATE(C85,I85)</f>
        <v/>
      </c>
      <c r="K85">
        <f>G85</f>
        <v/>
      </c>
    </row>
    <row r="86">
      <c r="E86">
        <f>D86*VLOOKUP(A86,04_PROYECTOS!$A:$N,5,FALSE)*(INDEX(02B_ESCENARIOS!$B$4:$D$11, MATCH("MULT_PRECIO", 02B_ESCENARIOS!$A$4:$A$11, 0), MATCH("Agresivo", 02B_ESCENARIOS!$B$3:$D$3, 0)))*INDEX(02B_ESCENARIOS!$B$15:$D$19, MATCH(VLOOKUP(A86,04_PROYECTOS!$A:$N,9,FALSE), 02B_ESCENARIOS!$A$15:$A$19, 0), MATCH("Agresivo", 02B_ESCENARIOS!$B$14:$D$14, 0))</f>
        <v/>
      </c>
      <c r="F86">
        <f>E86*VLOOKUP(A86,04_PROYECTOS!$A:$N,6,FALSE)</f>
        <v/>
      </c>
      <c r="G86">
        <f>E86+F86</f>
        <v/>
      </c>
      <c r="H86">
        <f>IF(VLOOKUP(A86,04_PROYECTOS!$A:$N,10,FALSE)="", IF(VLOOKUP(A86,04_PROYECTOS!$A:$N,4,FALSE)="Privado", INDEX(02B_ESCENARIOS!$B$4:$D$11, MATCH("DSO_PRIVADO_DEFAULT", 02B_ESCENARIOS!$A$4:$A$11, 0), MATCH("Agresivo", 02B_ESCENARIOS!$B$3:$D$3, 0)), IF(VLOOKUP(A86,04_PROYECTOS!$A:$N,4,FALSE)="Publico_&lt;10M",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VLOOKUP(A86,04_PROYECTOS!$A:$N,10,FALSE))</f>
        <v/>
      </c>
      <c r="I86">
        <f>ROUNDUP(H86/30,0)</f>
        <v/>
      </c>
      <c r="J86">
        <f>EDATE(C86,I86)</f>
        <v/>
      </c>
      <c r="K86">
        <f>G86</f>
        <v/>
      </c>
    </row>
    <row r="87">
      <c r="E87">
        <f>D87*VLOOKUP(A87,04_PROYECTOS!$A:$N,5,FALSE)*(INDEX(02B_ESCENARIOS!$B$4:$D$11, MATCH("MULT_PRECIO", 02B_ESCENARIOS!$A$4:$A$11, 0), MATCH("Agresivo", 02B_ESCENARIOS!$B$3:$D$3, 0)))*INDEX(02B_ESCENARIOS!$B$15:$D$19, MATCH(VLOOKUP(A87,04_PROYECTOS!$A:$N,9,FALSE), 02B_ESCENARIOS!$A$15:$A$19, 0), MATCH("Agresivo", 02B_ESCENARIOS!$B$14:$D$14, 0))</f>
        <v/>
      </c>
      <c r="F87">
        <f>E87*VLOOKUP(A87,04_PROYECTOS!$A:$N,6,FALSE)</f>
        <v/>
      </c>
      <c r="G87">
        <f>E87+F87</f>
        <v/>
      </c>
      <c r="H87">
        <f>IF(VLOOKUP(A87,04_PROYECTOS!$A:$N,10,FALSE)="", IF(VLOOKUP(A87,04_PROYECTOS!$A:$N,4,FALSE)="Privado", INDEX(02B_ESCENARIOS!$B$4:$D$11, MATCH("DSO_PRIVADO_DEFAULT", 02B_ESCENARIOS!$A$4:$A$11, 0), MATCH("Agresivo", 02B_ESCENARIOS!$B$3:$D$3, 0)), IF(VLOOKUP(A87,04_PROYECTOS!$A:$N,4,FALSE)="Publico_&lt;10M",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VLOOKUP(A87,04_PROYECTOS!$A:$N,10,FALSE))</f>
        <v/>
      </c>
      <c r="I87">
        <f>ROUNDUP(H87/30,0)</f>
        <v/>
      </c>
      <c r="J87">
        <f>EDATE(C87,I87)</f>
        <v/>
      </c>
      <c r="K87">
        <f>G87</f>
        <v/>
      </c>
    </row>
    <row r="88">
      <c r="E88">
        <f>D88*VLOOKUP(A88,04_PROYECTOS!$A:$N,5,FALSE)*(INDEX(02B_ESCENARIOS!$B$4:$D$11, MATCH("MULT_PRECIO", 02B_ESCENARIOS!$A$4:$A$11, 0), MATCH("Agresivo", 02B_ESCENARIOS!$B$3:$D$3, 0)))*INDEX(02B_ESCENARIOS!$B$15:$D$19, MATCH(VLOOKUP(A88,04_PROYECTOS!$A:$N,9,FALSE), 02B_ESCENARIOS!$A$15:$A$19, 0), MATCH("Agresivo", 02B_ESCENARIOS!$B$14:$D$14, 0))</f>
        <v/>
      </c>
      <c r="F88">
        <f>E88*VLOOKUP(A88,04_PROYECTOS!$A:$N,6,FALSE)</f>
        <v/>
      </c>
      <c r="G88">
        <f>E88+F88</f>
        <v/>
      </c>
      <c r="H88">
        <f>IF(VLOOKUP(A88,04_PROYECTOS!$A:$N,10,FALSE)="", IF(VLOOKUP(A88,04_PROYECTOS!$A:$N,4,FALSE)="Privado", INDEX(02B_ESCENARIOS!$B$4:$D$11, MATCH("DSO_PRIVADO_DEFAULT", 02B_ESCENARIOS!$A$4:$A$11, 0), MATCH("Agresivo", 02B_ESCENARIOS!$B$3:$D$3, 0)), IF(VLOOKUP(A88,04_PROYECTOS!$A:$N,4,FALSE)="Publico_&lt;10M",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VLOOKUP(A88,04_PROYECTOS!$A:$N,10,FALSE))</f>
        <v/>
      </c>
      <c r="I88">
        <f>ROUNDUP(H88/30,0)</f>
        <v/>
      </c>
      <c r="J88">
        <f>EDATE(C88,I88)</f>
        <v/>
      </c>
      <c r="K88">
        <f>G88</f>
        <v/>
      </c>
    </row>
    <row r="89">
      <c r="E89">
        <f>D89*VLOOKUP(A89,04_PROYECTOS!$A:$N,5,FALSE)*(INDEX(02B_ESCENARIOS!$B$4:$D$11, MATCH("MULT_PRECIO", 02B_ESCENARIOS!$A$4:$A$11, 0), MATCH("Agresivo", 02B_ESCENARIOS!$B$3:$D$3, 0)))*INDEX(02B_ESCENARIOS!$B$15:$D$19, MATCH(VLOOKUP(A89,04_PROYECTOS!$A:$N,9,FALSE), 02B_ESCENARIOS!$A$15:$A$19, 0), MATCH("Agresivo", 02B_ESCENARIOS!$B$14:$D$14, 0))</f>
        <v/>
      </c>
      <c r="F89">
        <f>E89*VLOOKUP(A89,04_PROYECTOS!$A:$N,6,FALSE)</f>
        <v/>
      </c>
      <c r="G89">
        <f>E89+F89</f>
        <v/>
      </c>
      <c r="H89">
        <f>IF(VLOOKUP(A89,04_PROYECTOS!$A:$N,10,FALSE)="", IF(VLOOKUP(A89,04_PROYECTOS!$A:$N,4,FALSE)="Privado", INDEX(02B_ESCENARIOS!$B$4:$D$11, MATCH("DSO_PRIVADO_DEFAULT", 02B_ESCENARIOS!$A$4:$A$11, 0), MATCH("Agresivo", 02B_ESCENARIOS!$B$3:$D$3, 0)), IF(VLOOKUP(A89,04_PROYECTOS!$A:$N,4,FALSE)="Publico_&lt;10M",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VLOOKUP(A89,04_PROYECTOS!$A:$N,10,FALSE))</f>
        <v/>
      </c>
      <c r="I89">
        <f>ROUNDUP(H89/30,0)</f>
        <v/>
      </c>
      <c r="J89">
        <f>EDATE(C89,I89)</f>
        <v/>
      </c>
      <c r="K89">
        <f>G89</f>
        <v/>
      </c>
    </row>
    <row r="90">
      <c r="E90">
        <f>D90*VLOOKUP(A90,04_PROYECTOS!$A:$N,5,FALSE)*(INDEX(02B_ESCENARIOS!$B$4:$D$11, MATCH("MULT_PRECIO", 02B_ESCENARIOS!$A$4:$A$11, 0), MATCH("Agresivo", 02B_ESCENARIOS!$B$3:$D$3, 0)))*INDEX(02B_ESCENARIOS!$B$15:$D$19, MATCH(VLOOKUP(A90,04_PROYECTOS!$A:$N,9,FALSE), 02B_ESCENARIOS!$A$15:$A$19, 0), MATCH("Agresivo", 02B_ESCENARIOS!$B$14:$D$14, 0))</f>
        <v/>
      </c>
      <c r="F90">
        <f>E90*VLOOKUP(A90,04_PROYECTOS!$A:$N,6,FALSE)</f>
        <v/>
      </c>
      <c r="G90">
        <f>E90+F90</f>
        <v/>
      </c>
      <c r="H90">
        <f>IF(VLOOKUP(A90,04_PROYECTOS!$A:$N,10,FALSE)="", IF(VLOOKUP(A90,04_PROYECTOS!$A:$N,4,FALSE)="Privado", INDEX(02B_ESCENARIOS!$B$4:$D$11, MATCH("DSO_PRIVADO_DEFAULT", 02B_ESCENARIOS!$A$4:$A$11, 0), MATCH("Agresivo", 02B_ESCENARIOS!$B$3:$D$3, 0)), IF(VLOOKUP(A90,04_PROYECTOS!$A:$N,4,FALSE)="Publico_&lt;10M",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VLOOKUP(A90,04_PROYECTOS!$A:$N,10,FALSE))</f>
        <v/>
      </c>
      <c r="I90">
        <f>ROUNDUP(H90/30,0)</f>
        <v/>
      </c>
      <c r="J90">
        <f>EDATE(C90,I90)</f>
        <v/>
      </c>
      <c r="K90">
        <f>G90</f>
        <v/>
      </c>
    </row>
    <row r="91">
      <c r="E91">
        <f>D91*VLOOKUP(A91,04_PROYECTOS!$A:$N,5,FALSE)*(INDEX(02B_ESCENARIOS!$B$4:$D$11, MATCH("MULT_PRECIO", 02B_ESCENARIOS!$A$4:$A$11, 0), MATCH("Agresivo", 02B_ESCENARIOS!$B$3:$D$3, 0)))*INDEX(02B_ESCENARIOS!$B$15:$D$19, MATCH(VLOOKUP(A91,04_PROYECTOS!$A:$N,9,FALSE), 02B_ESCENARIOS!$A$15:$A$19, 0), MATCH("Agresivo", 02B_ESCENARIOS!$B$14:$D$14, 0))</f>
        <v/>
      </c>
      <c r="F91">
        <f>E91*VLOOKUP(A91,04_PROYECTOS!$A:$N,6,FALSE)</f>
        <v/>
      </c>
      <c r="G91">
        <f>E91+F91</f>
        <v/>
      </c>
      <c r="H91">
        <f>IF(VLOOKUP(A91,04_PROYECTOS!$A:$N,10,FALSE)="", IF(VLOOKUP(A91,04_PROYECTOS!$A:$N,4,FALSE)="Privado", INDEX(02B_ESCENARIOS!$B$4:$D$11, MATCH("DSO_PRIVADO_DEFAULT", 02B_ESCENARIOS!$A$4:$A$11, 0), MATCH("Agresivo", 02B_ESCENARIOS!$B$3:$D$3, 0)), IF(VLOOKUP(A91,04_PROYECTOS!$A:$N,4,FALSE)="Publico_&lt;10M",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VLOOKUP(A91,04_PROYECTOS!$A:$N,10,FALSE))</f>
        <v/>
      </c>
      <c r="I91">
        <f>ROUNDUP(H91/30,0)</f>
        <v/>
      </c>
      <c r="J91">
        <f>EDATE(C91,I91)</f>
        <v/>
      </c>
      <c r="K91">
        <f>G91</f>
        <v/>
      </c>
    </row>
    <row r="92">
      <c r="E92">
        <f>D92*VLOOKUP(A92,04_PROYECTOS!$A:$N,5,FALSE)*(INDEX(02B_ESCENARIOS!$B$4:$D$11, MATCH("MULT_PRECIO", 02B_ESCENARIOS!$A$4:$A$11, 0), MATCH("Agresivo", 02B_ESCENARIOS!$B$3:$D$3, 0)))*INDEX(02B_ESCENARIOS!$B$15:$D$19, MATCH(VLOOKUP(A92,04_PROYECTOS!$A:$N,9,FALSE), 02B_ESCENARIOS!$A$15:$A$19, 0), MATCH("Agresivo", 02B_ESCENARIOS!$B$14:$D$14, 0))</f>
        <v/>
      </c>
      <c r="F92">
        <f>E92*VLOOKUP(A92,04_PROYECTOS!$A:$N,6,FALSE)</f>
        <v/>
      </c>
      <c r="G92">
        <f>E92+F92</f>
        <v/>
      </c>
      <c r="H92">
        <f>IF(VLOOKUP(A92,04_PROYECTOS!$A:$N,10,FALSE)="", IF(VLOOKUP(A92,04_PROYECTOS!$A:$N,4,FALSE)="Privado", INDEX(02B_ESCENARIOS!$B$4:$D$11, MATCH("DSO_PRIVADO_DEFAULT", 02B_ESCENARIOS!$A$4:$A$11, 0), MATCH("Agresivo", 02B_ESCENARIOS!$B$3:$D$3, 0)), IF(VLOOKUP(A92,04_PROYECTOS!$A:$N,4,FALSE)="Publico_&lt;10M",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VLOOKUP(A92,04_PROYECTOS!$A:$N,10,FALSE))</f>
        <v/>
      </c>
      <c r="I92">
        <f>ROUNDUP(H92/30,0)</f>
        <v/>
      </c>
      <c r="J92">
        <f>EDATE(C92,I92)</f>
        <v/>
      </c>
      <c r="K92">
        <f>G92</f>
        <v/>
      </c>
    </row>
    <row r="93">
      <c r="E93">
        <f>D93*VLOOKUP(A93,04_PROYECTOS!$A:$N,5,FALSE)*(INDEX(02B_ESCENARIOS!$B$4:$D$11, MATCH("MULT_PRECIO", 02B_ESCENARIOS!$A$4:$A$11, 0), MATCH("Agresivo", 02B_ESCENARIOS!$B$3:$D$3, 0)))*INDEX(02B_ESCENARIOS!$B$15:$D$19, MATCH(VLOOKUP(A93,04_PROYECTOS!$A:$N,9,FALSE), 02B_ESCENARIOS!$A$15:$A$19, 0), MATCH("Agresivo", 02B_ESCENARIOS!$B$14:$D$14, 0))</f>
        <v/>
      </c>
      <c r="F93">
        <f>E93*VLOOKUP(A93,04_PROYECTOS!$A:$N,6,FALSE)</f>
        <v/>
      </c>
      <c r="G93">
        <f>E93+F93</f>
        <v/>
      </c>
      <c r="H93">
        <f>IF(VLOOKUP(A93,04_PROYECTOS!$A:$N,10,FALSE)="", IF(VLOOKUP(A93,04_PROYECTOS!$A:$N,4,FALSE)="Privado", INDEX(02B_ESCENARIOS!$B$4:$D$11, MATCH("DSO_PRIVADO_DEFAULT", 02B_ESCENARIOS!$A$4:$A$11, 0), MATCH("Agresivo", 02B_ESCENARIOS!$B$3:$D$3, 0)), IF(VLOOKUP(A93,04_PROYECTOS!$A:$N,4,FALSE)="Publico_&lt;10M",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VLOOKUP(A93,04_PROYECTOS!$A:$N,10,FALSE))</f>
        <v/>
      </c>
      <c r="I93">
        <f>ROUNDUP(H93/30,0)</f>
        <v/>
      </c>
      <c r="J93">
        <f>EDATE(C93,I93)</f>
        <v/>
      </c>
      <c r="K93">
        <f>G93</f>
        <v/>
      </c>
    </row>
    <row r="94">
      <c r="E94">
        <f>D94*VLOOKUP(A94,04_PROYECTOS!$A:$N,5,FALSE)*(INDEX(02B_ESCENARIOS!$B$4:$D$11, MATCH("MULT_PRECIO", 02B_ESCENARIOS!$A$4:$A$11, 0), MATCH("Agresivo", 02B_ESCENARIOS!$B$3:$D$3, 0)))*INDEX(02B_ESCENARIOS!$B$15:$D$19, MATCH(VLOOKUP(A94,04_PROYECTOS!$A:$N,9,FALSE), 02B_ESCENARIOS!$A$15:$A$19, 0), MATCH("Agresivo", 02B_ESCENARIOS!$B$14:$D$14, 0))</f>
        <v/>
      </c>
      <c r="F94">
        <f>E94*VLOOKUP(A94,04_PROYECTOS!$A:$N,6,FALSE)</f>
        <v/>
      </c>
      <c r="G94">
        <f>E94+F94</f>
        <v/>
      </c>
      <c r="H94">
        <f>IF(VLOOKUP(A94,04_PROYECTOS!$A:$N,10,FALSE)="", IF(VLOOKUP(A94,04_PROYECTOS!$A:$N,4,FALSE)="Privado", INDEX(02B_ESCENARIOS!$B$4:$D$11, MATCH("DSO_PRIVADO_DEFAULT", 02B_ESCENARIOS!$A$4:$A$11, 0), MATCH("Agresivo", 02B_ESCENARIOS!$B$3:$D$3, 0)), IF(VLOOKUP(A94,04_PROYECTOS!$A:$N,4,FALSE)="Publico_&lt;10M",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VLOOKUP(A94,04_PROYECTOS!$A:$N,10,FALSE))</f>
        <v/>
      </c>
      <c r="I94">
        <f>ROUNDUP(H94/30,0)</f>
        <v/>
      </c>
      <c r="J94">
        <f>EDATE(C94,I94)</f>
        <v/>
      </c>
      <c r="K94">
        <f>G94</f>
        <v/>
      </c>
    </row>
    <row r="95">
      <c r="E95">
        <f>D95*VLOOKUP(A95,04_PROYECTOS!$A:$N,5,FALSE)*(INDEX(02B_ESCENARIOS!$B$4:$D$11, MATCH("MULT_PRECIO", 02B_ESCENARIOS!$A$4:$A$11, 0), MATCH("Agresivo", 02B_ESCENARIOS!$B$3:$D$3, 0)))*INDEX(02B_ESCENARIOS!$B$15:$D$19, MATCH(VLOOKUP(A95,04_PROYECTOS!$A:$N,9,FALSE), 02B_ESCENARIOS!$A$15:$A$19, 0), MATCH("Agresivo", 02B_ESCENARIOS!$B$14:$D$14, 0))</f>
        <v/>
      </c>
      <c r="F95">
        <f>E95*VLOOKUP(A95,04_PROYECTOS!$A:$N,6,FALSE)</f>
        <v/>
      </c>
      <c r="G95">
        <f>E95+F95</f>
        <v/>
      </c>
      <c r="H95">
        <f>IF(VLOOKUP(A95,04_PROYECTOS!$A:$N,10,FALSE)="", IF(VLOOKUP(A95,04_PROYECTOS!$A:$N,4,FALSE)="Privado", INDEX(02B_ESCENARIOS!$B$4:$D$11, MATCH("DSO_PRIVADO_DEFAULT", 02B_ESCENARIOS!$A$4:$A$11, 0), MATCH("Agresivo", 02B_ESCENARIOS!$B$3:$D$3, 0)), IF(VLOOKUP(A95,04_PROYECTOS!$A:$N,4,FALSE)="Publico_&lt;10M",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VLOOKUP(A95,04_PROYECTOS!$A:$N,10,FALSE))</f>
        <v/>
      </c>
      <c r="I95">
        <f>ROUNDUP(H95/30,0)</f>
        <v/>
      </c>
      <c r="J95">
        <f>EDATE(C95,I95)</f>
        <v/>
      </c>
      <c r="K95">
        <f>G95</f>
        <v/>
      </c>
    </row>
    <row r="96">
      <c r="E96">
        <f>D96*VLOOKUP(A96,04_PROYECTOS!$A:$N,5,FALSE)*(INDEX(02B_ESCENARIOS!$B$4:$D$11, MATCH("MULT_PRECIO", 02B_ESCENARIOS!$A$4:$A$11, 0), MATCH("Agresivo", 02B_ESCENARIOS!$B$3:$D$3, 0)))*INDEX(02B_ESCENARIOS!$B$15:$D$19, MATCH(VLOOKUP(A96,04_PROYECTOS!$A:$N,9,FALSE), 02B_ESCENARIOS!$A$15:$A$19, 0), MATCH("Agresivo", 02B_ESCENARIOS!$B$14:$D$14, 0))</f>
        <v/>
      </c>
      <c r="F96">
        <f>E96*VLOOKUP(A96,04_PROYECTOS!$A:$N,6,FALSE)</f>
        <v/>
      </c>
      <c r="G96">
        <f>E96+F96</f>
        <v/>
      </c>
      <c r="H96">
        <f>IF(VLOOKUP(A96,04_PROYECTOS!$A:$N,10,FALSE)="", IF(VLOOKUP(A96,04_PROYECTOS!$A:$N,4,FALSE)="Privado", INDEX(02B_ESCENARIOS!$B$4:$D$11, MATCH("DSO_PRIVADO_DEFAULT", 02B_ESCENARIOS!$A$4:$A$11, 0), MATCH("Agresivo", 02B_ESCENARIOS!$B$3:$D$3, 0)), IF(VLOOKUP(A96,04_PROYECTOS!$A:$N,4,FALSE)="Publico_&lt;10M",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VLOOKUP(A96,04_PROYECTOS!$A:$N,10,FALSE))</f>
        <v/>
      </c>
      <c r="I96">
        <f>ROUNDUP(H96/30,0)</f>
        <v/>
      </c>
      <c r="J96">
        <f>EDATE(C96,I96)</f>
        <v/>
      </c>
      <c r="K96">
        <f>G96</f>
        <v/>
      </c>
    </row>
    <row r="97">
      <c r="E97">
        <f>D97*VLOOKUP(A97,04_PROYECTOS!$A:$N,5,FALSE)*(INDEX(02B_ESCENARIOS!$B$4:$D$11, MATCH("MULT_PRECIO", 02B_ESCENARIOS!$A$4:$A$11, 0), MATCH("Agresivo", 02B_ESCENARIOS!$B$3:$D$3, 0)))*INDEX(02B_ESCENARIOS!$B$15:$D$19, MATCH(VLOOKUP(A97,04_PROYECTOS!$A:$N,9,FALSE), 02B_ESCENARIOS!$A$15:$A$19, 0), MATCH("Agresivo", 02B_ESCENARIOS!$B$14:$D$14, 0))</f>
        <v/>
      </c>
      <c r="F97">
        <f>E97*VLOOKUP(A97,04_PROYECTOS!$A:$N,6,FALSE)</f>
        <v/>
      </c>
      <c r="G97">
        <f>E97+F97</f>
        <v/>
      </c>
      <c r="H97">
        <f>IF(VLOOKUP(A97,04_PROYECTOS!$A:$N,10,FALSE)="", IF(VLOOKUP(A97,04_PROYECTOS!$A:$N,4,FALSE)="Privado", INDEX(02B_ESCENARIOS!$B$4:$D$11, MATCH("DSO_PRIVADO_DEFAULT", 02B_ESCENARIOS!$A$4:$A$11, 0), MATCH("Agresivo", 02B_ESCENARIOS!$B$3:$D$3, 0)), IF(VLOOKUP(A97,04_PROYECTOS!$A:$N,4,FALSE)="Publico_&lt;10M",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VLOOKUP(A97,04_PROYECTOS!$A:$N,10,FALSE))</f>
        <v/>
      </c>
      <c r="I97">
        <f>ROUNDUP(H97/30,0)</f>
        <v/>
      </c>
      <c r="J97">
        <f>EDATE(C97,I97)</f>
        <v/>
      </c>
      <c r="K97">
        <f>G97</f>
        <v/>
      </c>
    </row>
    <row r="98">
      <c r="E98">
        <f>D98*VLOOKUP(A98,04_PROYECTOS!$A:$N,5,FALSE)*(INDEX(02B_ESCENARIOS!$B$4:$D$11, MATCH("MULT_PRECIO", 02B_ESCENARIOS!$A$4:$A$11, 0), MATCH("Agresivo", 02B_ESCENARIOS!$B$3:$D$3, 0)))*INDEX(02B_ESCENARIOS!$B$15:$D$19, MATCH(VLOOKUP(A98,04_PROYECTOS!$A:$N,9,FALSE), 02B_ESCENARIOS!$A$15:$A$19, 0), MATCH("Agresivo", 02B_ESCENARIOS!$B$14:$D$14, 0))</f>
        <v/>
      </c>
      <c r="F98">
        <f>E98*VLOOKUP(A98,04_PROYECTOS!$A:$N,6,FALSE)</f>
        <v/>
      </c>
      <c r="G98">
        <f>E98+F98</f>
        <v/>
      </c>
      <c r="H98">
        <f>IF(VLOOKUP(A98,04_PROYECTOS!$A:$N,10,FALSE)="", IF(VLOOKUP(A98,04_PROYECTOS!$A:$N,4,FALSE)="Privado", INDEX(02B_ESCENARIOS!$B$4:$D$11, MATCH("DSO_PRIVADO_DEFAULT", 02B_ESCENARIOS!$A$4:$A$11, 0), MATCH("Agresivo", 02B_ESCENARIOS!$B$3:$D$3, 0)), IF(VLOOKUP(A98,04_PROYECTOS!$A:$N,4,FALSE)="Publico_&lt;10M",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VLOOKUP(A98,04_PROYECTOS!$A:$N,10,FALSE))</f>
        <v/>
      </c>
      <c r="I98">
        <f>ROUNDUP(H98/30,0)</f>
        <v/>
      </c>
      <c r="J98">
        <f>EDATE(C98,I98)</f>
        <v/>
      </c>
      <c r="K98">
        <f>G98</f>
        <v/>
      </c>
    </row>
    <row r="99">
      <c r="E99">
        <f>D99*VLOOKUP(A99,04_PROYECTOS!$A:$N,5,FALSE)*(INDEX(02B_ESCENARIOS!$B$4:$D$11, MATCH("MULT_PRECIO", 02B_ESCENARIOS!$A$4:$A$11, 0), MATCH("Agresivo", 02B_ESCENARIOS!$B$3:$D$3, 0)))*INDEX(02B_ESCENARIOS!$B$15:$D$19, MATCH(VLOOKUP(A99,04_PROYECTOS!$A:$N,9,FALSE), 02B_ESCENARIOS!$A$15:$A$19, 0), MATCH("Agresivo", 02B_ESCENARIOS!$B$14:$D$14, 0))</f>
        <v/>
      </c>
      <c r="F99">
        <f>E99*VLOOKUP(A99,04_PROYECTOS!$A:$N,6,FALSE)</f>
        <v/>
      </c>
      <c r="G99">
        <f>E99+F99</f>
        <v/>
      </c>
      <c r="H99">
        <f>IF(VLOOKUP(A99,04_PROYECTOS!$A:$N,10,FALSE)="", IF(VLOOKUP(A99,04_PROYECTOS!$A:$N,4,FALSE)="Privado", INDEX(02B_ESCENARIOS!$B$4:$D$11, MATCH("DSO_PRIVADO_DEFAULT", 02B_ESCENARIOS!$A$4:$A$11, 0), MATCH("Agresivo", 02B_ESCENARIOS!$B$3:$D$3, 0)), IF(VLOOKUP(A99,04_PROYECTOS!$A:$N,4,FALSE)="Publico_&lt;10M",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VLOOKUP(A99,04_PROYECTOS!$A:$N,10,FALSE))</f>
        <v/>
      </c>
      <c r="I99">
        <f>ROUNDUP(H99/30,0)</f>
        <v/>
      </c>
      <c r="J99">
        <f>EDATE(C99,I99)</f>
        <v/>
      </c>
      <c r="K99">
        <f>G99</f>
        <v/>
      </c>
    </row>
    <row r="100">
      <c r="E100">
        <f>D100*VLOOKUP(A100,04_PROYECTOS!$A:$N,5,FALSE)*(INDEX(02B_ESCENARIOS!$B$4:$D$11, MATCH("MULT_PRECIO", 02B_ESCENARIOS!$A$4:$A$11, 0), MATCH("Agresivo", 02B_ESCENARIOS!$B$3:$D$3, 0)))*INDEX(02B_ESCENARIOS!$B$15:$D$19, MATCH(VLOOKUP(A100,04_PROYECTOS!$A:$N,9,FALSE), 02B_ESCENARIOS!$A$15:$A$19, 0), MATCH("Agresivo", 02B_ESCENARIOS!$B$14:$D$14, 0))</f>
        <v/>
      </c>
      <c r="F100">
        <f>E100*VLOOKUP(A100,04_PROYECTOS!$A:$N,6,FALSE)</f>
        <v/>
      </c>
      <c r="G100">
        <f>E100+F100</f>
        <v/>
      </c>
      <c r="H100">
        <f>IF(VLOOKUP(A100,04_PROYECTOS!$A:$N,10,FALSE)="", IF(VLOOKUP(A100,04_PROYECTOS!$A:$N,4,FALSE)="Privado", INDEX(02B_ESCENARIOS!$B$4:$D$11, MATCH("DSO_PRIVADO_DEFAULT", 02B_ESCENARIOS!$A$4:$A$11, 0), MATCH("Agresivo", 02B_ESCENARIOS!$B$3:$D$3, 0)), IF(VLOOKUP(A100,04_PROYECTOS!$A:$N,4,FALSE)="Publico_&lt;10M",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VLOOKUP(A100,04_PROYECTOS!$A:$N,10,FALSE))</f>
        <v/>
      </c>
      <c r="I100">
        <f>ROUNDUP(H100/30,0)</f>
        <v/>
      </c>
      <c r="J100">
        <f>EDATE(C100,I100)</f>
        <v/>
      </c>
      <c r="K100">
        <f>G100</f>
        <v/>
      </c>
    </row>
    <row r="101">
      <c r="E101">
        <f>D101*VLOOKUP(A101,04_PROYECTOS!$A:$N,5,FALSE)*(INDEX(02B_ESCENARIOS!$B$4:$D$11, MATCH("MULT_PRECIO", 02B_ESCENARIOS!$A$4:$A$11, 0), MATCH("Agresivo", 02B_ESCENARIOS!$B$3:$D$3, 0)))*INDEX(02B_ESCENARIOS!$B$15:$D$19, MATCH(VLOOKUP(A101,04_PROYECTOS!$A:$N,9,FALSE), 02B_ESCENARIOS!$A$15:$A$19, 0), MATCH("Agresivo", 02B_ESCENARIOS!$B$14:$D$14, 0))</f>
        <v/>
      </c>
      <c r="F101">
        <f>E101*VLOOKUP(A101,04_PROYECTOS!$A:$N,6,FALSE)</f>
        <v/>
      </c>
      <c r="G101">
        <f>E101+F101</f>
        <v/>
      </c>
      <c r="H101">
        <f>IF(VLOOKUP(A101,04_PROYECTOS!$A:$N,10,FALSE)="", IF(VLOOKUP(A101,04_PROYECTOS!$A:$N,4,FALSE)="Privado", INDEX(02B_ESCENARIOS!$B$4:$D$11, MATCH("DSO_PRIVADO_DEFAULT", 02B_ESCENARIOS!$A$4:$A$11, 0), MATCH("Agresivo", 02B_ESCENARIOS!$B$3:$D$3, 0)), IF(VLOOKUP(A101,04_PROYECTOS!$A:$N,4,FALSE)="Publico_&lt;10M",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VLOOKUP(A101,04_PROYECTOS!$A:$N,10,FALSE))</f>
        <v/>
      </c>
      <c r="I101">
        <f>ROUNDUP(H101/30,0)</f>
        <v/>
      </c>
      <c r="J101">
        <f>EDATE(C101,I101)</f>
        <v/>
      </c>
      <c r="K101">
        <f>G101</f>
        <v/>
      </c>
    </row>
    <row r="102">
      <c r="E102">
        <f>D102*VLOOKUP(A102,04_PROYECTOS!$A:$N,5,FALSE)*(INDEX(02B_ESCENARIOS!$B$4:$D$11, MATCH("MULT_PRECIO", 02B_ESCENARIOS!$A$4:$A$11, 0), MATCH("Agresivo", 02B_ESCENARIOS!$B$3:$D$3, 0)))*INDEX(02B_ESCENARIOS!$B$15:$D$19, MATCH(VLOOKUP(A102,04_PROYECTOS!$A:$N,9,FALSE), 02B_ESCENARIOS!$A$15:$A$19, 0), MATCH("Agresivo", 02B_ESCENARIOS!$B$14:$D$14, 0))</f>
        <v/>
      </c>
      <c r="F102">
        <f>E102*VLOOKUP(A102,04_PROYECTOS!$A:$N,6,FALSE)</f>
        <v/>
      </c>
      <c r="G102">
        <f>E102+F102</f>
        <v/>
      </c>
      <c r="H102">
        <f>IF(VLOOKUP(A102,04_PROYECTOS!$A:$N,10,FALSE)="", IF(VLOOKUP(A102,04_PROYECTOS!$A:$N,4,FALSE)="Privado", INDEX(02B_ESCENARIOS!$B$4:$D$11, MATCH("DSO_PRIVADO_DEFAULT", 02B_ESCENARIOS!$A$4:$A$11, 0), MATCH("Agresivo", 02B_ESCENARIOS!$B$3:$D$3, 0)), IF(VLOOKUP(A102,04_PROYECTOS!$A:$N,4,FALSE)="Publico_&lt;10M",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VLOOKUP(A102,04_PROYECTOS!$A:$N,10,FALSE))</f>
        <v/>
      </c>
      <c r="I102">
        <f>ROUNDUP(H102/30,0)</f>
        <v/>
      </c>
      <c r="J102">
        <f>EDATE(C102,I102)</f>
        <v/>
      </c>
      <c r="K102">
        <f>G102</f>
        <v/>
      </c>
    </row>
    <row r="103">
      <c r="E103">
        <f>D103*VLOOKUP(A103,04_PROYECTOS!$A:$N,5,FALSE)*(INDEX(02B_ESCENARIOS!$B$4:$D$11, MATCH("MULT_PRECIO", 02B_ESCENARIOS!$A$4:$A$11, 0), MATCH("Agresivo", 02B_ESCENARIOS!$B$3:$D$3, 0)))*INDEX(02B_ESCENARIOS!$B$15:$D$19, MATCH(VLOOKUP(A103,04_PROYECTOS!$A:$N,9,FALSE), 02B_ESCENARIOS!$A$15:$A$19, 0), MATCH("Agresivo", 02B_ESCENARIOS!$B$14:$D$14, 0))</f>
        <v/>
      </c>
      <c r="F103">
        <f>E103*VLOOKUP(A103,04_PROYECTOS!$A:$N,6,FALSE)</f>
        <v/>
      </c>
      <c r="G103">
        <f>E103+F103</f>
        <v/>
      </c>
      <c r="H103">
        <f>IF(VLOOKUP(A103,04_PROYECTOS!$A:$N,10,FALSE)="", IF(VLOOKUP(A103,04_PROYECTOS!$A:$N,4,FALSE)="Privado", INDEX(02B_ESCENARIOS!$B$4:$D$11, MATCH("DSO_PRIVADO_DEFAULT", 02B_ESCENARIOS!$A$4:$A$11, 0), MATCH("Agresivo", 02B_ESCENARIOS!$B$3:$D$3, 0)), IF(VLOOKUP(A103,04_PROYECTOS!$A:$N,4,FALSE)="Publico_&lt;10M",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VLOOKUP(A103,04_PROYECTOS!$A:$N,10,FALSE))</f>
        <v/>
      </c>
      <c r="I103">
        <f>ROUNDUP(H103/30,0)</f>
        <v/>
      </c>
      <c r="J103">
        <f>EDATE(C103,I103)</f>
        <v/>
      </c>
      <c r="K103">
        <f>G103</f>
        <v/>
      </c>
    </row>
    <row r="104">
      <c r="E104">
        <f>D104*VLOOKUP(A104,04_PROYECTOS!$A:$N,5,FALSE)*(INDEX(02B_ESCENARIOS!$B$4:$D$11, MATCH("MULT_PRECIO", 02B_ESCENARIOS!$A$4:$A$11, 0), MATCH("Agresivo", 02B_ESCENARIOS!$B$3:$D$3, 0)))*INDEX(02B_ESCENARIOS!$B$15:$D$19, MATCH(VLOOKUP(A104,04_PROYECTOS!$A:$N,9,FALSE), 02B_ESCENARIOS!$A$15:$A$19, 0), MATCH("Agresivo", 02B_ESCENARIOS!$B$14:$D$14, 0))</f>
        <v/>
      </c>
      <c r="F104">
        <f>E104*VLOOKUP(A104,04_PROYECTOS!$A:$N,6,FALSE)</f>
        <v/>
      </c>
      <c r="G104">
        <f>E104+F104</f>
        <v/>
      </c>
      <c r="H104">
        <f>IF(VLOOKUP(A104,04_PROYECTOS!$A:$N,10,FALSE)="", IF(VLOOKUP(A104,04_PROYECTOS!$A:$N,4,FALSE)="Privado", INDEX(02B_ESCENARIOS!$B$4:$D$11, MATCH("DSO_PRIVADO_DEFAULT", 02B_ESCENARIOS!$A$4:$A$11, 0), MATCH("Agresivo", 02B_ESCENARIOS!$B$3:$D$3, 0)), IF(VLOOKUP(A104,04_PROYECTOS!$A:$N,4,FALSE)="Publico_&lt;10M",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VLOOKUP(A104,04_PROYECTOS!$A:$N,10,FALSE))</f>
        <v/>
      </c>
      <c r="I104">
        <f>ROUNDUP(H104/30,0)</f>
        <v/>
      </c>
      <c r="J104">
        <f>EDATE(C104,I104)</f>
        <v/>
      </c>
      <c r="K104">
        <f>G104</f>
        <v/>
      </c>
    </row>
    <row r="105">
      <c r="E105">
        <f>D105*VLOOKUP(A105,04_PROYECTOS!$A:$N,5,FALSE)*(INDEX(02B_ESCENARIOS!$B$4:$D$11, MATCH("MULT_PRECIO", 02B_ESCENARIOS!$A$4:$A$11, 0), MATCH("Agresivo", 02B_ESCENARIOS!$B$3:$D$3, 0)))*INDEX(02B_ESCENARIOS!$B$15:$D$19, MATCH(VLOOKUP(A105,04_PROYECTOS!$A:$N,9,FALSE), 02B_ESCENARIOS!$A$15:$A$19, 0), MATCH("Agresivo", 02B_ESCENARIOS!$B$14:$D$14, 0))</f>
        <v/>
      </c>
      <c r="F105">
        <f>E105*VLOOKUP(A105,04_PROYECTOS!$A:$N,6,FALSE)</f>
        <v/>
      </c>
      <c r="G105">
        <f>E105+F105</f>
        <v/>
      </c>
      <c r="H105">
        <f>IF(VLOOKUP(A105,04_PROYECTOS!$A:$N,10,FALSE)="", IF(VLOOKUP(A105,04_PROYECTOS!$A:$N,4,FALSE)="Privado", INDEX(02B_ESCENARIOS!$B$4:$D$11, MATCH("DSO_PRIVADO_DEFAULT", 02B_ESCENARIOS!$A$4:$A$11, 0), MATCH("Agresivo", 02B_ESCENARIOS!$B$3:$D$3, 0)), IF(VLOOKUP(A105,04_PROYECTOS!$A:$N,4,FALSE)="Publico_&lt;10M",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VLOOKUP(A105,04_PROYECTOS!$A:$N,10,FALSE))</f>
        <v/>
      </c>
      <c r="I105">
        <f>ROUNDUP(H105/30,0)</f>
        <v/>
      </c>
      <c r="J105">
        <f>EDATE(C105,I105)</f>
        <v/>
      </c>
      <c r="K105">
        <f>G105</f>
        <v/>
      </c>
    </row>
    <row r="106">
      <c r="E106">
        <f>D106*VLOOKUP(A106,04_PROYECTOS!$A:$N,5,FALSE)*(INDEX(02B_ESCENARIOS!$B$4:$D$11, MATCH("MULT_PRECIO", 02B_ESCENARIOS!$A$4:$A$11, 0), MATCH("Agresivo", 02B_ESCENARIOS!$B$3:$D$3, 0)))*INDEX(02B_ESCENARIOS!$B$15:$D$19, MATCH(VLOOKUP(A106,04_PROYECTOS!$A:$N,9,FALSE), 02B_ESCENARIOS!$A$15:$A$19, 0), MATCH("Agresivo", 02B_ESCENARIOS!$B$14:$D$14, 0))</f>
        <v/>
      </c>
      <c r="F106">
        <f>E106*VLOOKUP(A106,04_PROYECTOS!$A:$N,6,FALSE)</f>
        <v/>
      </c>
      <c r="G106">
        <f>E106+F106</f>
        <v/>
      </c>
      <c r="H106">
        <f>IF(VLOOKUP(A106,04_PROYECTOS!$A:$N,10,FALSE)="", IF(VLOOKUP(A106,04_PROYECTOS!$A:$N,4,FALSE)="Privado", INDEX(02B_ESCENARIOS!$B$4:$D$11, MATCH("DSO_PRIVADO_DEFAULT", 02B_ESCENARIOS!$A$4:$A$11, 0), MATCH("Agresivo", 02B_ESCENARIOS!$B$3:$D$3, 0)), IF(VLOOKUP(A106,04_PROYECTOS!$A:$N,4,FALSE)="Publico_&lt;10M",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VLOOKUP(A106,04_PROYECTOS!$A:$N,10,FALSE))</f>
        <v/>
      </c>
      <c r="I106">
        <f>ROUNDUP(H106/30,0)</f>
        <v/>
      </c>
      <c r="J106">
        <f>EDATE(C106,I106)</f>
        <v/>
      </c>
      <c r="K106">
        <f>G106</f>
        <v/>
      </c>
    </row>
    <row r="107">
      <c r="E107">
        <f>D107*VLOOKUP(A107,04_PROYECTOS!$A:$N,5,FALSE)*(INDEX(02B_ESCENARIOS!$B$4:$D$11, MATCH("MULT_PRECIO", 02B_ESCENARIOS!$A$4:$A$11, 0), MATCH("Agresivo", 02B_ESCENARIOS!$B$3:$D$3, 0)))*INDEX(02B_ESCENARIOS!$B$15:$D$19, MATCH(VLOOKUP(A107,04_PROYECTOS!$A:$N,9,FALSE), 02B_ESCENARIOS!$A$15:$A$19, 0), MATCH("Agresivo", 02B_ESCENARIOS!$B$14:$D$14, 0))</f>
        <v/>
      </c>
      <c r="F107">
        <f>E107*VLOOKUP(A107,04_PROYECTOS!$A:$N,6,FALSE)</f>
        <v/>
      </c>
      <c r="G107">
        <f>E107+F107</f>
        <v/>
      </c>
      <c r="H107">
        <f>IF(VLOOKUP(A107,04_PROYECTOS!$A:$N,10,FALSE)="", IF(VLOOKUP(A107,04_PROYECTOS!$A:$N,4,FALSE)="Privado", INDEX(02B_ESCENARIOS!$B$4:$D$11, MATCH("DSO_PRIVADO_DEFAULT", 02B_ESCENARIOS!$A$4:$A$11, 0), MATCH("Agresivo", 02B_ESCENARIOS!$B$3:$D$3, 0)), IF(VLOOKUP(A107,04_PROYECTOS!$A:$N,4,FALSE)="Publico_&lt;10M",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VLOOKUP(A107,04_PROYECTOS!$A:$N,10,FALSE))</f>
        <v/>
      </c>
      <c r="I107">
        <f>ROUNDUP(H107/30,0)</f>
        <v/>
      </c>
      <c r="J107">
        <f>EDATE(C107,I107)</f>
        <v/>
      </c>
      <c r="K107">
        <f>G107</f>
        <v/>
      </c>
    </row>
    <row r="108">
      <c r="E108">
        <f>D108*VLOOKUP(A108,04_PROYECTOS!$A:$N,5,FALSE)*(INDEX(02B_ESCENARIOS!$B$4:$D$11, MATCH("MULT_PRECIO", 02B_ESCENARIOS!$A$4:$A$11, 0), MATCH("Agresivo", 02B_ESCENARIOS!$B$3:$D$3, 0)))*INDEX(02B_ESCENARIOS!$B$15:$D$19, MATCH(VLOOKUP(A108,04_PROYECTOS!$A:$N,9,FALSE), 02B_ESCENARIOS!$A$15:$A$19, 0), MATCH("Agresivo", 02B_ESCENARIOS!$B$14:$D$14, 0))</f>
        <v/>
      </c>
      <c r="F108">
        <f>E108*VLOOKUP(A108,04_PROYECTOS!$A:$N,6,FALSE)</f>
        <v/>
      </c>
      <c r="G108">
        <f>E108+F108</f>
        <v/>
      </c>
      <c r="H108">
        <f>IF(VLOOKUP(A108,04_PROYECTOS!$A:$N,10,FALSE)="", IF(VLOOKUP(A108,04_PROYECTOS!$A:$N,4,FALSE)="Privado", INDEX(02B_ESCENARIOS!$B$4:$D$11, MATCH("DSO_PRIVADO_DEFAULT", 02B_ESCENARIOS!$A$4:$A$11, 0), MATCH("Agresivo", 02B_ESCENARIOS!$B$3:$D$3, 0)), IF(VLOOKUP(A108,04_PROYECTOS!$A:$N,4,FALSE)="Publico_&lt;10M",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VLOOKUP(A108,04_PROYECTOS!$A:$N,10,FALSE))</f>
        <v/>
      </c>
      <c r="I108">
        <f>ROUNDUP(H108/30,0)</f>
        <v/>
      </c>
      <c r="J108">
        <f>EDATE(C108,I108)</f>
        <v/>
      </c>
      <c r="K108">
        <f>G108</f>
        <v/>
      </c>
    </row>
    <row r="109">
      <c r="E109">
        <f>D109*VLOOKUP(A109,04_PROYECTOS!$A:$N,5,FALSE)*(INDEX(02B_ESCENARIOS!$B$4:$D$11, MATCH("MULT_PRECIO", 02B_ESCENARIOS!$A$4:$A$11, 0), MATCH("Agresivo", 02B_ESCENARIOS!$B$3:$D$3, 0)))*INDEX(02B_ESCENARIOS!$B$15:$D$19, MATCH(VLOOKUP(A109,04_PROYECTOS!$A:$N,9,FALSE), 02B_ESCENARIOS!$A$15:$A$19, 0), MATCH("Agresivo", 02B_ESCENARIOS!$B$14:$D$14, 0))</f>
        <v/>
      </c>
      <c r="F109">
        <f>E109*VLOOKUP(A109,04_PROYECTOS!$A:$N,6,FALSE)</f>
        <v/>
      </c>
      <c r="G109">
        <f>E109+F109</f>
        <v/>
      </c>
      <c r="H109">
        <f>IF(VLOOKUP(A109,04_PROYECTOS!$A:$N,10,FALSE)="", IF(VLOOKUP(A109,04_PROYECTOS!$A:$N,4,FALSE)="Privado", INDEX(02B_ESCENARIOS!$B$4:$D$11, MATCH("DSO_PRIVADO_DEFAULT", 02B_ESCENARIOS!$A$4:$A$11, 0), MATCH("Agresivo", 02B_ESCENARIOS!$B$3:$D$3, 0)), IF(VLOOKUP(A109,04_PROYECTOS!$A:$N,4,FALSE)="Publico_&lt;10M",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VLOOKUP(A109,04_PROYECTOS!$A:$N,10,FALSE))</f>
        <v/>
      </c>
      <c r="I109">
        <f>ROUNDUP(H109/30,0)</f>
        <v/>
      </c>
      <c r="J109">
        <f>EDATE(C109,I109)</f>
        <v/>
      </c>
      <c r="K109">
        <f>G109</f>
        <v/>
      </c>
    </row>
    <row r="110">
      <c r="E110">
        <f>D110*VLOOKUP(A110,04_PROYECTOS!$A:$N,5,FALSE)*(INDEX(02B_ESCENARIOS!$B$4:$D$11, MATCH("MULT_PRECIO", 02B_ESCENARIOS!$A$4:$A$11, 0), MATCH("Agresivo", 02B_ESCENARIOS!$B$3:$D$3, 0)))*INDEX(02B_ESCENARIOS!$B$15:$D$19, MATCH(VLOOKUP(A110,04_PROYECTOS!$A:$N,9,FALSE), 02B_ESCENARIOS!$A$15:$A$19, 0), MATCH("Agresivo", 02B_ESCENARIOS!$B$14:$D$14, 0))</f>
        <v/>
      </c>
      <c r="F110">
        <f>E110*VLOOKUP(A110,04_PROYECTOS!$A:$N,6,FALSE)</f>
        <v/>
      </c>
      <c r="G110">
        <f>E110+F110</f>
        <v/>
      </c>
      <c r="H110">
        <f>IF(VLOOKUP(A110,04_PROYECTOS!$A:$N,10,FALSE)="", IF(VLOOKUP(A110,04_PROYECTOS!$A:$N,4,FALSE)="Privado", INDEX(02B_ESCENARIOS!$B$4:$D$11, MATCH("DSO_PRIVADO_DEFAULT", 02B_ESCENARIOS!$A$4:$A$11, 0), MATCH("Agresivo", 02B_ESCENARIOS!$B$3:$D$3, 0)), IF(VLOOKUP(A110,04_PROYECTOS!$A:$N,4,FALSE)="Publico_&lt;10M",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VLOOKUP(A110,04_PROYECTOS!$A:$N,10,FALSE))</f>
        <v/>
      </c>
      <c r="I110">
        <f>ROUNDUP(H110/30,0)</f>
        <v/>
      </c>
      <c r="J110">
        <f>EDATE(C110,I110)</f>
        <v/>
      </c>
      <c r="K110">
        <f>G110</f>
        <v/>
      </c>
    </row>
    <row r="111">
      <c r="E111">
        <f>D111*VLOOKUP(A111,04_PROYECTOS!$A:$N,5,FALSE)*(INDEX(02B_ESCENARIOS!$B$4:$D$11, MATCH("MULT_PRECIO", 02B_ESCENARIOS!$A$4:$A$11, 0), MATCH("Agresivo", 02B_ESCENARIOS!$B$3:$D$3, 0)))*INDEX(02B_ESCENARIOS!$B$15:$D$19, MATCH(VLOOKUP(A111,04_PROYECTOS!$A:$N,9,FALSE), 02B_ESCENARIOS!$A$15:$A$19, 0), MATCH("Agresivo", 02B_ESCENARIOS!$B$14:$D$14, 0))</f>
        <v/>
      </c>
      <c r="F111">
        <f>E111*VLOOKUP(A111,04_PROYECTOS!$A:$N,6,FALSE)</f>
        <v/>
      </c>
      <c r="G111">
        <f>E111+F111</f>
        <v/>
      </c>
      <c r="H111">
        <f>IF(VLOOKUP(A111,04_PROYECTOS!$A:$N,10,FALSE)="", IF(VLOOKUP(A111,04_PROYECTOS!$A:$N,4,FALSE)="Privado", INDEX(02B_ESCENARIOS!$B$4:$D$11, MATCH("DSO_PRIVADO_DEFAULT", 02B_ESCENARIOS!$A$4:$A$11, 0), MATCH("Agresivo", 02B_ESCENARIOS!$B$3:$D$3, 0)), IF(VLOOKUP(A111,04_PROYECTOS!$A:$N,4,FALSE)="Publico_&lt;10M",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VLOOKUP(A111,04_PROYECTOS!$A:$N,10,FALSE))</f>
        <v/>
      </c>
      <c r="I111">
        <f>ROUNDUP(H111/30,0)</f>
        <v/>
      </c>
      <c r="J111">
        <f>EDATE(C111,I111)</f>
        <v/>
      </c>
      <c r="K111">
        <f>G111</f>
        <v/>
      </c>
    </row>
    <row r="112">
      <c r="E112">
        <f>D112*VLOOKUP(A112,04_PROYECTOS!$A:$N,5,FALSE)*(INDEX(02B_ESCENARIOS!$B$4:$D$11, MATCH("MULT_PRECIO", 02B_ESCENARIOS!$A$4:$A$11, 0), MATCH("Agresivo", 02B_ESCENARIOS!$B$3:$D$3, 0)))*INDEX(02B_ESCENARIOS!$B$15:$D$19, MATCH(VLOOKUP(A112,04_PROYECTOS!$A:$N,9,FALSE), 02B_ESCENARIOS!$A$15:$A$19, 0), MATCH("Agresivo", 02B_ESCENARIOS!$B$14:$D$14, 0))</f>
        <v/>
      </c>
      <c r="F112">
        <f>E112*VLOOKUP(A112,04_PROYECTOS!$A:$N,6,FALSE)</f>
        <v/>
      </c>
      <c r="G112">
        <f>E112+F112</f>
        <v/>
      </c>
      <c r="H112">
        <f>IF(VLOOKUP(A112,04_PROYECTOS!$A:$N,10,FALSE)="", IF(VLOOKUP(A112,04_PROYECTOS!$A:$N,4,FALSE)="Privado", INDEX(02B_ESCENARIOS!$B$4:$D$11, MATCH("DSO_PRIVADO_DEFAULT", 02B_ESCENARIOS!$A$4:$A$11, 0), MATCH("Agresivo", 02B_ESCENARIOS!$B$3:$D$3, 0)), IF(VLOOKUP(A112,04_PROYECTOS!$A:$N,4,FALSE)="Publico_&lt;10M",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VLOOKUP(A112,04_PROYECTOS!$A:$N,10,FALSE))</f>
        <v/>
      </c>
      <c r="I112">
        <f>ROUNDUP(H112/30,0)</f>
        <v/>
      </c>
      <c r="J112">
        <f>EDATE(C112,I112)</f>
        <v/>
      </c>
      <c r="K112">
        <f>G112</f>
        <v/>
      </c>
    </row>
    <row r="113">
      <c r="E113">
        <f>D113*VLOOKUP(A113,04_PROYECTOS!$A:$N,5,FALSE)*(INDEX(02B_ESCENARIOS!$B$4:$D$11, MATCH("MULT_PRECIO", 02B_ESCENARIOS!$A$4:$A$11, 0), MATCH("Agresivo", 02B_ESCENARIOS!$B$3:$D$3, 0)))*INDEX(02B_ESCENARIOS!$B$15:$D$19, MATCH(VLOOKUP(A113,04_PROYECTOS!$A:$N,9,FALSE), 02B_ESCENARIOS!$A$15:$A$19, 0), MATCH("Agresivo", 02B_ESCENARIOS!$B$14:$D$14, 0))</f>
        <v/>
      </c>
      <c r="F113">
        <f>E113*VLOOKUP(A113,04_PROYECTOS!$A:$N,6,FALSE)</f>
        <v/>
      </c>
      <c r="G113">
        <f>E113+F113</f>
        <v/>
      </c>
      <c r="H113">
        <f>IF(VLOOKUP(A113,04_PROYECTOS!$A:$N,10,FALSE)="", IF(VLOOKUP(A113,04_PROYECTOS!$A:$N,4,FALSE)="Privado", INDEX(02B_ESCENARIOS!$B$4:$D$11, MATCH("DSO_PRIVADO_DEFAULT", 02B_ESCENARIOS!$A$4:$A$11, 0), MATCH("Agresivo", 02B_ESCENARIOS!$B$3:$D$3, 0)), IF(VLOOKUP(A113,04_PROYECTOS!$A:$N,4,FALSE)="Publico_&lt;10M",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VLOOKUP(A113,04_PROYECTOS!$A:$N,10,FALSE))</f>
        <v/>
      </c>
      <c r="I113">
        <f>ROUNDUP(H113/30,0)</f>
        <v/>
      </c>
      <c r="J113">
        <f>EDATE(C113,I113)</f>
        <v/>
      </c>
      <c r="K113">
        <f>G113</f>
        <v/>
      </c>
    </row>
    <row r="114">
      <c r="E114">
        <f>D114*VLOOKUP(A114,04_PROYECTOS!$A:$N,5,FALSE)*(INDEX(02B_ESCENARIOS!$B$4:$D$11, MATCH("MULT_PRECIO", 02B_ESCENARIOS!$A$4:$A$11, 0), MATCH("Agresivo", 02B_ESCENARIOS!$B$3:$D$3, 0)))*INDEX(02B_ESCENARIOS!$B$15:$D$19, MATCH(VLOOKUP(A114,04_PROYECTOS!$A:$N,9,FALSE), 02B_ESCENARIOS!$A$15:$A$19, 0), MATCH("Agresivo", 02B_ESCENARIOS!$B$14:$D$14, 0))</f>
        <v/>
      </c>
      <c r="F114">
        <f>E114*VLOOKUP(A114,04_PROYECTOS!$A:$N,6,FALSE)</f>
        <v/>
      </c>
      <c r="G114">
        <f>E114+F114</f>
        <v/>
      </c>
      <c r="H114">
        <f>IF(VLOOKUP(A114,04_PROYECTOS!$A:$N,10,FALSE)="", IF(VLOOKUP(A114,04_PROYECTOS!$A:$N,4,FALSE)="Privado", INDEX(02B_ESCENARIOS!$B$4:$D$11, MATCH("DSO_PRIVADO_DEFAULT", 02B_ESCENARIOS!$A$4:$A$11, 0), MATCH("Agresivo", 02B_ESCENARIOS!$B$3:$D$3, 0)), IF(VLOOKUP(A114,04_PROYECTOS!$A:$N,4,FALSE)="Publico_&lt;10M",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VLOOKUP(A114,04_PROYECTOS!$A:$N,10,FALSE))</f>
        <v/>
      </c>
      <c r="I114">
        <f>ROUNDUP(H114/30,0)</f>
        <v/>
      </c>
      <c r="J114">
        <f>EDATE(C114,I114)</f>
        <v/>
      </c>
      <c r="K114">
        <f>G114</f>
        <v/>
      </c>
    </row>
    <row r="115">
      <c r="E115">
        <f>D115*VLOOKUP(A115,04_PROYECTOS!$A:$N,5,FALSE)*(INDEX(02B_ESCENARIOS!$B$4:$D$11, MATCH("MULT_PRECIO", 02B_ESCENARIOS!$A$4:$A$11, 0), MATCH("Agresivo", 02B_ESCENARIOS!$B$3:$D$3, 0)))*INDEX(02B_ESCENARIOS!$B$15:$D$19, MATCH(VLOOKUP(A115,04_PROYECTOS!$A:$N,9,FALSE), 02B_ESCENARIOS!$A$15:$A$19, 0), MATCH("Agresivo", 02B_ESCENARIOS!$B$14:$D$14, 0))</f>
        <v/>
      </c>
      <c r="F115">
        <f>E115*VLOOKUP(A115,04_PROYECTOS!$A:$N,6,FALSE)</f>
        <v/>
      </c>
      <c r="G115">
        <f>E115+F115</f>
        <v/>
      </c>
      <c r="H115">
        <f>IF(VLOOKUP(A115,04_PROYECTOS!$A:$N,10,FALSE)="", IF(VLOOKUP(A115,04_PROYECTOS!$A:$N,4,FALSE)="Privado", INDEX(02B_ESCENARIOS!$B$4:$D$11, MATCH("DSO_PRIVADO_DEFAULT", 02B_ESCENARIOS!$A$4:$A$11, 0), MATCH("Agresivo", 02B_ESCENARIOS!$B$3:$D$3, 0)), IF(VLOOKUP(A115,04_PROYECTOS!$A:$N,4,FALSE)="Publico_&lt;10M",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VLOOKUP(A115,04_PROYECTOS!$A:$N,10,FALSE))</f>
        <v/>
      </c>
      <c r="I115">
        <f>ROUNDUP(H115/30,0)</f>
        <v/>
      </c>
      <c r="J115">
        <f>EDATE(C115,I115)</f>
        <v/>
      </c>
      <c r="K115">
        <f>G115</f>
        <v/>
      </c>
    </row>
    <row r="116">
      <c r="E116">
        <f>D116*VLOOKUP(A116,04_PROYECTOS!$A:$N,5,FALSE)*(INDEX(02B_ESCENARIOS!$B$4:$D$11, MATCH("MULT_PRECIO", 02B_ESCENARIOS!$A$4:$A$11, 0), MATCH("Agresivo", 02B_ESCENARIOS!$B$3:$D$3, 0)))*INDEX(02B_ESCENARIOS!$B$15:$D$19, MATCH(VLOOKUP(A116,04_PROYECTOS!$A:$N,9,FALSE), 02B_ESCENARIOS!$A$15:$A$19, 0), MATCH("Agresivo", 02B_ESCENARIOS!$B$14:$D$14, 0))</f>
        <v/>
      </c>
      <c r="F116">
        <f>E116*VLOOKUP(A116,04_PROYECTOS!$A:$N,6,FALSE)</f>
        <v/>
      </c>
      <c r="G116">
        <f>E116+F116</f>
        <v/>
      </c>
      <c r="H116">
        <f>IF(VLOOKUP(A116,04_PROYECTOS!$A:$N,10,FALSE)="", IF(VLOOKUP(A116,04_PROYECTOS!$A:$N,4,FALSE)="Privado", INDEX(02B_ESCENARIOS!$B$4:$D$11, MATCH("DSO_PRIVADO_DEFAULT", 02B_ESCENARIOS!$A$4:$A$11, 0), MATCH("Agresivo", 02B_ESCENARIOS!$B$3:$D$3, 0)), IF(VLOOKUP(A116,04_PROYECTOS!$A:$N,4,FALSE)="Publico_&lt;10M",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VLOOKUP(A116,04_PROYECTOS!$A:$N,10,FALSE))</f>
        <v/>
      </c>
      <c r="I116">
        <f>ROUNDUP(H116/30,0)</f>
        <v/>
      </c>
      <c r="J116">
        <f>EDATE(C116,I116)</f>
        <v/>
      </c>
      <c r="K116">
        <f>G116</f>
        <v/>
      </c>
    </row>
    <row r="117">
      <c r="E117">
        <f>D117*VLOOKUP(A117,04_PROYECTOS!$A:$N,5,FALSE)*(INDEX(02B_ESCENARIOS!$B$4:$D$11, MATCH("MULT_PRECIO", 02B_ESCENARIOS!$A$4:$A$11, 0), MATCH("Agresivo", 02B_ESCENARIOS!$B$3:$D$3, 0)))*INDEX(02B_ESCENARIOS!$B$15:$D$19, MATCH(VLOOKUP(A117,04_PROYECTOS!$A:$N,9,FALSE), 02B_ESCENARIOS!$A$15:$A$19, 0), MATCH("Agresivo", 02B_ESCENARIOS!$B$14:$D$14, 0))</f>
        <v/>
      </c>
      <c r="F117">
        <f>E117*VLOOKUP(A117,04_PROYECTOS!$A:$N,6,FALSE)</f>
        <v/>
      </c>
      <c r="G117">
        <f>E117+F117</f>
        <v/>
      </c>
      <c r="H117">
        <f>IF(VLOOKUP(A117,04_PROYECTOS!$A:$N,10,FALSE)="", IF(VLOOKUP(A117,04_PROYECTOS!$A:$N,4,FALSE)="Privado", INDEX(02B_ESCENARIOS!$B$4:$D$11, MATCH("DSO_PRIVADO_DEFAULT", 02B_ESCENARIOS!$A$4:$A$11, 0), MATCH("Agresivo", 02B_ESCENARIOS!$B$3:$D$3, 0)), IF(VLOOKUP(A117,04_PROYECTOS!$A:$N,4,FALSE)="Publico_&lt;10M",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VLOOKUP(A117,04_PROYECTOS!$A:$N,10,FALSE))</f>
        <v/>
      </c>
      <c r="I117">
        <f>ROUNDUP(H117/30,0)</f>
        <v/>
      </c>
      <c r="J117">
        <f>EDATE(C117,I117)</f>
        <v/>
      </c>
      <c r="K117">
        <f>G117</f>
        <v/>
      </c>
    </row>
    <row r="118">
      <c r="E118">
        <f>D118*VLOOKUP(A118,04_PROYECTOS!$A:$N,5,FALSE)*(INDEX(02B_ESCENARIOS!$B$4:$D$11, MATCH("MULT_PRECIO", 02B_ESCENARIOS!$A$4:$A$11, 0), MATCH("Agresivo", 02B_ESCENARIOS!$B$3:$D$3, 0)))*INDEX(02B_ESCENARIOS!$B$15:$D$19, MATCH(VLOOKUP(A118,04_PROYECTOS!$A:$N,9,FALSE), 02B_ESCENARIOS!$A$15:$A$19, 0), MATCH("Agresivo", 02B_ESCENARIOS!$B$14:$D$14, 0))</f>
        <v/>
      </c>
      <c r="F118">
        <f>E118*VLOOKUP(A118,04_PROYECTOS!$A:$N,6,FALSE)</f>
        <v/>
      </c>
      <c r="G118">
        <f>E118+F118</f>
        <v/>
      </c>
      <c r="H118">
        <f>IF(VLOOKUP(A118,04_PROYECTOS!$A:$N,10,FALSE)="", IF(VLOOKUP(A118,04_PROYECTOS!$A:$N,4,FALSE)="Privado", INDEX(02B_ESCENARIOS!$B$4:$D$11, MATCH("DSO_PRIVADO_DEFAULT", 02B_ESCENARIOS!$A$4:$A$11, 0), MATCH("Agresivo", 02B_ESCENARIOS!$B$3:$D$3, 0)), IF(VLOOKUP(A118,04_PROYECTOS!$A:$N,4,FALSE)="Publico_&lt;10M",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VLOOKUP(A118,04_PROYECTOS!$A:$N,10,FALSE))</f>
        <v/>
      </c>
      <c r="I118">
        <f>ROUNDUP(H118/30,0)</f>
        <v/>
      </c>
      <c r="J118">
        <f>EDATE(C118,I118)</f>
        <v/>
      </c>
      <c r="K118">
        <f>G118</f>
        <v/>
      </c>
    </row>
    <row r="119">
      <c r="E119">
        <f>D119*VLOOKUP(A119,04_PROYECTOS!$A:$N,5,FALSE)*(INDEX(02B_ESCENARIOS!$B$4:$D$11, MATCH("MULT_PRECIO", 02B_ESCENARIOS!$A$4:$A$11, 0), MATCH("Agresivo", 02B_ESCENARIOS!$B$3:$D$3, 0)))*INDEX(02B_ESCENARIOS!$B$15:$D$19, MATCH(VLOOKUP(A119,04_PROYECTOS!$A:$N,9,FALSE), 02B_ESCENARIOS!$A$15:$A$19, 0), MATCH("Agresivo", 02B_ESCENARIOS!$B$14:$D$14, 0))</f>
        <v/>
      </c>
      <c r="F119">
        <f>E119*VLOOKUP(A119,04_PROYECTOS!$A:$N,6,FALSE)</f>
        <v/>
      </c>
      <c r="G119">
        <f>E119+F119</f>
        <v/>
      </c>
      <c r="H119">
        <f>IF(VLOOKUP(A119,04_PROYECTOS!$A:$N,10,FALSE)="", IF(VLOOKUP(A119,04_PROYECTOS!$A:$N,4,FALSE)="Privado", INDEX(02B_ESCENARIOS!$B$4:$D$11, MATCH("DSO_PRIVADO_DEFAULT", 02B_ESCENARIOS!$A$4:$A$11, 0), MATCH("Agresivo", 02B_ESCENARIOS!$B$3:$D$3, 0)), IF(VLOOKUP(A119,04_PROYECTOS!$A:$N,4,FALSE)="Publico_&lt;10M",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VLOOKUP(A119,04_PROYECTOS!$A:$N,10,FALSE))</f>
        <v/>
      </c>
      <c r="I119">
        <f>ROUNDUP(H119/30,0)</f>
        <v/>
      </c>
      <c r="J119">
        <f>EDATE(C119,I119)</f>
        <v/>
      </c>
      <c r="K119">
        <f>G119</f>
        <v/>
      </c>
    </row>
    <row r="120">
      <c r="E120">
        <f>D120*VLOOKUP(A120,04_PROYECTOS!$A:$N,5,FALSE)*(INDEX(02B_ESCENARIOS!$B$4:$D$11, MATCH("MULT_PRECIO", 02B_ESCENARIOS!$A$4:$A$11, 0), MATCH("Agresivo", 02B_ESCENARIOS!$B$3:$D$3, 0)))*INDEX(02B_ESCENARIOS!$B$15:$D$19, MATCH(VLOOKUP(A120,04_PROYECTOS!$A:$N,9,FALSE), 02B_ESCENARIOS!$A$15:$A$19, 0), MATCH("Agresivo", 02B_ESCENARIOS!$B$14:$D$14, 0))</f>
        <v/>
      </c>
      <c r="F120">
        <f>E120*VLOOKUP(A120,04_PROYECTOS!$A:$N,6,FALSE)</f>
        <v/>
      </c>
      <c r="G120">
        <f>E120+F120</f>
        <v/>
      </c>
      <c r="H120">
        <f>IF(VLOOKUP(A120,04_PROYECTOS!$A:$N,10,FALSE)="", IF(VLOOKUP(A120,04_PROYECTOS!$A:$N,4,FALSE)="Privado", INDEX(02B_ESCENARIOS!$B$4:$D$11, MATCH("DSO_PRIVADO_DEFAULT", 02B_ESCENARIOS!$A$4:$A$11, 0), MATCH("Agresivo", 02B_ESCENARIOS!$B$3:$D$3, 0)), IF(VLOOKUP(A120,04_PROYECTOS!$A:$N,4,FALSE)="Publico_&lt;10M",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VLOOKUP(A120,04_PROYECTOS!$A:$N,10,FALSE))</f>
        <v/>
      </c>
      <c r="I120">
        <f>ROUNDUP(H120/30,0)</f>
        <v/>
      </c>
      <c r="J120">
        <f>EDATE(C120,I120)</f>
        <v/>
      </c>
      <c r="K120">
        <f>G120</f>
        <v/>
      </c>
    </row>
    <row r="121">
      <c r="E121">
        <f>D121*VLOOKUP(A121,04_PROYECTOS!$A:$N,5,FALSE)*(INDEX(02B_ESCENARIOS!$B$4:$D$11, MATCH("MULT_PRECIO", 02B_ESCENARIOS!$A$4:$A$11, 0), MATCH("Agresivo", 02B_ESCENARIOS!$B$3:$D$3, 0)))*INDEX(02B_ESCENARIOS!$B$15:$D$19, MATCH(VLOOKUP(A121,04_PROYECTOS!$A:$N,9,FALSE), 02B_ESCENARIOS!$A$15:$A$19, 0), MATCH("Agresivo", 02B_ESCENARIOS!$B$14:$D$14, 0))</f>
        <v/>
      </c>
      <c r="F121">
        <f>E121*VLOOKUP(A121,04_PROYECTOS!$A:$N,6,FALSE)</f>
        <v/>
      </c>
      <c r="G121">
        <f>E121+F121</f>
        <v/>
      </c>
      <c r="H121">
        <f>IF(VLOOKUP(A121,04_PROYECTOS!$A:$N,10,FALSE)="", IF(VLOOKUP(A121,04_PROYECTOS!$A:$N,4,FALSE)="Privado", INDEX(02B_ESCENARIOS!$B$4:$D$11, MATCH("DSO_PRIVADO_DEFAULT", 02B_ESCENARIOS!$A$4:$A$11, 0), MATCH("Agresivo", 02B_ESCENARIOS!$B$3:$D$3, 0)), IF(VLOOKUP(A121,04_PROYECTOS!$A:$N,4,FALSE)="Publico_&lt;10M",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VLOOKUP(A121,04_PROYECTOS!$A:$N,10,FALSE))</f>
        <v/>
      </c>
      <c r="I121">
        <f>ROUNDUP(H121/30,0)</f>
        <v/>
      </c>
      <c r="J121">
        <f>EDATE(C121,I121)</f>
        <v/>
      </c>
      <c r="K121">
        <f>G121</f>
        <v/>
      </c>
    </row>
    <row r="122">
      <c r="E122">
        <f>D122*VLOOKUP(A122,04_PROYECTOS!$A:$N,5,FALSE)*(INDEX(02B_ESCENARIOS!$B$4:$D$11, MATCH("MULT_PRECIO", 02B_ESCENARIOS!$A$4:$A$11, 0), MATCH("Agresivo", 02B_ESCENARIOS!$B$3:$D$3, 0)))*INDEX(02B_ESCENARIOS!$B$15:$D$19, MATCH(VLOOKUP(A122,04_PROYECTOS!$A:$N,9,FALSE), 02B_ESCENARIOS!$A$15:$A$19, 0), MATCH("Agresivo", 02B_ESCENARIOS!$B$14:$D$14, 0))</f>
        <v/>
      </c>
      <c r="F122">
        <f>E122*VLOOKUP(A122,04_PROYECTOS!$A:$N,6,FALSE)</f>
        <v/>
      </c>
      <c r="G122">
        <f>E122+F122</f>
        <v/>
      </c>
      <c r="H122">
        <f>IF(VLOOKUP(A122,04_PROYECTOS!$A:$N,10,FALSE)="", IF(VLOOKUP(A122,04_PROYECTOS!$A:$N,4,FALSE)="Privado", INDEX(02B_ESCENARIOS!$B$4:$D$11, MATCH("DSO_PRIVADO_DEFAULT", 02B_ESCENARIOS!$A$4:$A$11, 0), MATCH("Agresivo", 02B_ESCENARIOS!$B$3:$D$3, 0)), IF(VLOOKUP(A122,04_PROYECTOS!$A:$N,4,FALSE)="Publico_&lt;10M",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VLOOKUP(A122,04_PROYECTOS!$A:$N,10,FALSE))</f>
        <v/>
      </c>
      <c r="I122">
        <f>ROUNDUP(H122/30,0)</f>
        <v/>
      </c>
      <c r="J122">
        <f>EDATE(C122,I122)</f>
        <v/>
      </c>
      <c r="K122">
        <f>G122</f>
        <v/>
      </c>
    </row>
    <row r="123">
      <c r="E123">
        <f>D123*VLOOKUP(A123,04_PROYECTOS!$A:$N,5,FALSE)*(INDEX(02B_ESCENARIOS!$B$4:$D$11, MATCH("MULT_PRECIO", 02B_ESCENARIOS!$A$4:$A$11, 0), MATCH("Agresivo", 02B_ESCENARIOS!$B$3:$D$3, 0)))*INDEX(02B_ESCENARIOS!$B$15:$D$19, MATCH(VLOOKUP(A123,04_PROYECTOS!$A:$N,9,FALSE), 02B_ESCENARIOS!$A$15:$A$19, 0), MATCH("Agresivo", 02B_ESCENARIOS!$B$14:$D$14, 0))</f>
        <v/>
      </c>
      <c r="F123">
        <f>E123*VLOOKUP(A123,04_PROYECTOS!$A:$N,6,FALSE)</f>
        <v/>
      </c>
      <c r="G123">
        <f>E123+F123</f>
        <v/>
      </c>
      <c r="H123">
        <f>IF(VLOOKUP(A123,04_PROYECTOS!$A:$N,10,FALSE)="", IF(VLOOKUP(A123,04_PROYECTOS!$A:$N,4,FALSE)="Privado", INDEX(02B_ESCENARIOS!$B$4:$D$11, MATCH("DSO_PRIVADO_DEFAULT", 02B_ESCENARIOS!$A$4:$A$11, 0), MATCH("Agresivo", 02B_ESCENARIOS!$B$3:$D$3, 0)), IF(VLOOKUP(A123,04_PROYECTOS!$A:$N,4,FALSE)="Publico_&lt;10M",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VLOOKUP(A123,04_PROYECTOS!$A:$N,10,FALSE))</f>
        <v/>
      </c>
      <c r="I123">
        <f>ROUNDUP(H123/30,0)</f>
        <v/>
      </c>
      <c r="J123">
        <f>EDATE(C123,I123)</f>
        <v/>
      </c>
      <c r="K123">
        <f>G123</f>
        <v/>
      </c>
    </row>
    <row r="124">
      <c r="E124">
        <f>D124*VLOOKUP(A124,04_PROYECTOS!$A:$N,5,FALSE)*(INDEX(02B_ESCENARIOS!$B$4:$D$11, MATCH("MULT_PRECIO", 02B_ESCENARIOS!$A$4:$A$11, 0), MATCH("Agresivo", 02B_ESCENARIOS!$B$3:$D$3, 0)))*INDEX(02B_ESCENARIOS!$B$15:$D$19, MATCH(VLOOKUP(A124,04_PROYECTOS!$A:$N,9,FALSE), 02B_ESCENARIOS!$A$15:$A$19, 0), MATCH("Agresivo", 02B_ESCENARIOS!$B$14:$D$14, 0))</f>
        <v/>
      </c>
      <c r="F124">
        <f>E124*VLOOKUP(A124,04_PROYECTOS!$A:$N,6,FALSE)</f>
        <v/>
      </c>
      <c r="G124">
        <f>E124+F124</f>
        <v/>
      </c>
      <c r="H124">
        <f>IF(VLOOKUP(A124,04_PROYECTOS!$A:$N,10,FALSE)="", IF(VLOOKUP(A124,04_PROYECTOS!$A:$N,4,FALSE)="Privado", INDEX(02B_ESCENARIOS!$B$4:$D$11, MATCH("DSO_PRIVADO_DEFAULT", 02B_ESCENARIOS!$A$4:$A$11, 0), MATCH("Agresivo", 02B_ESCENARIOS!$B$3:$D$3, 0)), IF(VLOOKUP(A124,04_PROYECTOS!$A:$N,4,FALSE)="Publico_&lt;10M",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VLOOKUP(A124,04_PROYECTOS!$A:$N,10,FALSE))</f>
        <v/>
      </c>
      <c r="I124">
        <f>ROUNDUP(H124/30,0)</f>
        <v/>
      </c>
      <c r="J124">
        <f>EDATE(C124,I124)</f>
        <v/>
      </c>
      <c r="K124">
        <f>G124</f>
        <v/>
      </c>
    </row>
    <row r="125">
      <c r="E125">
        <f>D125*VLOOKUP(A125,04_PROYECTOS!$A:$N,5,FALSE)*(INDEX(02B_ESCENARIOS!$B$4:$D$11, MATCH("MULT_PRECIO", 02B_ESCENARIOS!$A$4:$A$11, 0), MATCH("Agresivo", 02B_ESCENARIOS!$B$3:$D$3, 0)))*INDEX(02B_ESCENARIOS!$B$15:$D$19, MATCH(VLOOKUP(A125,04_PROYECTOS!$A:$N,9,FALSE), 02B_ESCENARIOS!$A$15:$A$19, 0), MATCH("Agresivo", 02B_ESCENARIOS!$B$14:$D$14, 0))</f>
        <v/>
      </c>
      <c r="F125">
        <f>E125*VLOOKUP(A125,04_PROYECTOS!$A:$N,6,FALSE)</f>
        <v/>
      </c>
      <c r="G125">
        <f>E125+F125</f>
        <v/>
      </c>
      <c r="H125">
        <f>IF(VLOOKUP(A125,04_PROYECTOS!$A:$N,10,FALSE)="", IF(VLOOKUP(A125,04_PROYECTOS!$A:$N,4,FALSE)="Privado", INDEX(02B_ESCENARIOS!$B$4:$D$11, MATCH("DSO_PRIVADO_DEFAULT", 02B_ESCENARIOS!$A$4:$A$11, 0), MATCH("Agresivo", 02B_ESCENARIOS!$B$3:$D$3, 0)), IF(VLOOKUP(A125,04_PROYECTOS!$A:$N,4,FALSE)="Publico_&lt;10M",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VLOOKUP(A125,04_PROYECTOS!$A:$N,10,FALSE))</f>
        <v/>
      </c>
      <c r="I125">
        <f>ROUNDUP(H125/30,0)</f>
        <v/>
      </c>
      <c r="J125">
        <f>EDATE(C125,I125)</f>
        <v/>
      </c>
      <c r="K125">
        <f>G125</f>
        <v/>
      </c>
    </row>
    <row r="126">
      <c r="E126">
        <f>D126*VLOOKUP(A126,04_PROYECTOS!$A:$N,5,FALSE)*(INDEX(02B_ESCENARIOS!$B$4:$D$11, MATCH("MULT_PRECIO", 02B_ESCENARIOS!$A$4:$A$11, 0), MATCH("Agresivo", 02B_ESCENARIOS!$B$3:$D$3, 0)))*INDEX(02B_ESCENARIOS!$B$15:$D$19, MATCH(VLOOKUP(A126,04_PROYECTOS!$A:$N,9,FALSE), 02B_ESCENARIOS!$A$15:$A$19, 0), MATCH("Agresivo", 02B_ESCENARIOS!$B$14:$D$14, 0))</f>
        <v/>
      </c>
      <c r="F126">
        <f>E126*VLOOKUP(A126,04_PROYECTOS!$A:$N,6,FALSE)</f>
        <v/>
      </c>
      <c r="G126">
        <f>E126+F126</f>
        <v/>
      </c>
      <c r="H126">
        <f>IF(VLOOKUP(A126,04_PROYECTOS!$A:$N,10,FALSE)="", IF(VLOOKUP(A126,04_PROYECTOS!$A:$N,4,FALSE)="Privado", INDEX(02B_ESCENARIOS!$B$4:$D$11, MATCH("DSO_PRIVADO_DEFAULT", 02B_ESCENARIOS!$A$4:$A$11, 0), MATCH("Agresivo", 02B_ESCENARIOS!$B$3:$D$3, 0)), IF(VLOOKUP(A126,04_PROYECTOS!$A:$N,4,FALSE)="Publico_&lt;10M",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VLOOKUP(A126,04_PROYECTOS!$A:$N,10,FALSE))</f>
        <v/>
      </c>
      <c r="I126">
        <f>ROUNDUP(H126/30,0)</f>
        <v/>
      </c>
      <c r="J126">
        <f>EDATE(C126,I126)</f>
        <v/>
      </c>
      <c r="K126">
        <f>G126</f>
        <v/>
      </c>
    </row>
    <row r="127">
      <c r="E127">
        <f>D127*VLOOKUP(A127,04_PROYECTOS!$A:$N,5,FALSE)*(INDEX(02B_ESCENARIOS!$B$4:$D$11, MATCH("MULT_PRECIO", 02B_ESCENARIOS!$A$4:$A$11, 0), MATCH("Agresivo", 02B_ESCENARIOS!$B$3:$D$3, 0)))*INDEX(02B_ESCENARIOS!$B$15:$D$19, MATCH(VLOOKUP(A127,04_PROYECTOS!$A:$N,9,FALSE), 02B_ESCENARIOS!$A$15:$A$19, 0), MATCH("Agresivo", 02B_ESCENARIOS!$B$14:$D$14, 0))</f>
        <v/>
      </c>
      <c r="F127">
        <f>E127*VLOOKUP(A127,04_PROYECTOS!$A:$N,6,FALSE)</f>
        <v/>
      </c>
      <c r="G127">
        <f>E127+F127</f>
        <v/>
      </c>
      <c r="H127">
        <f>IF(VLOOKUP(A127,04_PROYECTOS!$A:$N,10,FALSE)="", IF(VLOOKUP(A127,04_PROYECTOS!$A:$N,4,FALSE)="Privado", INDEX(02B_ESCENARIOS!$B$4:$D$11, MATCH("DSO_PRIVADO_DEFAULT", 02B_ESCENARIOS!$A$4:$A$11, 0), MATCH("Agresivo", 02B_ESCENARIOS!$B$3:$D$3, 0)), IF(VLOOKUP(A127,04_PROYECTOS!$A:$N,4,FALSE)="Publico_&lt;10M",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VLOOKUP(A127,04_PROYECTOS!$A:$N,10,FALSE))</f>
        <v/>
      </c>
      <c r="I127">
        <f>ROUNDUP(H127/30,0)</f>
        <v/>
      </c>
      <c r="J127">
        <f>EDATE(C127,I127)</f>
        <v/>
      </c>
      <c r="K127">
        <f>G127</f>
        <v/>
      </c>
    </row>
    <row r="128">
      <c r="E128">
        <f>D128*VLOOKUP(A128,04_PROYECTOS!$A:$N,5,FALSE)*(INDEX(02B_ESCENARIOS!$B$4:$D$11, MATCH("MULT_PRECIO", 02B_ESCENARIOS!$A$4:$A$11, 0), MATCH("Agresivo", 02B_ESCENARIOS!$B$3:$D$3, 0)))*INDEX(02B_ESCENARIOS!$B$15:$D$19, MATCH(VLOOKUP(A128,04_PROYECTOS!$A:$N,9,FALSE), 02B_ESCENARIOS!$A$15:$A$19, 0), MATCH("Agresivo", 02B_ESCENARIOS!$B$14:$D$14, 0))</f>
        <v/>
      </c>
      <c r="F128">
        <f>E128*VLOOKUP(A128,04_PROYECTOS!$A:$N,6,FALSE)</f>
        <v/>
      </c>
      <c r="G128">
        <f>E128+F128</f>
        <v/>
      </c>
      <c r="H128">
        <f>IF(VLOOKUP(A128,04_PROYECTOS!$A:$N,10,FALSE)="", IF(VLOOKUP(A128,04_PROYECTOS!$A:$N,4,FALSE)="Privado", INDEX(02B_ESCENARIOS!$B$4:$D$11, MATCH("DSO_PRIVADO_DEFAULT", 02B_ESCENARIOS!$A$4:$A$11, 0), MATCH("Agresivo", 02B_ESCENARIOS!$B$3:$D$3, 0)), IF(VLOOKUP(A128,04_PROYECTOS!$A:$N,4,FALSE)="Publico_&lt;10M",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VLOOKUP(A128,04_PROYECTOS!$A:$N,10,FALSE))</f>
        <v/>
      </c>
      <c r="I128">
        <f>ROUNDUP(H128/30,0)</f>
        <v/>
      </c>
      <c r="J128">
        <f>EDATE(C128,I128)</f>
        <v/>
      </c>
      <c r="K128">
        <f>G128</f>
        <v/>
      </c>
    </row>
    <row r="129">
      <c r="E129">
        <f>D129*VLOOKUP(A129,04_PROYECTOS!$A:$N,5,FALSE)*(INDEX(02B_ESCENARIOS!$B$4:$D$11, MATCH("MULT_PRECIO", 02B_ESCENARIOS!$A$4:$A$11, 0), MATCH("Agresivo", 02B_ESCENARIOS!$B$3:$D$3, 0)))*INDEX(02B_ESCENARIOS!$B$15:$D$19, MATCH(VLOOKUP(A129,04_PROYECTOS!$A:$N,9,FALSE), 02B_ESCENARIOS!$A$15:$A$19, 0), MATCH("Agresivo", 02B_ESCENARIOS!$B$14:$D$14, 0))</f>
        <v/>
      </c>
      <c r="F129">
        <f>E129*VLOOKUP(A129,04_PROYECTOS!$A:$N,6,FALSE)</f>
        <v/>
      </c>
      <c r="G129">
        <f>E129+F129</f>
        <v/>
      </c>
      <c r="H129">
        <f>IF(VLOOKUP(A129,04_PROYECTOS!$A:$N,10,FALSE)="", IF(VLOOKUP(A129,04_PROYECTOS!$A:$N,4,FALSE)="Privado", INDEX(02B_ESCENARIOS!$B$4:$D$11, MATCH("DSO_PRIVADO_DEFAULT", 02B_ESCENARIOS!$A$4:$A$11, 0), MATCH("Agresivo", 02B_ESCENARIOS!$B$3:$D$3, 0)), IF(VLOOKUP(A129,04_PROYECTOS!$A:$N,4,FALSE)="Publico_&lt;10M",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VLOOKUP(A129,04_PROYECTOS!$A:$N,10,FALSE))</f>
        <v/>
      </c>
      <c r="I129">
        <f>ROUNDUP(H129/30,0)</f>
        <v/>
      </c>
      <c r="J129">
        <f>EDATE(C129,I129)</f>
        <v/>
      </c>
      <c r="K129">
        <f>G129</f>
        <v/>
      </c>
    </row>
    <row r="130">
      <c r="E130">
        <f>D130*VLOOKUP(A130,04_PROYECTOS!$A:$N,5,FALSE)*(INDEX(02B_ESCENARIOS!$B$4:$D$11, MATCH("MULT_PRECIO", 02B_ESCENARIOS!$A$4:$A$11, 0), MATCH("Agresivo", 02B_ESCENARIOS!$B$3:$D$3, 0)))*INDEX(02B_ESCENARIOS!$B$15:$D$19, MATCH(VLOOKUP(A130,04_PROYECTOS!$A:$N,9,FALSE), 02B_ESCENARIOS!$A$15:$A$19, 0), MATCH("Agresivo", 02B_ESCENARIOS!$B$14:$D$14, 0))</f>
        <v/>
      </c>
      <c r="F130">
        <f>E130*VLOOKUP(A130,04_PROYECTOS!$A:$N,6,FALSE)</f>
        <v/>
      </c>
      <c r="G130">
        <f>E130+F130</f>
        <v/>
      </c>
      <c r="H130">
        <f>IF(VLOOKUP(A130,04_PROYECTOS!$A:$N,10,FALSE)="", IF(VLOOKUP(A130,04_PROYECTOS!$A:$N,4,FALSE)="Privado", INDEX(02B_ESCENARIOS!$B$4:$D$11, MATCH("DSO_PRIVADO_DEFAULT", 02B_ESCENARIOS!$A$4:$A$11, 0), MATCH("Agresivo", 02B_ESCENARIOS!$B$3:$D$3, 0)), IF(VLOOKUP(A130,04_PROYECTOS!$A:$N,4,FALSE)="Publico_&lt;10M",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VLOOKUP(A130,04_PROYECTOS!$A:$N,10,FALSE))</f>
        <v/>
      </c>
      <c r="I130">
        <f>ROUNDUP(H130/30,0)</f>
        <v/>
      </c>
      <c r="J130">
        <f>EDATE(C130,I130)</f>
        <v/>
      </c>
      <c r="K130">
        <f>G130</f>
        <v/>
      </c>
    </row>
    <row r="131">
      <c r="E131">
        <f>D131*VLOOKUP(A131,04_PROYECTOS!$A:$N,5,FALSE)*(INDEX(02B_ESCENARIOS!$B$4:$D$11, MATCH("MULT_PRECIO", 02B_ESCENARIOS!$A$4:$A$11, 0), MATCH("Agresivo", 02B_ESCENARIOS!$B$3:$D$3, 0)))*INDEX(02B_ESCENARIOS!$B$15:$D$19, MATCH(VLOOKUP(A131,04_PROYECTOS!$A:$N,9,FALSE), 02B_ESCENARIOS!$A$15:$A$19, 0), MATCH("Agresivo", 02B_ESCENARIOS!$B$14:$D$14, 0))</f>
        <v/>
      </c>
      <c r="F131">
        <f>E131*VLOOKUP(A131,04_PROYECTOS!$A:$N,6,FALSE)</f>
        <v/>
      </c>
      <c r="G131">
        <f>E131+F131</f>
        <v/>
      </c>
      <c r="H131">
        <f>IF(VLOOKUP(A131,04_PROYECTOS!$A:$N,10,FALSE)="", IF(VLOOKUP(A131,04_PROYECTOS!$A:$N,4,FALSE)="Privado", INDEX(02B_ESCENARIOS!$B$4:$D$11, MATCH("DSO_PRIVADO_DEFAULT", 02B_ESCENARIOS!$A$4:$A$11, 0), MATCH("Agresivo", 02B_ESCENARIOS!$B$3:$D$3, 0)), IF(VLOOKUP(A131,04_PROYECTOS!$A:$N,4,FALSE)="Publico_&lt;10M",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VLOOKUP(A131,04_PROYECTOS!$A:$N,10,FALSE))</f>
        <v/>
      </c>
      <c r="I131">
        <f>ROUNDUP(H131/30,0)</f>
        <v/>
      </c>
      <c r="J131">
        <f>EDATE(C131,I131)</f>
        <v/>
      </c>
      <c r="K131">
        <f>G131</f>
        <v/>
      </c>
    </row>
    <row r="132">
      <c r="E132">
        <f>D132*VLOOKUP(A132,04_PROYECTOS!$A:$N,5,FALSE)*(INDEX(02B_ESCENARIOS!$B$4:$D$11, MATCH("MULT_PRECIO", 02B_ESCENARIOS!$A$4:$A$11, 0), MATCH("Agresivo", 02B_ESCENARIOS!$B$3:$D$3, 0)))*INDEX(02B_ESCENARIOS!$B$15:$D$19, MATCH(VLOOKUP(A132,04_PROYECTOS!$A:$N,9,FALSE), 02B_ESCENARIOS!$A$15:$A$19, 0), MATCH("Agresivo", 02B_ESCENARIOS!$B$14:$D$14, 0))</f>
        <v/>
      </c>
      <c r="F132">
        <f>E132*VLOOKUP(A132,04_PROYECTOS!$A:$N,6,FALSE)</f>
        <v/>
      </c>
      <c r="G132">
        <f>E132+F132</f>
        <v/>
      </c>
      <c r="H132">
        <f>IF(VLOOKUP(A132,04_PROYECTOS!$A:$N,10,FALSE)="", IF(VLOOKUP(A132,04_PROYECTOS!$A:$N,4,FALSE)="Privado", INDEX(02B_ESCENARIOS!$B$4:$D$11, MATCH("DSO_PRIVADO_DEFAULT", 02B_ESCENARIOS!$A$4:$A$11, 0), MATCH("Agresivo", 02B_ESCENARIOS!$B$3:$D$3, 0)), IF(VLOOKUP(A132,04_PROYECTOS!$A:$N,4,FALSE)="Publico_&lt;10M",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VLOOKUP(A132,04_PROYECTOS!$A:$N,10,FALSE))</f>
        <v/>
      </c>
      <c r="I132">
        <f>ROUNDUP(H132/30,0)</f>
        <v/>
      </c>
      <c r="J132">
        <f>EDATE(C132,I132)</f>
        <v/>
      </c>
      <c r="K132">
        <f>G132</f>
        <v/>
      </c>
    </row>
    <row r="133">
      <c r="E133">
        <f>D133*VLOOKUP(A133,04_PROYECTOS!$A:$N,5,FALSE)*(INDEX(02B_ESCENARIOS!$B$4:$D$11, MATCH("MULT_PRECIO", 02B_ESCENARIOS!$A$4:$A$11, 0), MATCH("Agresivo", 02B_ESCENARIOS!$B$3:$D$3, 0)))*INDEX(02B_ESCENARIOS!$B$15:$D$19, MATCH(VLOOKUP(A133,04_PROYECTOS!$A:$N,9,FALSE), 02B_ESCENARIOS!$A$15:$A$19, 0), MATCH("Agresivo", 02B_ESCENARIOS!$B$14:$D$14, 0))</f>
        <v/>
      </c>
      <c r="F133">
        <f>E133*VLOOKUP(A133,04_PROYECTOS!$A:$N,6,FALSE)</f>
        <v/>
      </c>
      <c r="G133">
        <f>E133+F133</f>
        <v/>
      </c>
      <c r="H133">
        <f>IF(VLOOKUP(A133,04_PROYECTOS!$A:$N,10,FALSE)="", IF(VLOOKUP(A133,04_PROYECTOS!$A:$N,4,FALSE)="Privado", INDEX(02B_ESCENARIOS!$B$4:$D$11, MATCH("DSO_PRIVADO_DEFAULT", 02B_ESCENARIOS!$A$4:$A$11, 0), MATCH("Agresivo", 02B_ESCENARIOS!$B$3:$D$3, 0)), IF(VLOOKUP(A133,04_PROYECTOS!$A:$N,4,FALSE)="Publico_&lt;10M",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VLOOKUP(A133,04_PROYECTOS!$A:$N,10,FALSE))</f>
        <v/>
      </c>
      <c r="I133">
        <f>ROUNDUP(H133/30,0)</f>
        <v/>
      </c>
      <c r="J133">
        <f>EDATE(C133,I133)</f>
        <v/>
      </c>
      <c r="K133">
        <f>G133</f>
        <v/>
      </c>
    </row>
    <row r="134">
      <c r="E134">
        <f>D134*VLOOKUP(A134,04_PROYECTOS!$A:$N,5,FALSE)*(INDEX(02B_ESCENARIOS!$B$4:$D$11, MATCH("MULT_PRECIO", 02B_ESCENARIOS!$A$4:$A$11, 0), MATCH("Agresivo", 02B_ESCENARIOS!$B$3:$D$3, 0)))*INDEX(02B_ESCENARIOS!$B$15:$D$19, MATCH(VLOOKUP(A134,04_PROYECTOS!$A:$N,9,FALSE), 02B_ESCENARIOS!$A$15:$A$19, 0), MATCH("Agresivo", 02B_ESCENARIOS!$B$14:$D$14, 0))</f>
        <v/>
      </c>
      <c r="F134">
        <f>E134*VLOOKUP(A134,04_PROYECTOS!$A:$N,6,FALSE)</f>
        <v/>
      </c>
      <c r="G134">
        <f>E134+F134</f>
        <v/>
      </c>
      <c r="H134">
        <f>IF(VLOOKUP(A134,04_PROYECTOS!$A:$N,10,FALSE)="", IF(VLOOKUP(A134,04_PROYECTOS!$A:$N,4,FALSE)="Privado", INDEX(02B_ESCENARIOS!$B$4:$D$11, MATCH("DSO_PRIVADO_DEFAULT", 02B_ESCENARIOS!$A$4:$A$11, 0), MATCH("Agresivo", 02B_ESCENARIOS!$B$3:$D$3, 0)), IF(VLOOKUP(A134,04_PROYECTOS!$A:$N,4,FALSE)="Publico_&lt;10M",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VLOOKUP(A134,04_PROYECTOS!$A:$N,10,FALSE))</f>
        <v/>
      </c>
      <c r="I134">
        <f>ROUNDUP(H134/30,0)</f>
        <v/>
      </c>
      <c r="J134">
        <f>EDATE(C134,I134)</f>
        <v/>
      </c>
      <c r="K134">
        <f>G134</f>
        <v/>
      </c>
    </row>
    <row r="135">
      <c r="E135">
        <f>D135*VLOOKUP(A135,04_PROYECTOS!$A:$N,5,FALSE)*(INDEX(02B_ESCENARIOS!$B$4:$D$11, MATCH("MULT_PRECIO", 02B_ESCENARIOS!$A$4:$A$11, 0), MATCH("Agresivo", 02B_ESCENARIOS!$B$3:$D$3, 0)))*INDEX(02B_ESCENARIOS!$B$15:$D$19, MATCH(VLOOKUP(A135,04_PROYECTOS!$A:$N,9,FALSE), 02B_ESCENARIOS!$A$15:$A$19, 0), MATCH("Agresivo", 02B_ESCENARIOS!$B$14:$D$14, 0))</f>
        <v/>
      </c>
      <c r="F135">
        <f>E135*VLOOKUP(A135,04_PROYECTOS!$A:$N,6,FALSE)</f>
        <v/>
      </c>
      <c r="G135">
        <f>E135+F135</f>
        <v/>
      </c>
      <c r="H135">
        <f>IF(VLOOKUP(A135,04_PROYECTOS!$A:$N,10,FALSE)="", IF(VLOOKUP(A135,04_PROYECTOS!$A:$N,4,FALSE)="Privado", INDEX(02B_ESCENARIOS!$B$4:$D$11, MATCH("DSO_PRIVADO_DEFAULT", 02B_ESCENARIOS!$A$4:$A$11, 0), MATCH("Agresivo", 02B_ESCENARIOS!$B$3:$D$3, 0)), IF(VLOOKUP(A135,04_PROYECTOS!$A:$N,4,FALSE)="Publico_&lt;10M",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VLOOKUP(A135,04_PROYECTOS!$A:$N,10,FALSE))</f>
        <v/>
      </c>
      <c r="I135">
        <f>ROUNDUP(H135/30,0)</f>
        <v/>
      </c>
      <c r="J135">
        <f>EDATE(C135,I135)</f>
        <v/>
      </c>
      <c r="K135">
        <f>G135</f>
        <v/>
      </c>
    </row>
    <row r="136">
      <c r="E136">
        <f>D136*VLOOKUP(A136,04_PROYECTOS!$A:$N,5,FALSE)*(INDEX(02B_ESCENARIOS!$B$4:$D$11, MATCH("MULT_PRECIO", 02B_ESCENARIOS!$A$4:$A$11, 0), MATCH("Agresivo", 02B_ESCENARIOS!$B$3:$D$3, 0)))*INDEX(02B_ESCENARIOS!$B$15:$D$19, MATCH(VLOOKUP(A136,04_PROYECTOS!$A:$N,9,FALSE), 02B_ESCENARIOS!$A$15:$A$19, 0), MATCH("Agresivo", 02B_ESCENARIOS!$B$14:$D$14, 0))</f>
        <v/>
      </c>
      <c r="F136">
        <f>E136*VLOOKUP(A136,04_PROYECTOS!$A:$N,6,FALSE)</f>
        <v/>
      </c>
      <c r="G136">
        <f>E136+F136</f>
        <v/>
      </c>
      <c r="H136">
        <f>IF(VLOOKUP(A136,04_PROYECTOS!$A:$N,10,FALSE)="", IF(VLOOKUP(A136,04_PROYECTOS!$A:$N,4,FALSE)="Privado", INDEX(02B_ESCENARIOS!$B$4:$D$11, MATCH("DSO_PRIVADO_DEFAULT", 02B_ESCENARIOS!$A$4:$A$11, 0), MATCH("Agresivo", 02B_ESCENARIOS!$B$3:$D$3, 0)), IF(VLOOKUP(A136,04_PROYECTOS!$A:$N,4,FALSE)="Publico_&lt;10M",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VLOOKUP(A136,04_PROYECTOS!$A:$N,10,FALSE))</f>
        <v/>
      </c>
      <c r="I136">
        <f>ROUNDUP(H136/30,0)</f>
        <v/>
      </c>
      <c r="J136">
        <f>EDATE(C136,I136)</f>
        <v/>
      </c>
      <c r="K136">
        <f>G136</f>
        <v/>
      </c>
    </row>
    <row r="137">
      <c r="E137">
        <f>D137*VLOOKUP(A137,04_PROYECTOS!$A:$N,5,FALSE)*(INDEX(02B_ESCENARIOS!$B$4:$D$11, MATCH("MULT_PRECIO", 02B_ESCENARIOS!$A$4:$A$11, 0), MATCH("Agresivo", 02B_ESCENARIOS!$B$3:$D$3, 0)))*INDEX(02B_ESCENARIOS!$B$15:$D$19, MATCH(VLOOKUP(A137,04_PROYECTOS!$A:$N,9,FALSE), 02B_ESCENARIOS!$A$15:$A$19, 0), MATCH("Agresivo", 02B_ESCENARIOS!$B$14:$D$14, 0))</f>
        <v/>
      </c>
      <c r="F137">
        <f>E137*VLOOKUP(A137,04_PROYECTOS!$A:$N,6,FALSE)</f>
        <v/>
      </c>
      <c r="G137">
        <f>E137+F137</f>
        <v/>
      </c>
      <c r="H137">
        <f>IF(VLOOKUP(A137,04_PROYECTOS!$A:$N,10,FALSE)="", IF(VLOOKUP(A137,04_PROYECTOS!$A:$N,4,FALSE)="Privado", INDEX(02B_ESCENARIOS!$B$4:$D$11, MATCH("DSO_PRIVADO_DEFAULT", 02B_ESCENARIOS!$A$4:$A$11, 0), MATCH("Agresivo", 02B_ESCENARIOS!$B$3:$D$3, 0)), IF(VLOOKUP(A137,04_PROYECTOS!$A:$N,4,FALSE)="Publico_&lt;10M",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VLOOKUP(A137,04_PROYECTOS!$A:$N,10,FALSE))</f>
        <v/>
      </c>
      <c r="I137">
        <f>ROUNDUP(H137/30,0)</f>
        <v/>
      </c>
      <c r="J137">
        <f>EDATE(C137,I137)</f>
        <v/>
      </c>
      <c r="K137">
        <f>G137</f>
        <v/>
      </c>
    </row>
    <row r="138">
      <c r="E138">
        <f>D138*VLOOKUP(A138,04_PROYECTOS!$A:$N,5,FALSE)*(INDEX(02B_ESCENARIOS!$B$4:$D$11, MATCH("MULT_PRECIO", 02B_ESCENARIOS!$A$4:$A$11, 0), MATCH("Agresivo", 02B_ESCENARIOS!$B$3:$D$3, 0)))*INDEX(02B_ESCENARIOS!$B$15:$D$19, MATCH(VLOOKUP(A138,04_PROYECTOS!$A:$N,9,FALSE), 02B_ESCENARIOS!$A$15:$A$19, 0), MATCH("Agresivo", 02B_ESCENARIOS!$B$14:$D$14, 0))</f>
        <v/>
      </c>
      <c r="F138">
        <f>E138*VLOOKUP(A138,04_PROYECTOS!$A:$N,6,FALSE)</f>
        <v/>
      </c>
      <c r="G138">
        <f>E138+F138</f>
        <v/>
      </c>
      <c r="H138">
        <f>IF(VLOOKUP(A138,04_PROYECTOS!$A:$N,10,FALSE)="", IF(VLOOKUP(A138,04_PROYECTOS!$A:$N,4,FALSE)="Privado", INDEX(02B_ESCENARIOS!$B$4:$D$11, MATCH("DSO_PRIVADO_DEFAULT", 02B_ESCENARIOS!$A$4:$A$11, 0), MATCH("Agresivo", 02B_ESCENARIOS!$B$3:$D$3, 0)), IF(VLOOKUP(A138,04_PROYECTOS!$A:$N,4,FALSE)="Publico_&lt;10M",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VLOOKUP(A138,04_PROYECTOS!$A:$N,10,FALSE))</f>
        <v/>
      </c>
      <c r="I138">
        <f>ROUNDUP(H138/30,0)</f>
        <v/>
      </c>
      <c r="J138">
        <f>EDATE(C138,I138)</f>
        <v/>
      </c>
      <c r="K138">
        <f>G138</f>
        <v/>
      </c>
    </row>
    <row r="139">
      <c r="E139">
        <f>D139*VLOOKUP(A139,04_PROYECTOS!$A:$N,5,FALSE)*(INDEX(02B_ESCENARIOS!$B$4:$D$11, MATCH("MULT_PRECIO", 02B_ESCENARIOS!$A$4:$A$11, 0), MATCH("Agresivo", 02B_ESCENARIOS!$B$3:$D$3, 0)))*INDEX(02B_ESCENARIOS!$B$15:$D$19, MATCH(VLOOKUP(A139,04_PROYECTOS!$A:$N,9,FALSE), 02B_ESCENARIOS!$A$15:$A$19, 0), MATCH("Agresivo", 02B_ESCENARIOS!$B$14:$D$14, 0))</f>
        <v/>
      </c>
      <c r="F139">
        <f>E139*VLOOKUP(A139,04_PROYECTOS!$A:$N,6,FALSE)</f>
        <v/>
      </c>
      <c r="G139">
        <f>E139+F139</f>
        <v/>
      </c>
      <c r="H139">
        <f>IF(VLOOKUP(A139,04_PROYECTOS!$A:$N,10,FALSE)="", IF(VLOOKUP(A139,04_PROYECTOS!$A:$N,4,FALSE)="Privado", INDEX(02B_ESCENARIOS!$B$4:$D$11, MATCH("DSO_PRIVADO_DEFAULT", 02B_ESCENARIOS!$A$4:$A$11, 0), MATCH("Agresivo", 02B_ESCENARIOS!$B$3:$D$3, 0)), IF(VLOOKUP(A139,04_PROYECTOS!$A:$N,4,FALSE)="Publico_&lt;10M",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VLOOKUP(A139,04_PROYECTOS!$A:$N,10,FALSE))</f>
        <v/>
      </c>
      <c r="I139">
        <f>ROUNDUP(H139/30,0)</f>
        <v/>
      </c>
      <c r="J139">
        <f>EDATE(C139,I139)</f>
        <v/>
      </c>
      <c r="K139">
        <f>G139</f>
        <v/>
      </c>
    </row>
    <row r="140">
      <c r="E140">
        <f>D140*VLOOKUP(A140,04_PROYECTOS!$A:$N,5,FALSE)*(INDEX(02B_ESCENARIOS!$B$4:$D$11, MATCH("MULT_PRECIO", 02B_ESCENARIOS!$A$4:$A$11, 0), MATCH("Agresivo", 02B_ESCENARIOS!$B$3:$D$3, 0)))*INDEX(02B_ESCENARIOS!$B$15:$D$19, MATCH(VLOOKUP(A140,04_PROYECTOS!$A:$N,9,FALSE), 02B_ESCENARIOS!$A$15:$A$19, 0), MATCH("Agresivo", 02B_ESCENARIOS!$B$14:$D$14, 0))</f>
        <v/>
      </c>
      <c r="F140">
        <f>E140*VLOOKUP(A140,04_PROYECTOS!$A:$N,6,FALSE)</f>
        <v/>
      </c>
      <c r="G140">
        <f>E140+F140</f>
        <v/>
      </c>
      <c r="H140">
        <f>IF(VLOOKUP(A140,04_PROYECTOS!$A:$N,10,FALSE)="", IF(VLOOKUP(A140,04_PROYECTOS!$A:$N,4,FALSE)="Privado", INDEX(02B_ESCENARIOS!$B$4:$D$11, MATCH("DSO_PRIVADO_DEFAULT", 02B_ESCENARIOS!$A$4:$A$11, 0), MATCH("Agresivo", 02B_ESCENARIOS!$B$3:$D$3, 0)), IF(VLOOKUP(A140,04_PROYECTOS!$A:$N,4,FALSE)="Publico_&lt;10M",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VLOOKUP(A140,04_PROYECTOS!$A:$N,10,FALSE))</f>
        <v/>
      </c>
      <c r="I140">
        <f>ROUNDUP(H140/30,0)</f>
        <v/>
      </c>
      <c r="J140">
        <f>EDATE(C140,I140)</f>
        <v/>
      </c>
      <c r="K140">
        <f>G140</f>
        <v/>
      </c>
    </row>
    <row r="141">
      <c r="E141">
        <f>D141*VLOOKUP(A141,04_PROYECTOS!$A:$N,5,FALSE)*(INDEX(02B_ESCENARIOS!$B$4:$D$11, MATCH("MULT_PRECIO", 02B_ESCENARIOS!$A$4:$A$11, 0), MATCH("Agresivo", 02B_ESCENARIOS!$B$3:$D$3, 0)))*INDEX(02B_ESCENARIOS!$B$15:$D$19, MATCH(VLOOKUP(A141,04_PROYECTOS!$A:$N,9,FALSE), 02B_ESCENARIOS!$A$15:$A$19, 0), MATCH("Agresivo", 02B_ESCENARIOS!$B$14:$D$14, 0))</f>
        <v/>
      </c>
      <c r="F141">
        <f>E141*VLOOKUP(A141,04_PROYECTOS!$A:$N,6,FALSE)</f>
        <v/>
      </c>
      <c r="G141">
        <f>E141+F141</f>
        <v/>
      </c>
      <c r="H141">
        <f>IF(VLOOKUP(A141,04_PROYECTOS!$A:$N,10,FALSE)="", IF(VLOOKUP(A141,04_PROYECTOS!$A:$N,4,FALSE)="Privado", INDEX(02B_ESCENARIOS!$B$4:$D$11, MATCH("DSO_PRIVADO_DEFAULT", 02B_ESCENARIOS!$A$4:$A$11, 0), MATCH("Agresivo", 02B_ESCENARIOS!$B$3:$D$3, 0)), IF(VLOOKUP(A141,04_PROYECTOS!$A:$N,4,FALSE)="Publico_&lt;10M",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VLOOKUP(A141,04_PROYECTOS!$A:$N,10,FALSE))</f>
        <v/>
      </c>
      <c r="I141">
        <f>ROUNDUP(H141/30,0)</f>
        <v/>
      </c>
      <c r="J141">
        <f>EDATE(C141,I141)</f>
        <v/>
      </c>
      <c r="K141">
        <f>G141</f>
        <v/>
      </c>
    </row>
    <row r="142">
      <c r="E142">
        <f>D142*VLOOKUP(A142,04_PROYECTOS!$A:$N,5,FALSE)*(INDEX(02B_ESCENARIOS!$B$4:$D$11, MATCH("MULT_PRECIO", 02B_ESCENARIOS!$A$4:$A$11, 0), MATCH("Agresivo", 02B_ESCENARIOS!$B$3:$D$3, 0)))*INDEX(02B_ESCENARIOS!$B$15:$D$19, MATCH(VLOOKUP(A142,04_PROYECTOS!$A:$N,9,FALSE), 02B_ESCENARIOS!$A$15:$A$19, 0), MATCH("Agresivo", 02B_ESCENARIOS!$B$14:$D$14, 0))</f>
        <v/>
      </c>
      <c r="F142">
        <f>E142*VLOOKUP(A142,04_PROYECTOS!$A:$N,6,FALSE)</f>
        <v/>
      </c>
      <c r="G142">
        <f>E142+F142</f>
        <v/>
      </c>
      <c r="H142">
        <f>IF(VLOOKUP(A142,04_PROYECTOS!$A:$N,10,FALSE)="", IF(VLOOKUP(A142,04_PROYECTOS!$A:$N,4,FALSE)="Privado", INDEX(02B_ESCENARIOS!$B$4:$D$11, MATCH("DSO_PRIVADO_DEFAULT", 02B_ESCENARIOS!$A$4:$A$11, 0), MATCH("Agresivo", 02B_ESCENARIOS!$B$3:$D$3, 0)), IF(VLOOKUP(A142,04_PROYECTOS!$A:$N,4,FALSE)="Publico_&lt;10M",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VLOOKUP(A142,04_PROYECTOS!$A:$N,10,FALSE))</f>
        <v/>
      </c>
      <c r="I142">
        <f>ROUNDUP(H142/30,0)</f>
        <v/>
      </c>
      <c r="J142">
        <f>EDATE(C142,I142)</f>
        <v/>
      </c>
      <c r="K142">
        <f>G142</f>
        <v/>
      </c>
    </row>
    <row r="143">
      <c r="E143">
        <f>D143*VLOOKUP(A143,04_PROYECTOS!$A:$N,5,FALSE)*(INDEX(02B_ESCENARIOS!$B$4:$D$11, MATCH("MULT_PRECIO", 02B_ESCENARIOS!$A$4:$A$11, 0), MATCH("Agresivo", 02B_ESCENARIOS!$B$3:$D$3, 0)))*INDEX(02B_ESCENARIOS!$B$15:$D$19, MATCH(VLOOKUP(A143,04_PROYECTOS!$A:$N,9,FALSE), 02B_ESCENARIOS!$A$15:$A$19, 0), MATCH("Agresivo", 02B_ESCENARIOS!$B$14:$D$14, 0))</f>
        <v/>
      </c>
      <c r="F143">
        <f>E143*VLOOKUP(A143,04_PROYECTOS!$A:$N,6,FALSE)</f>
        <v/>
      </c>
      <c r="G143">
        <f>E143+F143</f>
        <v/>
      </c>
      <c r="H143">
        <f>IF(VLOOKUP(A143,04_PROYECTOS!$A:$N,10,FALSE)="", IF(VLOOKUP(A143,04_PROYECTOS!$A:$N,4,FALSE)="Privado", INDEX(02B_ESCENARIOS!$B$4:$D$11, MATCH("DSO_PRIVADO_DEFAULT", 02B_ESCENARIOS!$A$4:$A$11, 0), MATCH("Agresivo", 02B_ESCENARIOS!$B$3:$D$3, 0)), IF(VLOOKUP(A143,04_PROYECTOS!$A:$N,4,FALSE)="Publico_&lt;10M",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VLOOKUP(A143,04_PROYECTOS!$A:$N,10,FALSE))</f>
        <v/>
      </c>
      <c r="I143">
        <f>ROUNDUP(H143/30,0)</f>
        <v/>
      </c>
      <c r="J143">
        <f>EDATE(C143,I143)</f>
        <v/>
      </c>
      <c r="K143">
        <f>G143</f>
        <v/>
      </c>
    </row>
    <row r="144">
      <c r="E144">
        <f>D144*VLOOKUP(A144,04_PROYECTOS!$A:$N,5,FALSE)*(INDEX(02B_ESCENARIOS!$B$4:$D$11, MATCH("MULT_PRECIO", 02B_ESCENARIOS!$A$4:$A$11, 0), MATCH("Agresivo", 02B_ESCENARIOS!$B$3:$D$3, 0)))*INDEX(02B_ESCENARIOS!$B$15:$D$19, MATCH(VLOOKUP(A144,04_PROYECTOS!$A:$N,9,FALSE), 02B_ESCENARIOS!$A$15:$A$19, 0), MATCH("Agresivo", 02B_ESCENARIOS!$B$14:$D$14, 0))</f>
        <v/>
      </c>
      <c r="F144">
        <f>E144*VLOOKUP(A144,04_PROYECTOS!$A:$N,6,FALSE)</f>
        <v/>
      </c>
      <c r="G144">
        <f>E144+F144</f>
        <v/>
      </c>
      <c r="H144">
        <f>IF(VLOOKUP(A144,04_PROYECTOS!$A:$N,10,FALSE)="", IF(VLOOKUP(A144,04_PROYECTOS!$A:$N,4,FALSE)="Privado", INDEX(02B_ESCENARIOS!$B$4:$D$11, MATCH("DSO_PRIVADO_DEFAULT", 02B_ESCENARIOS!$A$4:$A$11, 0), MATCH("Agresivo", 02B_ESCENARIOS!$B$3:$D$3, 0)), IF(VLOOKUP(A144,04_PROYECTOS!$A:$N,4,FALSE)="Publico_&lt;10M",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VLOOKUP(A144,04_PROYECTOS!$A:$N,10,FALSE))</f>
        <v/>
      </c>
      <c r="I144">
        <f>ROUNDUP(H144/30,0)</f>
        <v/>
      </c>
      <c r="J144">
        <f>EDATE(C144,I144)</f>
        <v/>
      </c>
      <c r="K144">
        <f>G144</f>
        <v/>
      </c>
    </row>
    <row r="145">
      <c r="E145">
        <f>D145*VLOOKUP(A145,04_PROYECTOS!$A:$N,5,FALSE)*(INDEX(02B_ESCENARIOS!$B$4:$D$11, MATCH("MULT_PRECIO", 02B_ESCENARIOS!$A$4:$A$11, 0), MATCH("Agresivo", 02B_ESCENARIOS!$B$3:$D$3, 0)))*INDEX(02B_ESCENARIOS!$B$15:$D$19, MATCH(VLOOKUP(A145,04_PROYECTOS!$A:$N,9,FALSE), 02B_ESCENARIOS!$A$15:$A$19, 0), MATCH("Agresivo", 02B_ESCENARIOS!$B$14:$D$14, 0))</f>
        <v/>
      </c>
      <c r="F145">
        <f>E145*VLOOKUP(A145,04_PROYECTOS!$A:$N,6,FALSE)</f>
        <v/>
      </c>
      <c r="G145">
        <f>E145+F145</f>
        <v/>
      </c>
      <c r="H145">
        <f>IF(VLOOKUP(A145,04_PROYECTOS!$A:$N,10,FALSE)="", IF(VLOOKUP(A145,04_PROYECTOS!$A:$N,4,FALSE)="Privado", INDEX(02B_ESCENARIOS!$B$4:$D$11, MATCH("DSO_PRIVADO_DEFAULT", 02B_ESCENARIOS!$A$4:$A$11, 0), MATCH("Agresivo", 02B_ESCENARIOS!$B$3:$D$3, 0)), IF(VLOOKUP(A145,04_PROYECTOS!$A:$N,4,FALSE)="Publico_&lt;10M",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VLOOKUP(A145,04_PROYECTOS!$A:$N,10,FALSE))</f>
        <v/>
      </c>
      <c r="I145">
        <f>ROUNDUP(H145/30,0)</f>
        <v/>
      </c>
      <c r="J145">
        <f>EDATE(C145,I145)</f>
        <v/>
      </c>
      <c r="K145">
        <f>G145</f>
        <v/>
      </c>
    </row>
    <row r="146">
      <c r="E146">
        <f>D146*VLOOKUP(A146,04_PROYECTOS!$A:$N,5,FALSE)*(INDEX(02B_ESCENARIOS!$B$4:$D$11, MATCH("MULT_PRECIO", 02B_ESCENARIOS!$A$4:$A$11, 0), MATCH("Agresivo", 02B_ESCENARIOS!$B$3:$D$3, 0)))*INDEX(02B_ESCENARIOS!$B$15:$D$19, MATCH(VLOOKUP(A146,04_PROYECTOS!$A:$N,9,FALSE), 02B_ESCENARIOS!$A$15:$A$19, 0), MATCH("Agresivo", 02B_ESCENARIOS!$B$14:$D$14, 0))</f>
        <v/>
      </c>
      <c r="F146">
        <f>E146*VLOOKUP(A146,04_PROYECTOS!$A:$N,6,FALSE)</f>
        <v/>
      </c>
      <c r="G146">
        <f>E146+F146</f>
        <v/>
      </c>
      <c r="H146">
        <f>IF(VLOOKUP(A146,04_PROYECTOS!$A:$N,10,FALSE)="", IF(VLOOKUP(A146,04_PROYECTOS!$A:$N,4,FALSE)="Privado", INDEX(02B_ESCENARIOS!$B$4:$D$11, MATCH("DSO_PRIVADO_DEFAULT", 02B_ESCENARIOS!$A$4:$A$11, 0), MATCH("Agresivo", 02B_ESCENARIOS!$B$3:$D$3, 0)), IF(VLOOKUP(A146,04_PROYECTOS!$A:$N,4,FALSE)="Publico_&lt;10M",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VLOOKUP(A146,04_PROYECTOS!$A:$N,10,FALSE))</f>
        <v/>
      </c>
      <c r="I146">
        <f>ROUNDUP(H146/30,0)</f>
        <v/>
      </c>
      <c r="J146">
        <f>EDATE(C146,I146)</f>
        <v/>
      </c>
      <c r="K146">
        <f>G146</f>
        <v/>
      </c>
    </row>
    <row r="147">
      <c r="E147">
        <f>D147*VLOOKUP(A147,04_PROYECTOS!$A:$N,5,FALSE)*(INDEX(02B_ESCENARIOS!$B$4:$D$11, MATCH("MULT_PRECIO", 02B_ESCENARIOS!$A$4:$A$11, 0), MATCH("Agresivo", 02B_ESCENARIOS!$B$3:$D$3, 0)))*INDEX(02B_ESCENARIOS!$B$15:$D$19, MATCH(VLOOKUP(A147,04_PROYECTOS!$A:$N,9,FALSE), 02B_ESCENARIOS!$A$15:$A$19, 0), MATCH("Agresivo", 02B_ESCENARIOS!$B$14:$D$14, 0))</f>
        <v/>
      </c>
      <c r="F147">
        <f>E147*VLOOKUP(A147,04_PROYECTOS!$A:$N,6,FALSE)</f>
        <v/>
      </c>
      <c r="G147">
        <f>E147+F147</f>
        <v/>
      </c>
      <c r="H147">
        <f>IF(VLOOKUP(A147,04_PROYECTOS!$A:$N,10,FALSE)="", IF(VLOOKUP(A147,04_PROYECTOS!$A:$N,4,FALSE)="Privado", INDEX(02B_ESCENARIOS!$B$4:$D$11, MATCH("DSO_PRIVADO_DEFAULT", 02B_ESCENARIOS!$A$4:$A$11, 0), MATCH("Agresivo", 02B_ESCENARIOS!$B$3:$D$3, 0)), IF(VLOOKUP(A147,04_PROYECTOS!$A:$N,4,FALSE)="Publico_&lt;10M",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VLOOKUP(A147,04_PROYECTOS!$A:$N,10,FALSE))</f>
        <v/>
      </c>
      <c r="I147">
        <f>ROUNDUP(H147/30,0)</f>
        <v/>
      </c>
      <c r="J147">
        <f>EDATE(C147,I147)</f>
        <v/>
      </c>
      <c r="K147">
        <f>G147</f>
        <v/>
      </c>
    </row>
    <row r="148">
      <c r="E148">
        <f>D148*VLOOKUP(A148,04_PROYECTOS!$A:$N,5,FALSE)*(INDEX(02B_ESCENARIOS!$B$4:$D$11, MATCH("MULT_PRECIO", 02B_ESCENARIOS!$A$4:$A$11, 0), MATCH("Agresivo", 02B_ESCENARIOS!$B$3:$D$3, 0)))*INDEX(02B_ESCENARIOS!$B$15:$D$19, MATCH(VLOOKUP(A148,04_PROYECTOS!$A:$N,9,FALSE), 02B_ESCENARIOS!$A$15:$A$19, 0), MATCH("Agresivo", 02B_ESCENARIOS!$B$14:$D$14, 0))</f>
        <v/>
      </c>
      <c r="F148">
        <f>E148*VLOOKUP(A148,04_PROYECTOS!$A:$N,6,FALSE)</f>
        <v/>
      </c>
      <c r="G148">
        <f>E148+F148</f>
        <v/>
      </c>
      <c r="H148">
        <f>IF(VLOOKUP(A148,04_PROYECTOS!$A:$N,10,FALSE)="", IF(VLOOKUP(A148,04_PROYECTOS!$A:$N,4,FALSE)="Privado", INDEX(02B_ESCENARIOS!$B$4:$D$11, MATCH("DSO_PRIVADO_DEFAULT", 02B_ESCENARIOS!$A$4:$A$11, 0), MATCH("Agresivo", 02B_ESCENARIOS!$B$3:$D$3, 0)), IF(VLOOKUP(A148,04_PROYECTOS!$A:$N,4,FALSE)="Publico_&lt;10M",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VLOOKUP(A148,04_PROYECTOS!$A:$N,10,FALSE))</f>
        <v/>
      </c>
      <c r="I148">
        <f>ROUNDUP(H148/30,0)</f>
        <v/>
      </c>
      <c r="J148">
        <f>EDATE(C148,I148)</f>
        <v/>
      </c>
      <c r="K148">
        <f>G148</f>
        <v/>
      </c>
    </row>
    <row r="149">
      <c r="E149">
        <f>D149*VLOOKUP(A149,04_PROYECTOS!$A:$N,5,FALSE)*(INDEX(02B_ESCENARIOS!$B$4:$D$11, MATCH("MULT_PRECIO", 02B_ESCENARIOS!$A$4:$A$11, 0), MATCH("Agresivo", 02B_ESCENARIOS!$B$3:$D$3, 0)))*INDEX(02B_ESCENARIOS!$B$15:$D$19, MATCH(VLOOKUP(A149,04_PROYECTOS!$A:$N,9,FALSE), 02B_ESCENARIOS!$A$15:$A$19, 0), MATCH("Agresivo", 02B_ESCENARIOS!$B$14:$D$14, 0))</f>
        <v/>
      </c>
      <c r="F149">
        <f>E149*VLOOKUP(A149,04_PROYECTOS!$A:$N,6,FALSE)</f>
        <v/>
      </c>
      <c r="G149">
        <f>E149+F149</f>
        <v/>
      </c>
      <c r="H149">
        <f>IF(VLOOKUP(A149,04_PROYECTOS!$A:$N,10,FALSE)="", IF(VLOOKUP(A149,04_PROYECTOS!$A:$N,4,FALSE)="Privado", INDEX(02B_ESCENARIOS!$B$4:$D$11, MATCH("DSO_PRIVADO_DEFAULT", 02B_ESCENARIOS!$A$4:$A$11, 0), MATCH("Agresivo", 02B_ESCENARIOS!$B$3:$D$3, 0)), IF(VLOOKUP(A149,04_PROYECTOS!$A:$N,4,FALSE)="Publico_&lt;10M",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VLOOKUP(A149,04_PROYECTOS!$A:$N,10,FALSE))</f>
        <v/>
      </c>
      <c r="I149">
        <f>ROUNDUP(H149/30,0)</f>
        <v/>
      </c>
      <c r="J149">
        <f>EDATE(C149,I149)</f>
        <v/>
      </c>
      <c r="K149">
        <f>G149</f>
        <v/>
      </c>
    </row>
    <row r="150">
      <c r="E150">
        <f>D150*VLOOKUP(A150,04_PROYECTOS!$A:$N,5,FALSE)*(INDEX(02B_ESCENARIOS!$B$4:$D$11, MATCH("MULT_PRECIO", 02B_ESCENARIOS!$A$4:$A$11, 0), MATCH("Agresivo", 02B_ESCENARIOS!$B$3:$D$3, 0)))*INDEX(02B_ESCENARIOS!$B$15:$D$19, MATCH(VLOOKUP(A150,04_PROYECTOS!$A:$N,9,FALSE), 02B_ESCENARIOS!$A$15:$A$19, 0), MATCH("Agresivo", 02B_ESCENARIOS!$B$14:$D$14, 0))</f>
        <v/>
      </c>
      <c r="F150">
        <f>E150*VLOOKUP(A150,04_PROYECTOS!$A:$N,6,FALSE)</f>
        <v/>
      </c>
      <c r="G150">
        <f>E150+F150</f>
        <v/>
      </c>
      <c r="H150">
        <f>IF(VLOOKUP(A150,04_PROYECTOS!$A:$N,10,FALSE)="", IF(VLOOKUP(A150,04_PROYECTOS!$A:$N,4,FALSE)="Privado", INDEX(02B_ESCENARIOS!$B$4:$D$11, MATCH("DSO_PRIVADO_DEFAULT", 02B_ESCENARIOS!$A$4:$A$11, 0), MATCH("Agresivo", 02B_ESCENARIOS!$B$3:$D$3, 0)), IF(VLOOKUP(A150,04_PROYECTOS!$A:$N,4,FALSE)="Publico_&lt;10M",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VLOOKUP(A150,04_PROYECTOS!$A:$N,10,FALSE))</f>
        <v/>
      </c>
      <c r="I150">
        <f>ROUNDUP(H150/30,0)</f>
        <v/>
      </c>
      <c r="J150">
        <f>EDATE(C150,I150)</f>
        <v/>
      </c>
      <c r="K150">
        <f>G150</f>
        <v/>
      </c>
    </row>
    <row r="151">
      <c r="E151">
        <f>D151*VLOOKUP(A151,04_PROYECTOS!$A:$N,5,FALSE)*(INDEX(02B_ESCENARIOS!$B$4:$D$11, MATCH("MULT_PRECIO", 02B_ESCENARIOS!$A$4:$A$11, 0), MATCH("Agresivo", 02B_ESCENARIOS!$B$3:$D$3, 0)))*INDEX(02B_ESCENARIOS!$B$15:$D$19, MATCH(VLOOKUP(A151,04_PROYECTOS!$A:$N,9,FALSE), 02B_ESCENARIOS!$A$15:$A$19, 0), MATCH("Agresivo", 02B_ESCENARIOS!$B$14:$D$14, 0))</f>
        <v/>
      </c>
      <c r="F151">
        <f>E151*VLOOKUP(A151,04_PROYECTOS!$A:$N,6,FALSE)</f>
        <v/>
      </c>
      <c r="G151">
        <f>E151+F151</f>
        <v/>
      </c>
      <c r="H151">
        <f>IF(VLOOKUP(A151,04_PROYECTOS!$A:$N,10,FALSE)="", IF(VLOOKUP(A151,04_PROYECTOS!$A:$N,4,FALSE)="Privado", INDEX(02B_ESCENARIOS!$B$4:$D$11, MATCH("DSO_PRIVADO_DEFAULT", 02B_ESCENARIOS!$A$4:$A$11, 0), MATCH("Agresivo", 02B_ESCENARIOS!$B$3:$D$3, 0)), IF(VLOOKUP(A151,04_PROYECTOS!$A:$N,4,FALSE)="Publico_&lt;10M",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VLOOKUP(A151,04_PROYECTOS!$A:$N,10,FALSE))</f>
        <v/>
      </c>
      <c r="I151">
        <f>ROUNDUP(H151/30,0)</f>
        <v/>
      </c>
      <c r="J151">
        <f>EDATE(C151,I151)</f>
        <v/>
      </c>
      <c r="K151">
        <f>G151</f>
        <v/>
      </c>
    </row>
    <row r="152">
      <c r="E152">
        <f>D152*VLOOKUP(A152,04_PROYECTOS!$A:$N,5,FALSE)*(INDEX(02B_ESCENARIOS!$B$4:$D$11, MATCH("MULT_PRECIO", 02B_ESCENARIOS!$A$4:$A$11, 0), MATCH("Agresivo", 02B_ESCENARIOS!$B$3:$D$3, 0)))*INDEX(02B_ESCENARIOS!$B$15:$D$19, MATCH(VLOOKUP(A152,04_PROYECTOS!$A:$N,9,FALSE), 02B_ESCENARIOS!$A$15:$A$19, 0), MATCH("Agresivo", 02B_ESCENARIOS!$B$14:$D$14, 0))</f>
        <v/>
      </c>
      <c r="F152">
        <f>E152*VLOOKUP(A152,04_PROYECTOS!$A:$N,6,FALSE)</f>
        <v/>
      </c>
      <c r="G152">
        <f>E152+F152</f>
        <v/>
      </c>
      <c r="H152">
        <f>IF(VLOOKUP(A152,04_PROYECTOS!$A:$N,10,FALSE)="", IF(VLOOKUP(A152,04_PROYECTOS!$A:$N,4,FALSE)="Privado", INDEX(02B_ESCENARIOS!$B$4:$D$11, MATCH("DSO_PRIVADO_DEFAULT", 02B_ESCENARIOS!$A$4:$A$11, 0), MATCH("Agresivo", 02B_ESCENARIOS!$B$3:$D$3, 0)), IF(VLOOKUP(A152,04_PROYECTOS!$A:$N,4,FALSE)="Publico_&lt;10M",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VLOOKUP(A152,04_PROYECTOS!$A:$N,10,FALSE))</f>
        <v/>
      </c>
      <c r="I152">
        <f>ROUNDUP(H152/30,0)</f>
        <v/>
      </c>
      <c r="J152">
        <f>EDATE(C152,I152)</f>
        <v/>
      </c>
      <c r="K152">
        <f>G152</f>
        <v/>
      </c>
    </row>
    <row r="153">
      <c r="E153">
        <f>D153*VLOOKUP(A153,04_PROYECTOS!$A:$N,5,FALSE)*(INDEX(02B_ESCENARIOS!$B$4:$D$11, MATCH("MULT_PRECIO", 02B_ESCENARIOS!$A$4:$A$11, 0), MATCH("Agresivo", 02B_ESCENARIOS!$B$3:$D$3, 0)))*INDEX(02B_ESCENARIOS!$B$15:$D$19, MATCH(VLOOKUP(A153,04_PROYECTOS!$A:$N,9,FALSE), 02B_ESCENARIOS!$A$15:$A$19, 0), MATCH("Agresivo", 02B_ESCENARIOS!$B$14:$D$14, 0))</f>
        <v/>
      </c>
      <c r="F153">
        <f>E153*VLOOKUP(A153,04_PROYECTOS!$A:$N,6,FALSE)</f>
        <v/>
      </c>
      <c r="G153">
        <f>E153+F153</f>
        <v/>
      </c>
      <c r="H153">
        <f>IF(VLOOKUP(A153,04_PROYECTOS!$A:$N,10,FALSE)="", IF(VLOOKUP(A153,04_PROYECTOS!$A:$N,4,FALSE)="Privado", INDEX(02B_ESCENARIOS!$B$4:$D$11, MATCH("DSO_PRIVADO_DEFAULT", 02B_ESCENARIOS!$A$4:$A$11, 0), MATCH("Agresivo", 02B_ESCENARIOS!$B$3:$D$3, 0)), IF(VLOOKUP(A153,04_PROYECTOS!$A:$N,4,FALSE)="Publico_&lt;10M",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VLOOKUP(A153,04_PROYECTOS!$A:$N,10,FALSE))</f>
        <v/>
      </c>
      <c r="I153">
        <f>ROUNDUP(H153/30,0)</f>
        <v/>
      </c>
      <c r="J153">
        <f>EDATE(C153,I153)</f>
        <v/>
      </c>
      <c r="K153">
        <f>G153</f>
        <v/>
      </c>
    </row>
    <row r="154">
      <c r="E154">
        <f>D154*VLOOKUP(A154,04_PROYECTOS!$A:$N,5,FALSE)*(INDEX(02B_ESCENARIOS!$B$4:$D$11, MATCH("MULT_PRECIO", 02B_ESCENARIOS!$A$4:$A$11, 0), MATCH("Agresivo", 02B_ESCENARIOS!$B$3:$D$3, 0)))*INDEX(02B_ESCENARIOS!$B$15:$D$19, MATCH(VLOOKUP(A154,04_PROYECTOS!$A:$N,9,FALSE), 02B_ESCENARIOS!$A$15:$A$19, 0), MATCH("Agresivo", 02B_ESCENARIOS!$B$14:$D$14, 0))</f>
        <v/>
      </c>
      <c r="F154">
        <f>E154*VLOOKUP(A154,04_PROYECTOS!$A:$N,6,FALSE)</f>
        <v/>
      </c>
      <c r="G154">
        <f>E154+F154</f>
        <v/>
      </c>
      <c r="H154">
        <f>IF(VLOOKUP(A154,04_PROYECTOS!$A:$N,10,FALSE)="", IF(VLOOKUP(A154,04_PROYECTOS!$A:$N,4,FALSE)="Privado", INDEX(02B_ESCENARIOS!$B$4:$D$11, MATCH("DSO_PRIVADO_DEFAULT", 02B_ESCENARIOS!$A$4:$A$11, 0), MATCH("Agresivo", 02B_ESCENARIOS!$B$3:$D$3, 0)), IF(VLOOKUP(A154,04_PROYECTOS!$A:$N,4,FALSE)="Publico_&lt;10M",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VLOOKUP(A154,04_PROYECTOS!$A:$N,10,FALSE))</f>
        <v/>
      </c>
      <c r="I154">
        <f>ROUNDUP(H154/30,0)</f>
        <v/>
      </c>
      <c r="J154">
        <f>EDATE(C154,I154)</f>
        <v/>
      </c>
      <c r="K154">
        <f>G154</f>
        <v/>
      </c>
    </row>
    <row r="155">
      <c r="E155">
        <f>D155*VLOOKUP(A155,04_PROYECTOS!$A:$N,5,FALSE)*(INDEX(02B_ESCENARIOS!$B$4:$D$11, MATCH("MULT_PRECIO", 02B_ESCENARIOS!$A$4:$A$11, 0), MATCH("Agresivo", 02B_ESCENARIOS!$B$3:$D$3, 0)))*INDEX(02B_ESCENARIOS!$B$15:$D$19, MATCH(VLOOKUP(A155,04_PROYECTOS!$A:$N,9,FALSE), 02B_ESCENARIOS!$A$15:$A$19, 0), MATCH("Agresivo", 02B_ESCENARIOS!$B$14:$D$14, 0))</f>
        <v/>
      </c>
      <c r="F155">
        <f>E155*VLOOKUP(A155,04_PROYECTOS!$A:$N,6,FALSE)</f>
        <v/>
      </c>
      <c r="G155">
        <f>E155+F155</f>
        <v/>
      </c>
      <c r="H155">
        <f>IF(VLOOKUP(A155,04_PROYECTOS!$A:$N,10,FALSE)="", IF(VLOOKUP(A155,04_PROYECTOS!$A:$N,4,FALSE)="Privado", INDEX(02B_ESCENARIOS!$B$4:$D$11, MATCH("DSO_PRIVADO_DEFAULT", 02B_ESCENARIOS!$A$4:$A$11, 0), MATCH("Agresivo", 02B_ESCENARIOS!$B$3:$D$3, 0)), IF(VLOOKUP(A155,04_PROYECTOS!$A:$N,4,FALSE)="Publico_&lt;10M",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VLOOKUP(A155,04_PROYECTOS!$A:$N,10,FALSE))</f>
        <v/>
      </c>
      <c r="I155">
        <f>ROUNDUP(H155/30,0)</f>
        <v/>
      </c>
      <c r="J155">
        <f>EDATE(C155,I155)</f>
        <v/>
      </c>
      <c r="K155">
        <f>G155</f>
        <v/>
      </c>
    </row>
    <row r="156">
      <c r="E156">
        <f>D156*VLOOKUP(A156,04_PROYECTOS!$A:$N,5,FALSE)*(INDEX(02B_ESCENARIOS!$B$4:$D$11, MATCH("MULT_PRECIO", 02B_ESCENARIOS!$A$4:$A$11, 0), MATCH("Agresivo", 02B_ESCENARIOS!$B$3:$D$3, 0)))*INDEX(02B_ESCENARIOS!$B$15:$D$19, MATCH(VLOOKUP(A156,04_PROYECTOS!$A:$N,9,FALSE), 02B_ESCENARIOS!$A$15:$A$19, 0), MATCH("Agresivo", 02B_ESCENARIOS!$B$14:$D$14, 0))</f>
        <v/>
      </c>
      <c r="F156">
        <f>E156*VLOOKUP(A156,04_PROYECTOS!$A:$N,6,FALSE)</f>
        <v/>
      </c>
      <c r="G156">
        <f>E156+F156</f>
        <v/>
      </c>
      <c r="H156">
        <f>IF(VLOOKUP(A156,04_PROYECTOS!$A:$N,10,FALSE)="", IF(VLOOKUP(A156,04_PROYECTOS!$A:$N,4,FALSE)="Privado", INDEX(02B_ESCENARIOS!$B$4:$D$11, MATCH("DSO_PRIVADO_DEFAULT", 02B_ESCENARIOS!$A$4:$A$11, 0), MATCH("Agresivo", 02B_ESCENARIOS!$B$3:$D$3, 0)), IF(VLOOKUP(A156,04_PROYECTOS!$A:$N,4,FALSE)="Publico_&lt;10M",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VLOOKUP(A156,04_PROYECTOS!$A:$N,10,FALSE))</f>
        <v/>
      </c>
      <c r="I156">
        <f>ROUNDUP(H156/30,0)</f>
        <v/>
      </c>
      <c r="J156">
        <f>EDATE(C156,I156)</f>
        <v/>
      </c>
      <c r="K156">
        <f>G156</f>
        <v/>
      </c>
    </row>
    <row r="157">
      <c r="E157">
        <f>D157*VLOOKUP(A157,04_PROYECTOS!$A:$N,5,FALSE)*(INDEX(02B_ESCENARIOS!$B$4:$D$11, MATCH("MULT_PRECIO", 02B_ESCENARIOS!$A$4:$A$11, 0), MATCH("Agresivo", 02B_ESCENARIOS!$B$3:$D$3, 0)))*INDEX(02B_ESCENARIOS!$B$15:$D$19, MATCH(VLOOKUP(A157,04_PROYECTOS!$A:$N,9,FALSE), 02B_ESCENARIOS!$A$15:$A$19, 0), MATCH("Agresivo", 02B_ESCENARIOS!$B$14:$D$14, 0))</f>
        <v/>
      </c>
      <c r="F157">
        <f>E157*VLOOKUP(A157,04_PROYECTOS!$A:$N,6,FALSE)</f>
        <v/>
      </c>
      <c r="G157">
        <f>E157+F157</f>
        <v/>
      </c>
      <c r="H157">
        <f>IF(VLOOKUP(A157,04_PROYECTOS!$A:$N,10,FALSE)="", IF(VLOOKUP(A157,04_PROYECTOS!$A:$N,4,FALSE)="Privado", INDEX(02B_ESCENARIOS!$B$4:$D$11, MATCH("DSO_PRIVADO_DEFAULT", 02B_ESCENARIOS!$A$4:$A$11, 0), MATCH("Agresivo", 02B_ESCENARIOS!$B$3:$D$3, 0)), IF(VLOOKUP(A157,04_PROYECTOS!$A:$N,4,FALSE)="Publico_&lt;10M",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VLOOKUP(A157,04_PROYECTOS!$A:$N,10,FALSE))</f>
        <v/>
      </c>
      <c r="I157">
        <f>ROUNDUP(H157/30,0)</f>
        <v/>
      </c>
      <c r="J157">
        <f>EDATE(C157,I157)</f>
        <v/>
      </c>
      <c r="K157">
        <f>G157</f>
        <v/>
      </c>
    </row>
    <row r="158">
      <c r="E158">
        <f>D158*VLOOKUP(A158,04_PROYECTOS!$A:$N,5,FALSE)*(INDEX(02B_ESCENARIOS!$B$4:$D$11, MATCH("MULT_PRECIO", 02B_ESCENARIOS!$A$4:$A$11, 0), MATCH("Agresivo", 02B_ESCENARIOS!$B$3:$D$3, 0)))*INDEX(02B_ESCENARIOS!$B$15:$D$19, MATCH(VLOOKUP(A158,04_PROYECTOS!$A:$N,9,FALSE), 02B_ESCENARIOS!$A$15:$A$19, 0), MATCH("Agresivo", 02B_ESCENARIOS!$B$14:$D$14, 0))</f>
        <v/>
      </c>
      <c r="F158">
        <f>E158*VLOOKUP(A158,04_PROYECTOS!$A:$N,6,FALSE)</f>
        <v/>
      </c>
      <c r="G158">
        <f>E158+F158</f>
        <v/>
      </c>
      <c r="H158">
        <f>IF(VLOOKUP(A158,04_PROYECTOS!$A:$N,10,FALSE)="", IF(VLOOKUP(A158,04_PROYECTOS!$A:$N,4,FALSE)="Privado", INDEX(02B_ESCENARIOS!$B$4:$D$11, MATCH("DSO_PRIVADO_DEFAULT", 02B_ESCENARIOS!$A$4:$A$11, 0), MATCH("Agresivo", 02B_ESCENARIOS!$B$3:$D$3, 0)), IF(VLOOKUP(A158,04_PROYECTOS!$A:$N,4,FALSE)="Publico_&lt;10M",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VLOOKUP(A158,04_PROYECTOS!$A:$N,10,FALSE))</f>
        <v/>
      </c>
      <c r="I158">
        <f>ROUNDUP(H158/30,0)</f>
        <v/>
      </c>
      <c r="J158">
        <f>EDATE(C158,I158)</f>
        <v/>
      </c>
      <c r="K158">
        <f>G158</f>
        <v/>
      </c>
    </row>
    <row r="159">
      <c r="E159">
        <f>D159*VLOOKUP(A159,04_PROYECTOS!$A:$N,5,FALSE)*(INDEX(02B_ESCENARIOS!$B$4:$D$11, MATCH("MULT_PRECIO", 02B_ESCENARIOS!$A$4:$A$11, 0), MATCH("Agresivo", 02B_ESCENARIOS!$B$3:$D$3, 0)))*INDEX(02B_ESCENARIOS!$B$15:$D$19, MATCH(VLOOKUP(A159,04_PROYECTOS!$A:$N,9,FALSE), 02B_ESCENARIOS!$A$15:$A$19, 0), MATCH("Agresivo", 02B_ESCENARIOS!$B$14:$D$14, 0))</f>
        <v/>
      </c>
      <c r="F159">
        <f>E159*VLOOKUP(A159,04_PROYECTOS!$A:$N,6,FALSE)</f>
        <v/>
      </c>
      <c r="G159">
        <f>E159+F159</f>
        <v/>
      </c>
      <c r="H159">
        <f>IF(VLOOKUP(A159,04_PROYECTOS!$A:$N,10,FALSE)="", IF(VLOOKUP(A159,04_PROYECTOS!$A:$N,4,FALSE)="Privado", INDEX(02B_ESCENARIOS!$B$4:$D$11, MATCH("DSO_PRIVADO_DEFAULT", 02B_ESCENARIOS!$A$4:$A$11, 0), MATCH("Agresivo", 02B_ESCENARIOS!$B$3:$D$3, 0)), IF(VLOOKUP(A159,04_PROYECTOS!$A:$N,4,FALSE)="Publico_&lt;10M",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VLOOKUP(A159,04_PROYECTOS!$A:$N,10,FALSE))</f>
        <v/>
      </c>
      <c r="I159">
        <f>ROUNDUP(H159/30,0)</f>
        <v/>
      </c>
      <c r="J159">
        <f>EDATE(C159,I159)</f>
        <v/>
      </c>
      <c r="K159">
        <f>G159</f>
        <v/>
      </c>
    </row>
    <row r="160">
      <c r="E160">
        <f>D160*VLOOKUP(A160,04_PROYECTOS!$A:$N,5,FALSE)*(INDEX(02B_ESCENARIOS!$B$4:$D$11, MATCH("MULT_PRECIO", 02B_ESCENARIOS!$A$4:$A$11, 0), MATCH("Agresivo", 02B_ESCENARIOS!$B$3:$D$3, 0)))*INDEX(02B_ESCENARIOS!$B$15:$D$19, MATCH(VLOOKUP(A160,04_PROYECTOS!$A:$N,9,FALSE), 02B_ESCENARIOS!$A$15:$A$19, 0), MATCH("Agresivo", 02B_ESCENARIOS!$B$14:$D$14, 0))</f>
        <v/>
      </c>
      <c r="F160">
        <f>E160*VLOOKUP(A160,04_PROYECTOS!$A:$N,6,FALSE)</f>
        <v/>
      </c>
      <c r="G160">
        <f>E160+F160</f>
        <v/>
      </c>
      <c r="H160">
        <f>IF(VLOOKUP(A160,04_PROYECTOS!$A:$N,10,FALSE)="", IF(VLOOKUP(A160,04_PROYECTOS!$A:$N,4,FALSE)="Privado", INDEX(02B_ESCENARIOS!$B$4:$D$11, MATCH("DSO_PRIVADO_DEFAULT", 02B_ESCENARIOS!$A$4:$A$11, 0), MATCH("Agresivo", 02B_ESCENARIOS!$B$3:$D$3, 0)), IF(VLOOKUP(A160,04_PROYECTOS!$A:$N,4,FALSE)="Publico_&lt;10M",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VLOOKUP(A160,04_PROYECTOS!$A:$N,10,FALSE))</f>
        <v/>
      </c>
      <c r="I160">
        <f>ROUNDUP(H160/30,0)</f>
        <v/>
      </c>
      <c r="J160">
        <f>EDATE(C160,I160)</f>
        <v/>
      </c>
      <c r="K160">
        <f>G160</f>
        <v/>
      </c>
    </row>
    <row r="161">
      <c r="E161">
        <f>D161*VLOOKUP(A161,04_PROYECTOS!$A:$N,5,FALSE)*(INDEX(02B_ESCENARIOS!$B$4:$D$11, MATCH("MULT_PRECIO", 02B_ESCENARIOS!$A$4:$A$11, 0), MATCH("Agresivo", 02B_ESCENARIOS!$B$3:$D$3, 0)))*INDEX(02B_ESCENARIOS!$B$15:$D$19, MATCH(VLOOKUP(A161,04_PROYECTOS!$A:$N,9,FALSE), 02B_ESCENARIOS!$A$15:$A$19, 0), MATCH("Agresivo", 02B_ESCENARIOS!$B$14:$D$14, 0))</f>
        <v/>
      </c>
      <c r="F161">
        <f>E161*VLOOKUP(A161,04_PROYECTOS!$A:$N,6,FALSE)</f>
        <v/>
      </c>
      <c r="G161">
        <f>E161+F161</f>
        <v/>
      </c>
      <c r="H161">
        <f>IF(VLOOKUP(A161,04_PROYECTOS!$A:$N,10,FALSE)="", IF(VLOOKUP(A161,04_PROYECTOS!$A:$N,4,FALSE)="Privado", INDEX(02B_ESCENARIOS!$B$4:$D$11, MATCH("DSO_PRIVADO_DEFAULT", 02B_ESCENARIOS!$A$4:$A$11, 0), MATCH("Agresivo", 02B_ESCENARIOS!$B$3:$D$3, 0)), IF(VLOOKUP(A161,04_PROYECTOS!$A:$N,4,FALSE)="Publico_&lt;10M",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VLOOKUP(A161,04_PROYECTOS!$A:$N,10,FALSE))</f>
        <v/>
      </c>
      <c r="I161">
        <f>ROUNDUP(H161/30,0)</f>
        <v/>
      </c>
      <c r="J161">
        <f>EDATE(C161,I161)</f>
        <v/>
      </c>
      <c r="K161">
        <f>G161</f>
        <v/>
      </c>
    </row>
    <row r="162">
      <c r="E162">
        <f>D162*VLOOKUP(A162,04_PROYECTOS!$A:$N,5,FALSE)*(INDEX(02B_ESCENARIOS!$B$4:$D$11, MATCH("MULT_PRECIO", 02B_ESCENARIOS!$A$4:$A$11, 0), MATCH("Agresivo", 02B_ESCENARIOS!$B$3:$D$3, 0)))*INDEX(02B_ESCENARIOS!$B$15:$D$19, MATCH(VLOOKUP(A162,04_PROYECTOS!$A:$N,9,FALSE), 02B_ESCENARIOS!$A$15:$A$19, 0), MATCH("Agresivo", 02B_ESCENARIOS!$B$14:$D$14, 0))</f>
        <v/>
      </c>
      <c r="F162">
        <f>E162*VLOOKUP(A162,04_PROYECTOS!$A:$N,6,FALSE)</f>
        <v/>
      </c>
      <c r="G162">
        <f>E162+F162</f>
        <v/>
      </c>
      <c r="H162">
        <f>IF(VLOOKUP(A162,04_PROYECTOS!$A:$N,10,FALSE)="", IF(VLOOKUP(A162,04_PROYECTOS!$A:$N,4,FALSE)="Privado", INDEX(02B_ESCENARIOS!$B$4:$D$11, MATCH("DSO_PRIVADO_DEFAULT", 02B_ESCENARIOS!$A$4:$A$11, 0), MATCH("Agresivo", 02B_ESCENARIOS!$B$3:$D$3, 0)), IF(VLOOKUP(A162,04_PROYECTOS!$A:$N,4,FALSE)="Publico_&lt;10M",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VLOOKUP(A162,04_PROYECTOS!$A:$N,10,FALSE))</f>
        <v/>
      </c>
      <c r="I162">
        <f>ROUNDUP(H162/30,0)</f>
        <v/>
      </c>
      <c r="J162">
        <f>EDATE(C162,I162)</f>
        <v/>
      </c>
      <c r="K162">
        <f>G162</f>
        <v/>
      </c>
    </row>
    <row r="163">
      <c r="E163">
        <f>D163*VLOOKUP(A163,04_PROYECTOS!$A:$N,5,FALSE)*(INDEX(02B_ESCENARIOS!$B$4:$D$11, MATCH("MULT_PRECIO", 02B_ESCENARIOS!$A$4:$A$11, 0), MATCH("Agresivo", 02B_ESCENARIOS!$B$3:$D$3, 0)))*INDEX(02B_ESCENARIOS!$B$15:$D$19, MATCH(VLOOKUP(A163,04_PROYECTOS!$A:$N,9,FALSE), 02B_ESCENARIOS!$A$15:$A$19, 0), MATCH("Agresivo", 02B_ESCENARIOS!$B$14:$D$14, 0))</f>
        <v/>
      </c>
      <c r="F163">
        <f>E163*VLOOKUP(A163,04_PROYECTOS!$A:$N,6,FALSE)</f>
        <v/>
      </c>
      <c r="G163">
        <f>E163+F163</f>
        <v/>
      </c>
      <c r="H163">
        <f>IF(VLOOKUP(A163,04_PROYECTOS!$A:$N,10,FALSE)="", IF(VLOOKUP(A163,04_PROYECTOS!$A:$N,4,FALSE)="Privado", INDEX(02B_ESCENARIOS!$B$4:$D$11, MATCH("DSO_PRIVADO_DEFAULT", 02B_ESCENARIOS!$A$4:$A$11, 0), MATCH("Agresivo", 02B_ESCENARIOS!$B$3:$D$3, 0)), IF(VLOOKUP(A163,04_PROYECTOS!$A:$N,4,FALSE)="Publico_&lt;10M",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VLOOKUP(A163,04_PROYECTOS!$A:$N,10,FALSE))</f>
        <v/>
      </c>
      <c r="I163">
        <f>ROUNDUP(H163/30,0)</f>
        <v/>
      </c>
      <c r="J163">
        <f>EDATE(C163,I163)</f>
        <v/>
      </c>
      <c r="K163">
        <f>G163</f>
        <v/>
      </c>
    </row>
    <row r="164">
      <c r="E164">
        <f>D164*VLOOKUP(A164,04_PROYECTOS!$A:$N,5,FALSE)*(INDEX(02B_ESCENARIOS!$B$4:$D$11, MATCH("MULT_PRECIO", 02B_ESCENARIOS!$A$4:$A$11, 0), MATCH("Agresivo", 02B_ESCENARIOS!$B$3:$D$3, 0)))*INDEX(02B_ESCENARIOS!$B$15:$D$19, MATCH(VLOOKUP(A164,04_PROYECTOS!$A:$N,9,FALSE), 02B_ESCENARIOS!$A$15:$A$19, 0), MATCH("Agresivo", 02B_ESCENARIOS!$B$14:$D$14, 0))</f>
        <v/>
      </c>
      <c r="F164">
        <f>E164*VLOOKUP(A164,04_PROYECTOS!$A:$N,6,FALSE)</f>
        <v/>
      </c>
      <c r="G164">
        <f>E164+F164</f>
        <v/>
      </c>
      <c r="H164">
        <f>IF(VLOOKUP(A164,04_PROYECTOS!$A:$N,10,FALSE)="", IF(VLOOKUP(A164,04_PROYECTOS!$A:$N,4,FALSE)="Privado", INDEX(02B_ESCENARIOS!$B$4:$D$11, MATCH("DSO_PRIVADO_DEFAULT", 02B_ESCENARIOS!$A$4:$A$11, 0), MATCH("Agresivo", 02B_ESCENARIOS!$B$3:$D$3, 0)), IF(VLOOKUP(A164,04_PROYECTOS!$A:$N,4,FALSE)="Publico_&lt;10M",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VLOOKUP(A164,04_PROYECTOS!$A:$N,10,FALSE))</f>
        <v/>
      </c>
      <c r="I164">
        <f>ROUNDUP(H164/30,0)</f>
        <v/>
      </c>
      <c r="J164">
        <f>EDATE(C164,I164)</f>
        <v/>
      </c>
      <c r="K164">
        <f>G164</f>
        <v/>
      </c>
    </row>
    <row r="165">
      <c r="E165">
        <f>D165*VLOOKUP(A165,04_PROYECTOS!$A:$N,5,FALSE)*(INDEX(02B_ESCENARIOS!$B$4:$D$11, MATCH("MULT_PRECIO", 02B_ESCENARIOS!$A$4:$A$11, 0), MATCH("Agresivo", 02B_ESCENARIOS!$B$3:$D$3, 0)))*INDEX(02B_ESCENARIOS!$B$15:$D$19, MATCH(VLOOKUP(A165,04_PROYECTOS!$A:$N,9,FALSE), 02B_ESCENARIOS!$A$15:$A$19, 0), MATCH("Agresivo", 02B_ESCENARIOS!$B$14:$D$14, 0))</f>
        <v/>
      </c>
      <c r="F165">
        <f>E165*VLOOKUP(A165,04_PROYECTOS!$A:$N,6,FALSE)</f>
        <v/>
      </c>
      <c r="G165">
        <f>E165+F165</f>
        <v/>
      </c>
      <c r="H165">
        <f>IF(VLOOKUP(A165,04_PROYECTOS!$A:$N,10,FALSE)="", IF(VLOOKUP(A165,04_PROYECTOS!$A:$N,4,FALSE)="Privado", INDEX(02B_ESCENARIOS!$B$4:$D$11, MATCH("DSO_PRIVADO_DEFAULT", 02B_ESCENARIOS!$A$4:$A$11, 0), MATCH("Agresivo", 02B_ESCENARIOS!$B$3:$D$3, 0)), IF(VLOOKUP(A165,04_PROYECTOS!$A:$N,4,FALSE)="Publico_&lt;10M",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VLOOKUP(A165,04_PROYECTOS!$A:$N,10,FALSE))</f>
        <v/>
      </c>
      <c r="I165">
        <f>ROUNDUP(H165/30,0)</f>
        <v/>
      </c>
      <c r="J165">
        <f>EDATE(C165,I165)</f>
        <v/>
      </c>
      <c r="K165">
        <f>G165</f>
        <v/>
      </c>
    </row>
    <row r="166">
      <c r="E166">
        <f>D166*VLOOKUP(A166,04_PROYECTOS!$A:$N,5,FALSE)*(INDEX(02B_ESCENARIOS!$B$4:$D$11, MATCH("MULT_PRECIO", 02B_ESCENARIOS!$A$4:$A$11, 0), MATCH("Agresivo", 02B_ESCENARIOS!$B$3:$D$3, 0)))*INDEX(02B_ESCENARIOS!$B$15:$D$19, MATCH(VLOOKUP(A166,04_PROYECTOS!$A:$N,9,FALSE), 02B_ESCENARIOS!$A$15:$A$19, 0), MATCH("Agresivo", 02B_ESCENARIOS!$B$14:$D$14, 0))</f>
        <v/>
      </c>
      <c r="F166">
        <f>E166*VLOOKUP(A166,04_PROYECTOS!$A:$N,6,FALSE)</f>
        <v/>
      </c>
      <c r="G166">
        <f>E166+F166</f>
        <v/>
      </c>
      <c r="H166">
        <f>IF(VLOOKUP(A166,04_PROYECTOS!$A:$N,10,FALSE)="", IF(VLOOKUP(A166,04_PROYECTOS!$A:$N,4,FALSE)="Privado", INDEX(02B_ESCENARIOS!$B$4:$D$11, MATCH("DSO_PRIVADO_DEFAULT", 02B_ESCENARIOS!$A$4:$A$11, 0), MATCH("Agresivo", 02B_ESCENARIOS!$B$3:$D$3, 0)), IF(VLOOKUP(A166,04_PROYECTOS!$A:$N,4,FALSE)="Publico_&lt;10M",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VLOOKUP(A166,04_PROYECTOS!$A:$N,10,FALSE))</f>
        <v/>
      </c>
      <c r="I166">
        <f>ROUNDUP(H166/30,0)</f>
        <v/>
      </c>
      <c r="J166">
        <f>EDATE(C166,I166)</f>
        <v/>
      </c>
      <c r="K166">
        <f>G166</f>
        <v/>
      </c>
    </row>
    <row r="167">
      <c r="E167">
        <f>D167*VLOOKUP(A167,04_PROYECTOS!$A:$N,5,FALSE)*(INDEX(02B_ESCENARIOS!$B$4:$D$11, MATCH("MULT_PRECIO", 02B_ESCENARIOS!$A$4:$A$11, 0), MATCH("Agresivo", 02B_ESCENARIOS!$B$3:$D$3, 0)))*INDEX(02B_ESCENARIOS!$B$15:$D$19, MATCH(VLOOKUP(A167,04_PROYECTOS!$A:$N,9,FALSE), 02B_ESCENARIOS!$A$15:$A$19, 0), MATCH("Agresivo", 02B_ESCENARIOS!$B$14:$D$14, 0))</f>
        <v/>
      </c>
      <c r="F167">
        <f>E167*VLOOKUP(A167,04_PROYECTOS!$A:$N,6,FALSE)</f>
        <v/>
      </c>
      <c r="G167">
        <f>E167+F167</f>
        <v/>
      </c>
      <c r="H167">
        <f>IF(VLOOKUP(A167,04_PROYECTOS!$A:$N,10,FALSE)="", IF(VLOOKUP(A167,04_PROYECTOS!$A:$N,4,FALSE)="Privado", INDEX(02B_ESCENARIOS!$B$4:$D$11, MATCH("DSO_PRIVADO_DEFAULT", 02B_ESCENARIOS!$A$4:$A$11, 0), MATCH("Agresivo", 02B_ESCENARIOS!$B$3:$D$3, 0)), IF(VLOOKUP(A167,04_PROYECTOS!$A:$N,4,FALSE)="Publico_&lt;10M",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VLOOKUP(A167,04_PROYECTOS!$A:$N,10,FALSE))</f>
        <v/>
      </c>
      <c r="I167">
        <f>ROUNDUP(H167/30,0)</f>
        <v/>
      </c>
      <c r="J167">
        <f>EDATE(C167,I167)</f>
        <v/>
      </c>
      <c r="K167">
        <f>G167</f>
        <v/>
      </c>
    </row>
    <row r="168">
      <c r="E168">
        <f>D168*VLOOKUP(A168,04_PROYECTOS!$A:$N,5,FALSE)*(INDEX(02B_ESCENARIOS!$B$4:$D$11, MATCH("MULT_PRECIO", 02B_ESCENARIOS!$A$4:$A$11, 0), MATCH("Agresivo", 02B_ESCENARIOS!$B$3:$D$3, 0)))*INDEX(02B_ESCENARIOS!$B$15:$D$19, MATCH(VLOOKUP(A168,04_PROYECTOS!$A:$N,9,FALSE), 02B_ESCENARIOS!$A$15:$A$19, 0), MATCH("Agresivo", 02B_ESCENARIOS!$B$14:$D$14, 0))</f>
        <v/>
      </c>
      <c r="F168">
        <f>E168*VLOOKUP(A168,04_PROYECTOS!$A:$N,6,FALSE)</f>
        <v/>
      </c>
      <c r="G168">
        <f>E168+F168</f>
        <v/>
      </c>
      <c r="H168">
        <f>IF(VLOOKUP(A168,04_PROYECTOS!$A:$N,10,FALSE)="", IF(VLOOKUP(A168,04_PROYECTOS!$A:$N,4,FALSE)="Privado", INDEX(02B_ESCENARIOS!$B$4:$D$11, MATCH("DSO_PRIVADO_DEFAULT", 02B_ESCENARIOS!$A$4:$A$11, 0), MATCH("Agresivo", 02B_ESCENARIOS!$B$3:$D$3, 0)), IF(VLOOKUP(A168,04_PROYECTOS!$A:$N,4,FALSE)="Publico_&lt;10M",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VLOOKUP(A168,04_PROYECTOS!$A:$N,10,FALSE))</f>
        <v/>
      </c>
      <c r="I168">
        <f>ROUNDUP(H168/30,0)</f>
        <v/>
      </c>
      <c r="J168">
        <f>EDATE(C168,I168)</f>
        <v/>
      </c>
      <c r="K168">
        <f>G168</f>
        <v/>
      </c>
    </row>
    <row r="169">
      <c r="E169">
        <f>D169*VLOOKUP(A169,04_PROYECTOS!$A:$N,5,FALSE)*(INDEX(02B_ESCENARIOS!$B$4:$D$11, MATCH("MULT_PRECIO", 02B_ESCENARIOS!$A$4:$A$11, 0), MATCH("Agresivo", 02B_ESCENARIOS!$B$3:$D$3, 0)))*INDEX(02B_ESCENARIOS!$B$15:$D$19, MATCH(VLOOKUP(A169,04_PROYECTOS!$A:$N,9,FALSE), 02B_ESCENARIOS!$A$15:$A$19, 0), MATCH("Agresivo", 02B_ESCENARIOS!$B$14:$D$14, 0))</f>
        <v/>
      </c>
      <c r="F169">
        <f>E169*VLOOKUP(A169,04_PROYECTOS!$A:$N,6,FALSE)</f>
        <v/>
      </c>
      <c r="G169">
        <f>E169+F169</f>
        <v/>
      </c>
      <c r="H169">
        <f>IF(VLOOKUP(A169,04_PROYECTOS!$A:$N,10,FALSE)="", IF(VLOOKUP(A169,04_PROYECTOS!$A:$N,4,FALSE)="Privado", INDEX(02B_ESCENARIOS!$B$4:$D$11, MATCH("DSO_PRIVADO_DEFAULT", 02B_ESCENARIOS!$A$4:$A$11, 0), MATCH("Agresivo", 02B_ESCENARIOS!$B$3:$D$3, 0)), IF(VLOOKUP(A169,04_PROYECTOS!$A:$N,4,FALSE)="Publico_&lt;10M",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VLOOKUP(A169,04_PROYECTOS!$A:$N,10,FALSE))</f>
        <v/>
      </c>
      <c r="I169">
        <f>ROUNDUP(H169/30,0)</f>
        <v/>
      </c>
      <c r="J169">
        <f>EDATE(C169,I169)</f>
        <v/>
      </c>
      <c r="K169">
        <f>G169</f>
        <v/>
      </c>
    </row>
    <row r="170">
      <c r="E170">
        <f>D170*VLOOKUP(A170,04_PROYECTOS!$A:$N,5,FALSE)*(INDEX(02B_ESCENARIOS!$B$4:$D$11, MATCH("MULT_PRECIO", 02B_ESCENARIOS!$A$4:$A$11, 0), MATCH("Agresivo", 02B_ESCENARIOS!$B$3:$D$3, 0)))*INDEX(02B_ESCENARIOS!$B$15:$D$19, MATCH(VLOOKUP(A170,04_PROYECTOS!$A:$N,9,FALSE), 02B_ESCENARIOS!$A$15:$A$19, 0), MATCH("Agresivo", 02B_ESCENARIOS!$B$14:$D$14, 0))</f>
        <v/>
      </c>
      <c r="F170">
        <f>E170*VLOOKUP(A170,04_PROYECTOS!$A:$N,6,FALSE)</f>
        <v/>
      </c>
      <c r="G170">
        <f>E170+F170</f>
        <v/>
      </c>
      <c r="H170">
        <f>IF(VLOOKUP(A170,04_PROYECTOS!$A:$N,10,FALSE)="", IF(VLOOKUP(A170,04_PROYECTOS!$A:$N,4,FALSE)="Privado", INDEX(02B_ESCENARIOS!$B$4:$D$11, MATCH("DSO_PRIVADO_DEFAULT", 02B_ESCENARIOS!$A$4:$A$11, 0), MATCH("Agresivo", 02B_ESCENARIOS!$B$3:$D$3, 0)), IF(VLOOKUP(A170,04_PROYECTOS!$A:$N,4,FALSE)="Publico_&lt;10M",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VLOOKUP(A170,04_PROYECTOS!$A:$N,10,FALSE))</f>
        <v/>
      </c>
      <c r="I170">
        <f>ROUNDUP(H170/30,0)</f>
        <v/>
      </c>
      <c r="J170">
        <f>EDATE(C170,I170)</f>
        <v/>
      </c>
      <c r="K170">
        <f>G170</f>
        <v/>
      </c>
    </row>
    <row r="171">
      <c r="E171">
        <f>D171*VLOOKUP(A171,04_PROYECTOS!$A:$N,5,FALSE)*(INDEX(02B_ESCENARIOS!$B$4:$D$11, MATCH("MULT_PRECIO", 02B_ESCENARIOS!$A$4:$A$11, 0), MATCH("Agresivo", 02B_ESCENARIOS!$B$3:$D$3, 0)))*INDEX(02B_ESCENARIOS!$B$15:$D$19, MATCH(VLOOKUP(A171,04_PROYECTOS!$A:$N,9,FALSE), 02B_ESCENARIOS!$A$15:$A$19, 0), MATCH("Agresivo", 02B_ESCENARIOS!$B$14:$D$14, 0))</f>
        <v/>
      </c>
      <c r="F171">
        <f>E171*VLOOKUP(A171,04_PROYECTOS!$A:$N,6,FALSE)</f>
        <v/>
      </c>
      <c r="G171">
        <f>E171+F171</f>
        <v/>
      </c>
      <c r="H171">
        <f>IF(VLOOKUP(A171,04_PROYECTOS!$A:$N,10,FALSE)="", IF(VLOOKUP(A171,04_PROYECTOS!$A:$N,4,FALSE)="Privado", INDEX(02B_ESCENARIOS!$B$4:$D$11, MATCH("DSO_PRIVADO_DEFAULT", 02B_ESCENARIOS!$A$4:$A$11, 0), MATCH("Agresivo", 02B_ESCENARIOS!$B$3:$D$3, 0)), IF(VLOOKUP(A171,04_PROYECTOS!$A:$N,4,FALSE)="Publico_&lt;10M",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VLOOKUP(A171,04_PROYECTOS!$A:$N,10,FALSE))</f>
        <v/>
      </c>
      <c r="I171">
        <f>ROUNDUP(H171/30,0)</f>
        <v/>
      </c>
      <c r="J171">
        <f>EDATE(C171,I171)</f>
        <v/>
      </c>
      <c r="K171">
        <f>G171</f>
        <v/>
      </c>
    </row>
    <row r="172">
      <c r="E172">
        <f>D172*VLOOKUP(A172,04_PROYECTOS!$A:$N,5,FALSE)*(INDEX(02B_ESCENARIOS!$B$4:$D$11, MATCH("MULT_PRECIO", 02B_ESCENARIOS!$A$4:$A$11, 0), MATCH("Agresivo", 02B_ESCENARIOS!$B$3:$D$3, 0)))*INDEX(02B_ESCENARIOS!$B$15:$D$19, MATCH(VLOOKUP(A172,04_PROYECTOS!$A:$N,9,FALSE), 02B_ESCENARIOS!$A$15:$A$19, 0), MATCH("Agresivo", 02B_ESCENARIOS!$B$14:$D$14, 0))</f>
        <v/>
      </c>
      <c r="F172">
        <f>E172*VLOOKUP(A172,04_PROYECTOS!$A:$N,6,FALSE)</f>
        <v/>
      </c>
      <c r="G172">
        <f>E172+F172</f>
        <v/>
      </c>
      <c r="H172">
        <f>IF(VLOOKUP(A172,04_PROYECTOS!$A:$N,10,FALSE)="", IF(VLOOKUP(A172,04_PROYECTOS!$A:$N,4,FALSE)="Privado", INDEX(02B_ESCENARIOS!$B$4:$D$11, MATCH("DSO_PRIVADO_DEFAULT", 02B_ESCENARIOS!$A$4:$A$11, 0), MATCH("Agresivo", 02B_ESCENARIOS!$B$3:$D$3, 0)), IF(VLOOKUP(A172,04_PROYECTOS!$A:$N,4,FALSE)="Publico_&lt;10M",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VLOOKUP(A172,04_PROYECTOS!$A:$N,10,FALSE))</f>
        <v/>
      </c>
      <c r="I172">
        <f>ROUNDUP(H172/30,0)</f>
        <v/>
      </c>
      <c r="J172">
        <f>EDATE(C172,I172)</f>
        <v/>
      </c>
      <c r="K172">
        <f>G172</f>
        <v/>
      </c>
    </row>
    <row r="173">
      <c r="E173">
        <f>D173*VLOOKUP(A173,04_PROYECTOS!$A:$N,5,FALSE)*(INDEX(02B_ESCENARIOS!$B$4:$D$11, MATCH("MULT_PRECIO", 02B_ESCENARIOS!$A$4:$A$11, 0), MATCH("Agresivo", 02B_ESCENARIOS!$B$3:$D$3, 0)))*INDEX(02B_ESCENARIOS!$B$15:$D$19, MATCH(VLOOKUP(A173,04_PROYECTOS!$A:$N,9,FALSE), 02B_ESCENARIOS!$A$15:$A$19, 0), MATCH("Agresivo", 02B_ESCENARIOS!$B$14:$D$14, 0))</f>
        <v/>
      </c>
      <c r="F173">
        <f>E173*VLOOKUP(A173,04_PROYECTOS!$A:$N,6,FALSE)</f>
        <v/>
      </c>
      <c r="G173">
        <f>E173+F173</f>
        <v/>
      </c>
      <c r="H173">
        <f>IF(VLOOKUP(A173,04_PROYECTOS!$A:$N,10,FALSE)="", IF(VLOOKUP(A173,04_PROYECTOS!$A:$N,4,FALSE)="Privado", INDEX(02B_ESCENARIOS!$B$4:$D$11, MATCH("DSO_PRIVADO_DEFAULT", 02B_ESCENARIOS!$A$4:$A$11, 0), MATCH("Agresivo", 02B_ESCENARIOS!$B$3:$D$3, 0)), IF(VLOOKUP(A173,04_PROYECTOS!$A:$N,4,FALSE)="Publico_&lt;10M",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VLOOKUP(A173,04_PROYECTOS!$A:$N,10,FALSE))</f>
        <v/>
      </c>
      <c r="I173">
        <f>ROUNDUP(H173/30,0)</f>
        <v/>
      </c>
      <c r="J173">
        <f>EDATE(C173,I173)</f>
        <v/>
      </c>
      <c r="K173">
        <f>G173</f>
        <v/>
      </c>
    </row>
    <row r="174">
      <c r="E174">
        <f>D174*VLOOKUP(A174,04_PROYECTOS!$A:$N,5,FALSE)*(INDEX(02B_ESCENARIOS!$B$4:$D$11, MATCH("MULT_PRECIO", 02B_ESCENARIOS!$A$4:$A$11, 0), MATCH("Agresivo", 02B_ESCENARIOS!$B$3:$D$3, 0)))*INDEX(02B_ESCENARIOS!$B$15:$D$19, MATCH(VLOOKUP(A174,04_PROYECTOS!$A:$N,9,FALSE), 02B_ESCENARIOS!$A$15:$A$19, 0), MATCH("Agresivo", 02B_ESCENARIOS!$B$14:$D$14, 0))</f>
        <v/>
      </c>
      <c r="F174">
        <f>E174*VLOOKUP(A174,04_PROYECTOS!$A:$N,6,FALSE)</f>
        <v/>
      </c>
      <c r="G174">
        <f>E174+F174</f>
        <v/>
      </c>
      <c r="H174">
        <f>IF(VLOOKUP(A174,04_PROYECTOS!$A:$N,10,FALSE)="", IF(VLOOKUP(A174,04_PROYECTOS!$A:$N,4,FALSE)="Privado", INDEX(02B_ESCENARIOS!$B$4:$D$11, MATCH("DSO_PRIVADO_DEFAULT", 02B_ESCENARIOS!$A$4:$A$11, 0), MATCH("Agresivo", 02B_ESCENARIOS!$B$3:$D$3, 0)), IF(VLOOKUP(A174,04_PROYECTOS!$A:$N,4,FALSE)="Publico_&lt;10M",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VLOOKUP(A174,04_PROYECTOS!$A:$N,10,FALSE))</f>
        <v/>
      </c>
      <c r="I174">
        <f>ROUNDUP(H174/30,0)</f>
        <v/>
      </c>
      <c r="J174">
        <f>EDATE(C174,I174)</f>
        <v/>
      </c>
      <c r="K174">
        <f>G174</f>
        <v/>
      </c>
    </row>
    <row r="175">
      <c r="E175">
        <f>D175*VLOOKUP(A175,04_PROYECTOS!$A:$N,5,FALSE)*(INDEX(02B_ESCENARIOS!$B$4:$D$11, MATCH("MULT_PRECIO", 02B_ESCENARIOS!$A$4:$A$11, 0), MATCH("Agresivo", 02B_ESCENARIOS!$B$3:$D$3, 0)))*INDEX(02B_ESCENARIOS!$B$15:$D$19, MATCH(VLOOKUP(A175,04_PROYECTOS!$A:$N,9,FALSE), 02B_ESCENARIOS!$A$15:$A$19, 0), MATCH("Agresivo", 02B_ESCENARIOS!$B$14:$D$14, 0))</f>
        <v/>
      </c>
      <c r="F175">
        <f>E175*VLOOKUP(A175,04_PROYECTOS!$A:$N,6,FALSE)</f>
        <v/>
      </c>
      <c r="G175">
        <f>E175+F175</f>
        <v/>
      </c>
      <c r="H175">
        <f>IF(VLOOKUP(A175,04_PROYECTOS!$A:$N,10,FALSE)="", IF(VLOOKUP(A175,04_PROYECTOS!$A:$N,4,FALSE)="Privado", INDEX(02B_ESCENARIOS!$B$4:$D$11, MATCH("DSO_PRIVADO_DEFAULT", 02B_ESCENARIOS!$A$4:$A$11, 0), MATCH("Agresivo", 02B_ESCENARIOS!$B$3:$D$3, 0)), IF(VLOOKUP(A175,04_PROYECTOS!$A:$N,4,FALSE)="Publico_&lt;10M",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VLOOKUP(A175,04_PROYECTOS!$A:$N,10,FALSE))</f>
        <v/>
      </c>
      <c r="I175">
        <f>ROUNDUP(H175/30,0)</f>
        <v/>
      </c>
      <c r="J175">
        <f>EDATE(C175,I175)</f>
        <v/>
      </c>
      <c r="K175">
        <f>G175</f>
        <v/>
      </c>
    </row>
    <row r="176">
      <c r="E176">
        <f>D176*VLOOKUP(A176,04_PROYECTOS!$A:$N,5,FALSE)*(INDEX(02B_ESCENARIOS!$B$4:$D$11, MATCH("MULT_PRECIO", 02B_ESCENARIOS!$A$4:$A$11, 0), MATCH("Agresivo", 02B_ESCENARIOS!$B$3:$D$3, 0)))*INDEX(02B_ESCENARIOS!$B$15:$D$19, MATCH(VLOOKUP(A176,04_PROYECTOS!$A:$N,9,FALSE), 02B_ESCENARIOS!$A$15:$A$19, 0), MATCH("Agresivo", 02B_ESCENARIOS!$B$14:$D$14, 0))</f>
        <v/>
      </c>
      <c r="F176">
        <f>E176*VLOOKUP(A176,04_PROYECTOS!$A:$N,6,FALSE)</f>
        <v/>
      </c>
      <c r="G176">
        <f>E176+F176</f>
        <v/>
      </c>
      <c r="H176">
        <f>IF(VLOOKUP(A176,04_PROYECTOS!$A:$N,10,FALSE)="", IF(VLOOKUP(A176,04_PROYECTOS!$A:$N,4,FALSE)="Privado", INDEX(02B_ESCENARIOS!$B$4:$D$11, MATCH("DSO_PRIVADO_DEFAULT", 02B_ESCENARIOS!$A$4:$A$11, 0), MATCH("Agresivo", 02B_ESCENARIOS!$B$3:$D$3, 0)), IF(VLOOKUP(A176,04_PROYECTOS!$A:$N,4,FALSE)="Publico_&lt;10M",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VLOOKUP(A176,04_PROYECTOS!$A:$N,10,FALSE))</f>
        <v/>
      </c>
      <c r="I176">
        <f>ROUNDUP(H176/30,0)</f>
        <v/>
      </c>
      <c r="J176">
        <f>EDATE(C176,I176)</f>
        <v/>
      </c>
      <c r="K176">
        <f>G176</f>
        <v/>
      </c>
    </row>
    <row r="177">
      <c r="E177">
        <f>D177*VLOOKUP(A177,04_PROYECTOS!$A:$N,5,FALSE)*(INDEX(02B_ESCENARIOS!$B$4:$D$11, MATCH("MULT_PRECIO", 02B_ESCENARIOS!$A$4:$A$11, 0), MATCH("Agresivo", 02B_ESCENARIOS!$B$3:$D$3, 0)))*INDEX(02B_ESCENARIOS!$B$15:$D$19, MATCH(VLOOKUP(A177,04_PROYECTOS!$A:$N,9,FALSE), 02B_ESCENARIOS!$A$15:$A$19, 0), MATCH("Agresivo", 02B_ESCENARIOS!$B$14:$D$14, 0))</f>
        <v/>
      </c>
      <c r="F177">
        <f>E177*VLOOKUP(A177,04_PROYECTOS!$A:$N,6,FALSE)</f>
        <v/>
      </c>
      <c r="G177">
        <f>E177+F177</f>
        <v/>
      </c>
      <c r="H177">
        <f>IF(VLOOKUP(A177,04_PROYECTOS!$A:$N,10,FALSE)="", IF(VLOOKUP(A177,04_PROYECTOS!$A:$N,4,FALSE)="Privado", INDEX(02B_ESCENARIOS!$B$4:$D$11, MATCH("DSO_PRIVADO_DEFAULT", 02B_ESCENARIOS!$A$4:$A$11, 0), MATCH("Agresivo", 02B_ESCENARIOS!$B$3:$D$3, 0)), IF(VLOOKUP(A177,04_PROYECTOS!$A:$N,4,FALSE)="Publico_&lt;10M",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VLOOKUP(A177,04_PROYECTOS!$A:$N,10,FALSE))</f>
        <v/>
      </c>
      <c r="I177">
        <f>ROUNDUP(H177/30,0)</f>
        <v/>
      </c>
      <c r="J177">
        <f>EDATE(C177,I177)</f>
        <v/>
      </c>
      <c r="K177">
        <f>G177</f>
        <v/>
      </c>
    </row>
    <row r="178">
      <c r="E178">
        <f>D178*VLOOKUP(A178,04_PROYECTOS!$A:$N,5,FALSE)*(INDEX(02B_ESCENARIOS!$B$4:$D$11, MATCH("MULT_PRECIO", 02B_ESCENARIOS!$A$4:$A$11, 0), MATCH("Agresivo", 02B_ESCENARIOS!$B$3:$D$3, 0)))*INDEX(02B_ESCENARIOS!$B$15:$D$19, MATCH(VLOOKUP(A178,04_PROYECTOS!$A:$N,9,FALSE), 02B_ESCENARIOS!$A$15:$A$19, 0), MATCH("Agresivo", 02B_ESCENARIOS!$B$14:$D$14, 0))</f>
        <v/>
      </c>
      <c r="F178">
        <f>E178*VLOOKUP(A178,04_PROYECTOS!$A:$N,6,FALSE)</f>
        <v/>
      </c>
      <c r="G178">
        <f>E178+F178</f>
        <v/>
      </c>
      <c r="H178">
        <f>IF(VLOOKUP(A178,04_PROYECTOS!$A:$N,10,FALSE)="", IF(VLOOKUP(A178,04_PROYECTOS!$A:$N,4,FALSE)="Privado", INDEX(02B_ESCENARIOS!$B$4:$D$11, MATCH("DSO_PRIVADO_DEFAULT", 02B_ESCENARIOS!$A$4:$A$11, 0), MATCH("Agresivo", 02B_ESCENARIOS!$B$3:$D$3, 0)), IF(VLOOKUP(A178,04_PROYECTOS!$A:$N,4,FALSE)="Publico_&lt;10M",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VLOOKUP(A178,04_PROYECTOS!$A:$N,10,FALSE))</f>
        <v/>
      </c>
      <c r="I178">
        <f>ROUNDUP(H178/30,0)</f>
        <v/>
      </c>
      <c r="J178">
        <f>EDATE(C178,I178)</f>
        <v/>
      </c>
      <c r="K178">
        <f>G178</f>
        <v/>
      </c>
    </row>
    <row r="179">
      <c r="E179">
        <f>D179*VLOOKUP(A179,04_PROYECTOS!$A:$N,5,FALSE)*(INDEX(02B_ESCENARIOS!$B$4:$D$11, MATCH("MULT_PRECIO", 02B_ESCENARIOS!$A$4:$A$11, 0), MATCH("Agresivo", 02B_ESCENARIOS!$B$3:$D$3, 0)))*INDEX(02B_ESCENARIOS!$B$15:$D$19, MATCH(VLOOKUP(A179,04_PROYECTOS!$A:$N,9,FALSE), 02B_ESCENARIOS!$A$15:$A$19, 0), MATCH("Agresivo", 02B_ESCENARIOS!$B$14:$D$14, 0))</f>
        <v/>
      </c>
      <c r="F179">
        <f>E179*VLOOKUP(A179,04_PROYECTOS!$A:$N,6,FALSE)</f>
        <v/>
      </c>
      <c r="G179">
        <f>E179+F179</f>
        <v/>
      </c>
      <c r="H179">
        <f>IF(VLOOKUP(A179,04_PROYECTOS!$A:$N,10,FALSE)="", IF(VLOOKUP(A179,04_PROYECTOS!$A:$N,4,FALSE)="Privado", INDEX(02B_ESCENARIOS!$B$4:$D$11, MATCH("DSO_PRIVADO_DEFAULT", 02B_ESCENARIOS!$A$4:$A$11, 0), MATCH("Agresivo", 02B_ESCENARIOS!$B$3:$D$3, 0)), IF(VLOOKUP(A179,04_PROYECTOS!$A:$N,4,FALSE)="Publico_&lt;10M",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VLOOKUP(A179,04_PROYECTOS!$A:$N,10,FALSE))</f>
        <v/>
      </c>
      <c r="I179">
        <f>ROUNDUP(H179/30,0)</f>
        <v/>
      </c>
      <c r="J179">
        <f>EDATE(C179,I179)</f>
        <v/>
      </c>
      <c r="K179">
        <f>G179</f>
        <v/>
      </c>
    </row>
    <row r="180">
      <c r="E180">
        <f>D180*VLOOKUP(A180,04_PROYECTOS!$A:$N,5,FALSE)*(INDEX(02B_ESCENARIOS!$B$4:$D$11, MATCH("MULT_PRECIO", 02B_ESCENARIOS!$A$4:$A$11, 0), MATCH("Agresivo", 02B_ESCENARIOS!$B$3:$D$3, 0)))*INDEX(02B_ESCENARIOS!$B$15:$D$19, MATCH(VLOOKUP(A180,04_PROYECTOS!$A:$N,9,FALSE), 02B_ESCENARIOS!$A$15:$A$19, 0), MATCH("Agresivo", 02B_ESCENARIOS!$B$14:$D$14, 0))</f>
        <v/>
      </c>
      <c r="F180">
        <f>E180*VLOOKUP(A180,04_PROYECTOS!$A:$N,6,FALSE)</f>
        <v/>
      </c>
      <c r="G180">
        <f>E180+F180</f>
        <v/>
      </c>
      <c r="H180">
        <f>IF(VLOOKUP(A180,04_PROYECTOS!$A:$N,10,FALSE)="", IF(VLOOKUP(A180,04_PROYECTOS!$A:$N,4,FALSE)="Privado", INDEX(02B_ESCENARIOS!$B$4:$D$11, MATCH("DSO_PRIVADO_DEFAULT", 02B_ESCENARIOS!$A$4:$A$11, 0), MATCH("Agresivo", 02B_ESCENARIOS!$B$3:$D$3, 0)), IF(VLOOKUP(A180,04_PROYECTOS!$A:$N,4,FALSE)="Publico_&lt;10M",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VLOOKUP(A180,04_PROYECTOS!$A:$N,10,FALSE))</f>
        <v/>
      </c>
      <c r="I180">
        <f>ROUNDUP(H180/30,0)</f>
        <v/>
      </c>
      <c r="J180">
        <f>EDATE(C180,I180)</f>
        <v/>
      </c>
      <c r="K180">
        <f>G180</f>
        <v/>
      </c>
    </row>
    <row r="181">
      <c r="E181">
        <f>D181*VLOOKUP(A181,04_PROYECTOS!$A:$N,5,FALSE)*(INDEX(02B_ESCENARIOS!$B$4:$D$11, MATCH("MULT_PRECIO", 02B_ESCENARIOS!$A$4:$A$11, 0), MATCH("Agresivo", 02B_ESCENARIOS!$B$3:$D$3, 0)))*INDEX(02B_ESCENARIOS!$B$15:$D$19, MATCH(VLOOKUP(A181,04_PROYECTOS!$A:$N,9,FALSE), 02B_ESCENARIOS!$A$15:$A$19, 0), MATCH("Agresivo", 02B_ESCENARIOS!$B$14:$D$14, 0))</f>
        <v/>
      </c>
      <c r="F181">
        <f>E181*VLOOKUP(A181,04_PROYECTOS!$A:$N,6,FALSE)</f>
        <v/>
      </c>
      <c r="G181">
        <f>E181+F181</f>
        <v/>
      </c>
      <c r="H181">
        <f>IF(VLOOKUP(A181,04_PROYECTOS!$A:$N,10,FALSE)="", IF(VLOOKUP(A181,04_PROYECTOS!$A:$N,4,FALSE)="Privado", INDEX(02B_ESCENARIOS!$B$4:$D$11, MATCH("DSO_PRIVADO_DEFAULT", 02B_ESCENARIOS!$A$4:$A$11, 0), MATCH("Agresivo", 02B_ESCENARIOS!$B$3:$D$3, 0)), IF(VLOOKUP(A181,04_PROYECTOS!$A:$N,4,FALSE)="Publico_&lt;10M",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VLOOKUP(A181,04_PROYECTOS!$A:$N,10,FALSE))</f>
        <v/>
      </c>
      <c r="I181">
        <f>ROUNDUP(H181/30,0)</f>
        <v/>
      </c>
      <c r="J181">
        <f>EDATE(C181,I181)</f>
        <v/>
      </c>
      <c r="K181">
        <f>G181</f>
        <v/>
      </c>
    </row>
    <row r="182">
      <c r="E182">
        <f>D182*VLOOKUP(A182,04_PROYECTOS!$A:$N,5,FALSE)*(INDEX(02B_ESCENARIOS!$B$4:$D$11, MATCH("MULT_PRECIO", 02B_ESCENARIOS!$A$4:$A$11, 0), MATCH("Agresivo", 02B_ESCENARIOS!$B$3:$D$3, 0)))*INDEX(02B_ESCENARIOS!$B$15:$D$19, MATCH(VLOOKUP(A182,04_PROYECTOS!$A:$N,9,FALSE), 02B_ESCENARIOS!$A$15:$A$19, 0), MATCH("Agresivo", 02B_ESCENARIOS!$B$14:$D$14, 0))</f>
        <v/>
      </c>
      <c r="F182">
        <f>E182*VLOOKUP(A182,04_PROYECTOS!$A:$N,6,FALSE)</f>
        <v/>
      </c>
      <c r="G182">
        <f>E182+F182</f>
        <v/>
      </c>
      <c r="H182">
        <f>IF(VLOOKUP(A182,04_PROYECTOS!$A:$N,10,FALSE)="", IF(VLOOKUP(A182,04_PROYECTOS!$A:$N,4,FALSE)="Privado", INDEX(02B_ESCENARIOS!$B$4:$D$11, MATCH("DSO_PRIVADO_DEFAULT", 02B_ESCENARIOS!$A$4:$A$11, 0), MATCH("Agresivo", 02B_ESCENARIOS!$B$3:$D$3, 0)), IF(VLOOKUP(A182,04_PROYECTOS!$A:$N,4,FALSE)="Publico_&lt;10M",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VLOOKUP(A182,04_PROYECTOS!$A:$N,10,FALSE))</f>
        <v/>
      </c>
      <c r="I182">
        <f>ROUNDUP(H182/30,0)</f>
        <v/>
      </c>
      <c r="J182">
        <f>EDATE(C182,I182)</f>
        <v/>
      </c>
      <c r="K182">
        <f>G182</f>
        <v/>
      </c>
    </row>
    <row r="183">
      <c r="E183">
        <f>D183*VLOOKUP(A183,04_PROYECTOS!$A:$N,5,FALSE)*(INDEX(02B_ESCENARIOS!$B$4:$D$11, MATCH("MULT_PRECIO", 02B_ESCENARIOS!$A$4:$A$11, 0), MATCH("Agresivo", 02B_ESCENARIOS!$B$3:$D$3, 0)))*INDEX(02B_ESCENARIOS!$B$15:$D$19, MATCH(VLOOKUP(A183,04_PROYECTOS!$A:$N,9,FALSE), 02B_ESCENARIOS!$A$15:$A$19, 0), MATCH("Agresivo", 02B_ESCENARIOS!$B$14:$D$14, 0))</f>
        <v/>
      </c>
      <c r="F183">
        <f>E183*VLOOKUP(A183,04_PROYECTOS!$A:$N,6,FALSE)</f>
        <v/>
      </c>
      <c r="G183">
        <f>E183+F183</f>
        <v/>
      </c>
      <c r="H183">
        <f>IF(VLOOKUP(A183,04_PROYECTOS!$A:$N,10,FALSE)="", IF(VLOOKUP(A183,04_PROYECTOS!$A:$N,4,FALSE)="Privado", INDEX(02B_ESCENARIOS!$B$4:$D$11, MATCH("DSO_PRIVADO_DEFAULT", 02B_ESCENARIOS!$A$4:$A$11, 0), MATCH("Agresivo", 02B_ESCENARIOS!$B$3:$D$3, 0)), IF(VLOOKUP(A183,04_PROYECTOS!$A:$N,4,FALSE)="Publico_&lt;10M",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VLOOKUP(A183,04_PROYECTOS!$A:$N,10,FALSE))</f>
        <v/>
      </c>
      <c r="I183">
        <f>ROUNDUP(H183/30,0)</f>
        <v/>
      </c>
      <c r="J183">
        <f>EDATE(C183,I183)</f>
        <v/>
      </c>
      <c r="K183">
        <f>G183</f>
        <v/>
      </c>
    </row>
    <row r="184">
      <c r="E184">
        <f>D184*VLOOKUP(A184,04_PROYECTOS!$A:$N,5,FALSE)*(INDEX(02B_ESCENARIOS!$B$4:$D$11, MATCH("MULT_PRECIO", 02B_ESCENARIOS!$A$4:$A$11, 0), MATCH("Agresivo", 02B_ESCENARIOS!$B$3:$D$3, 0)))*INDEX(02B_ESCENARIOS!$B$15:$D$19, MATCH(VLOOKUP(A184,04_PROYECTOS!$A:$N,9,FALSE), 02B_ESCENARIOS!$A$15:$A$19, 0), MATCH("Agresivo", 02B_ESCENARIOS!$B$14:$D$14, 0))</f>
        <v/>
      </c>
      <c r="F184">
        <f>E184*VLOOKUP(A184,04_PROYECTOS!$A:$N,6,FALSE)</f>
        <v/>
      </c>
      <c r="G184">
        <f>E184+F184</f>
        <v/>
      </c>
      <c r="H184">
        <f>IF(VLOOKUP(A184,04_PROYECTOS!$A:$N,10,FALSE)="", IF(VLOOKUP(A184,04_PROYECTOS!$A:$N,4,FALSE)="Privado", INDEX(02B_ESCENARIOS!$B$4:$D$11, MATCH("DSO_PRIVADO_DEFAULT", 02B_ESCENARIOS!$A$4:$A$11, 0), MATCH("Agresivo", 02B_ESCENARIOS!$B$3:$D$3, 0)), IF(VLOOKUP(A184,04_PROYECTOS!$A:$N,4,FALSE)="Publico_&lt;10M",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VLOOKUP(A184,04_PROYECTOS!$A:$N,10,FALSE))</f>
        <v/>
      </c>
      <c r="I184">
        <f>ROUNDUP(H184/30,0)</f>
        <v/>
      </c>
      <c r="J184">
        <f>EDATE(C184,I184)</f>
        <v/>
      </c>
      <c r="K184">
        <f>G184</f>
        <v/>
      </c>
    </row>
    <row r="185">
      <c r="E185">
        <f>D185*VLOOKUP(A185,04_PROYECTOS!$A:$N,5,FALSE)*(INDEX(02B_ESCENARIOS!$B$4:$D$11, MATCH("MULT_PRECIO", 02B_ESCENARIOS!$A$4:$A$11, 0), MATCH("Agresivo", 02B_ESCENARIOS!$B$3:$D$3, 0)))*INDEX(02B_ESCENARIOS!$B$15:$D$19, MATCH(VLOOKUP(A185,04_PROYECTOS!$A:$N,9,FALSE), 02B_ESCENARIOS!$A$15:$A$19, 0), MATCH("Agresivo", 02B_ESCENARIOS!$B$14:$D$14, 0))</f>
        <v/>
      </c>
      <c r="F185">
        <f>E185*VLOOKUP(A185,04_PROYECTOS!$A:$N,6,FALSE)</f>
        <v/>
      </c>
      <c r="G185">
        <f>E185+F185</f>
        <v/>
      </c>
      <c r="H185">
        <f>IF(VLOOKUP(A185,04_PROYECTOS!$A:$N,10,FALSE)="", IF(VLOOKUP(A185,04_PROYECTOS!$A:$N,4,FALSE)="Privado", INDEX(02B_ESCENARIOS!$B$4:$D$11, MATCH("DSO_PRIVADO_DEFAULT", 02B_ESCENARIOS!$A$4:$A$11, 0), MATCH("Agresivo", 02B_ESCENARIOS!$B$3:$D$3, 0)), IF(VLOOKUP(A185,04_PROYECTOS!$A:$N,4,FALSE)="Publico_&lt;10M",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VLOOKUP(A185,04_PROYECTOS!$A:$N,10,FALSE))</f>
        <v/>
      </c>
      <c r="I185">
        <f>ROUNDUP(H185/30,0)</f>
        <v/>
      </c>
      <c r="J185">
        <f>EDATE(C185,I185)</f>
        <v/>
      </c>
      <c r="K185">
        <f>G185</f>
        <v/>
      </c>
    </row>
    <row r="186">
      <c r="E186">
        <f>D186*VLOOKUP(A186,04_PROYECTOS!$A:$N,5,FALSE)*(INDEX(02B_ESCENARIOS!$B$4:$D$11, MATCH("MULT_PRECIO", 02B_ESCENARIOS!$A$4:$A$11, 0), MATCH("Agresivo", 02B_ESCENARIOS!$B$3:$D$3, 0)))*INDEX(02B_ESCENARIOS!$B$15:$D$19, MATCH(VLOOKUP(A186,04_PROYECTOS!$A:$N,9,FALSE), 02B_ESCENARIOS!$A$15:$A$19, 0), MATCH("Agresivo", 02B_ESCENARIOS!$B$14:$D$14, 0))</f>
        <v/>
      </c>
      <c r="F186">
        <f>E186*VLOOKUP(A186,04_PROYECTOS!$A:$N,6,FALSE)</f>
        <v/>
      </c>
      <c r="G186">
        <f>E186+F186</f>
        <v/>
      </c>
      <c r="H186">
        <f>IF(VLOOKUP(A186,04_PROYECTOS!$A:$N,10,FALSE)="", IF(VLOOKUP(A186,04_PROYECTOS!$A:$N,4,FALSE)="Privado", INDEX(02B_ESCENARIOS!$B$4:$D$11, MATCH("DSO_PRIVADO_DEFAULT", 02B_ESCENARIOS!$A$4:$A$11, 0), MATCH("Agresivo", 02B_ESCENARIOS!$B$3:$D$3, 0)), IF(VLOOKUP(A186,04_PROYECTOS!$A:$N,4,FALSE)="Publico_&lt;10M",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VLOOKUP(A186,04_PROYECTOS!$A:$N,10,FALSE))</f>
        <v/>
      </c>
      <c r="I186">
        <f>ROUNDUP(H186/30,0)</f>
        <v/>
      </c>
      <c r="J186">
        <f>EDATE(C186,I186)</f>
        <v/>
      </c>
      <c r="K186">
        <f>G186</f>
        <v/>
      </c>
    </row>
    <row r="187">
      <c r="E187">
        <f>D187*VLOOKUP(A187,04_PROYECTOS!$A:$N,5,FALSE)*(INDEX(02B_ESCENARIOS!$B$4:$D$11, MATCH("MULT_PRECIO", 02B_ESCENARIOS!$A$4:$A$11, 0), MATCH("Agresivo", 02B_ESCENARIOS!$B$3:$D$3, 0)))*INDEX(02B_ESCENARIOS!$B$15:$D$19, MATCH(VLOOKUP(A187,04_PROYECTOS!$A:$N,9,FALSE), 02B_ESCENARIOS!$A$15:$A$19, 0), MATCH("Agresivo", 02B_ESCENARIOS!$B$14:$D$14, 0))</f>
        <v/>
      </c>
      <c r="F187">
        <f>E187*VLOOKUP(A187,04_PROYECTOS!$A:$N,6,FALSE)</f>
        <v/>
      </c>
      <c r="G187">
        <f>E187+F187</f>
        <v/>
      </c>
      <c r="H187">
        <f>IF(VLOOKUP(A187,04_PROYECTOS!$A:$N,10,FALSE)="", IF(VLOOKUP(A187,04_PROYECTOS!$A:$N,4,FALSE)="Privado", INDEX(02B_ESCENARIOS!$B$4:$D$11, MATCH("DSO_PRIVADO_DEFAULT", 02B_ESCENARIOS!$A$4:$A$11, 0), MATCH("Agresivo", 02B_ESCENARIOS!$B$3:$D$3, 0)), IF(VLOOKUP(A187,04_PROYECTOS!$A:$N,4,FALSE)="Publico_&lt;10M",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VLOOKUP(A187,04_PROYECTOS!$A:$N,10,FALSE))</f>
        <v/>
      </c>
      <c r="I187">
        <f>ROUNDUP(H187/30,0)</f>
        <v/>
      </c>
      <c r="J187">
        <f>EDATE(C187,I187)</f>
        <v/>
      </c>
      <c r="K187">
        <f>G187</f>
        <v/>
      </c>
    </row>
    <row r="188">
      <c r="E188">
        <f>D188*VLOOKUP(A188,04_PROYECTOS!$A:$N,5,FALSE)*(INDEX(02B_ESCENARIOS!$B$4:$D$11, MATCH("MULT_PRECIO", 02B_ESCENARIOS!$A$4:$A$11, 0), MATCH("Agresivo", 02B_ESCENARIOS!$B$3:$D$3, 0)))*INDEX(02B_ESCENARIOS!$B$15:$D$19, MATCH(VLOOKUP(A188,04_PROYECTOS!$A:$N,9,FALSE), 02B_ESCENARIOS!$A$15:$A$19, 0), MATCH("Agresivo", 02B_ESCENARIOS!$B$14:$D$14, 0))</f>
        <v/>
      </c>
      <c r="F188">
        <f>E188*VLOOKUP(A188,04_PROYECTOS!$A:$N,6,FALSE)</f>
        <v/>
      </c>
      <c r="G188">
        <f>E188+F188</f>
        <v/>
      </c>
      <c r="H188">
        <f>IF(VLOOKUP(A188,04_PROYECTOS!$A:$N,10,FALSE)="", IF(VLOOKUP(A188,04_PROYECTOS!$A:$N,4,FALSE)="Privado", INDEX(02B_ESCENARIOS!$B$4:$D$11, MATCH("DSO_PRIVADO_DEFAULT", 02B_ESCENARIOS!$A$4:$A$11, 0), MATCH("Agresivo", 02B_ESCENARIOS!$B$3:$D$3, 0)), IF(VLOOKUP(A188,04_PROYECTOS!$A:$N,4,FALSE)="Publico_&lt;10M",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VLOOKUP(A188,04_PROYECTOS!$A:$N,10,FALSE))</f>
        <v/>
      </c>
      <c r="I188">
        <f>ROUNDUP(H188/30,0)</f>
        <v/>
      </c>
      <c r="J188">
        <f>EDATE(C188,I188)</f>
        <v/>
      </c>
      <c r="K188">
        <f>G188</f>
        <v/>
      </c>
    </row>
    <row r="189">
      <c r="E189">
        <f>D189*VLOOKUP(A189,04_PROYECTOS!$A:$N,5,FALSE)*(INDEX(02B_ESCENARIOS!$B$4:$D$11, MATCH("MULT_PRECIO", 02B_ESCENARIOS!$A$4:$A$11, 0), MATCH("Agresivo", 02B_ESCENARIOS!$B$3:$D$3, 0)))*INDEX(02B_ESCENARIOS!$B$15:$D$19, MATCH(VLOOKUP(A189,04_PROYECTOS!$A:$N,9,FALSE), 02B_ESCENARIOS!$A$15:$A$19, 0), MATCH("Agresivo", 02B_ESCENARIOS!$B$14:$D$14, 0))</f>
        <v/>
      </c>
      <c r="F189">
        <f>E189*VLOOKUP(A189,04_PROYECTOS!$A:$N,6,FALSE)</f>
        <v/>
      </c>
      <c r="G189">
        <f>E189+F189</f>
        <v/>
      </c>
      <c r="H189">
        <f>IF(VLOOKUP(A189,04_PROYECTOS!$A:$N,10,FALSE)="", IF(VLOOKUP(A189,04_PROYECTOS!$A:$N,4,FALSE)="Privado", INDEX(02B_ESCENARIOS!$B$4:$D$11, MATCH("DSO_PRIVADO_DEFAULT", 02B_ESCENARIOS!$A$4:$A$11, 0), MATCH("Agresivo", 02B_ESCENARIOS!$B$3:$D$3, 0)), IF(VLOOKUP(A189,04_PROYECTOS!$A:$N,4,FALSE)="Publico_&lt;10M",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VLOOKUP(A189,04_PROYECTOS!$A:$N,10,FALSE))</f>
        <v/>
      </c>
      <c r="I189">
        <f>ROUNDUP(H189/30,0)</f>
        <v/>
      </c>
      <c r="J189">
        <f>EDATE(C189,I189)</f>
        <v/>
      </c>
      <c r="K189">
        <f>G189</f>
        <v/>
      </c>
    </row>
    <row r="190">
      <c r="E190">
        <f>D190*VLOOKUP(A190,04_PROYECTOS!$A:$N,5,FALSE)*(INDEX(02B_ESCENARIOS!$B$4:$D$11, MATCH("MULT_PRECIO", 02B_ESCENARIOS!$A$4:$A$11, 0), MATCH("Agresivo", 02B_ESCENARIOS!$B$3:$D$3, 0)))*INDEX(02B_ESCENARIOS!$B$15:$D$19, MATCH(VLOOKUP(A190,04_PROYECTOS!$A:$N,9,FALSE), 02B_ESCENARIOS!$A$15:$A$19, 0), MATCH("Agresivo", 02B_ESCENARIOS!$B$14:$D$14, 0))</f>
        <v/>
      </c>
      <c r="F190">
        <f>E190*VLOOKUP(A190,04_PROYECTOS!$A:$N,6,FALSE)</f>
        <v/>
      </c>
      <c r="G190">
        <f>E190+F190</f>
        <v/>
      </c>
      <c r="H190">
        <f>IF(VLOOKUP(A190,04_PROYECTOS!$A:$N,10,FALSE)="", IF(VLOOKUP(A190,04_PROYECTOS!$A:$N,4,FALSE)="Privado", INDEX(02B_ESCENARIOS!$B$4:$D$11, MATCH("DSO_PRIVADO_DEFAULT", 02B_ESCENARIOS!$A$4:$A$11, 0), MATCH("Agresivo", 02B_ESCENARIOS!$B$3:$D$3, 0)), IF(VLOOKUP(A190,04_PROYECTOS!$A:$N,4,FALSE)="Publico_&lt;10M",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VLOOKUP(A190,04_PROYECTOS!$A:$N,10,FALSE))</f>
        <v/>
      </c>
      <c r="I190">
        <f>ROUNDUP(H190/30,0)</f>
        <v/>
      </c>
      <c r="J190">
        <f>EDATE(C190,I190)</f>
        <v/>
      </c>
      <c r="K190">
        <f>G190</f>
        <v/>
      </c>
    </row>
    <row r="191">
      <c r="E191">
        <f>D191*VLOOKUP(A191,04_PROYECTOS!$A:$N,5,FALSE)*(INDEX(02B_ESCENARIOS!$B$4:$D$11, MATCH("MULT_PRECIO", 02B_ESCENARIOS!$A$4:$A$11, 0), MATCH("Agresivo", 02B_ESCENARIOS!$B$3:$D$3, 0)))*INDEX(02B_ESCENARIOS!$B$15:$D$19, MATCH(VLOOKUP(A191,04_PROYECTOS!$A:$N,9,FALSE), 02B_ESCENARIOS!$A$15:$A$19, 0), MATCH("Agresivo", 02B_ESCENARIOS!$B$14:$D$14, 0))</f>
        <v/>
      </c>
      <c r="F191">
        <f>E191*VLOOKUP(A191,04_PROYECTOS!$A:$N,6,FALSE)</f>
        <v/>
      </c>
      <c r="G191">
        <f>E191+F191</f>
        <v/>
      </c>
      <c r="H191">
        <f>IF(VLOOKUP(A191,04_PROYECTOS!$A:$N,10,FALSE)="", IF(VLOOKUP(A191,04_PROYECTOS!$A:$N,4,FALSE)="Privado", INDEX(02B_ESCENARIOS!$B$4:$D$11, MATCH("DSO_PRIVADO_DEFAULT", 02B_ESCENARIOS!$A$4:$A$11, 0), MATCH("Agresivo", 02B_ESCENARIOS!$B$3:$D$3, 0)), IF(VLOOKUP(A191,04_PROYECTOS!$A:$N,4,FALSE)="Publico_&lt;10M",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VLOOKUP(A191,04_PROYECTOS!$A:$N,10,FALSE))</f>
        <v/>
      </c>
      <c r="I191">
        <f>ROUNDUP(H191/30,0)</f>
        <v/>
      </c>
      <c r="J191">
        <f>EDATE(C191,I191)</f>
        <v/>
      </c>
      <c r="K191">
        <f>G191</f>
        <v/>
      </c>
    </row>
    <row r="192">
      <c r="E192">
        <f>D192*VLOOKUP(A192,04_PROYECTOS!$A:$N,5,FALSE)*(INDEX(02B_ESCENARIOS!$B$4:$D$11, MATCH("MULT_PRECIO", 02B_ESCENARIOS!$A$4:$A$11, 0), MATCH("Agresivo", 02B_ESCENARIOS!$B$3:$D$3, 0)))*INDEX(02B_ESCENARIOS!$B$15:$D$19, MATCH(VLOOKUP(A192,04_PROYECTOS!$A:$N,9,FALSE), 02B_ESCENARIOS!$A$15:$A$19, 0), MATCH("Agresivo", 02B_ESCENARIOS!$B$14:$D$14, 0))</f>
        <v/>
      </c>
      <c r="F192">
        <f>E192*VLOOKUP(A192,04_PROYECTOS!$A:$N,6,FALSE)</f>
        <v/>
      </c>
      <c r="G192">
        <f>E192+F192</f>
        <v/>
      </c>
      <c r="H192">
        <f>IF(VLOOKUP(A192,04_PROYECTOS!$A:$N,10,FALSE)="", IF(VLOOKUP(A192,04_PROYECTOS!$A:$N,4,FALSE)="Privado", INDEX(02B_ESCENARIOS!$B$4:$D$11, MATCH("DSO_PRIVADO_DEFAULT", 02B_ESCENARIOS!$A$4:$A$11, 0), MATCH("Agresivo", 02B_ESCENARIOS!$B$3:$D$3, 0)), IF(VLOOKUP(A192,04_PROYECTOS!$A:$N,4,FALSE)="Publico_&lt;10M",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VLOOKUP(A192,04_PROYECTOS!$A:$N,10,FALSE))</f>
        <v/>
      </c>
      <c r="I192">
        <f>ROUNDUP(H192/30,0)</f>
        <v/>
      </c>
      <c r="J192">
        <f>EDATE(C192,I192)</f>
        <v/>
      </c>
      <c r="K192">
        <f>G192</f>
        <v/>
      </c>
    </row>
    <row r="193">
      <c r="E193">
        <f>D193*VLOOKUP(A193,04_PROYECTOS!$A:$N,5,FALSE)*(INDEX(02B_ESCENARIOS!$B$4:$D$11, MATCH("MULT_PRECIO", 02B_ESCENARIOS!$A$4:$A$11, 0), MATCH("Agresivo", 02B_ESCENARIOS!$B$3:$D$3, 0)))*INDEX(02B_ESCENARIOS!$B$15:$D$19, MATCH(VLOOKUP(A193,04_PROYECTOS!$A:$N,9,FALSE), 02B_ESCENARIOS!$A$15:$A$19, 0), MATCH("Agresivo", 02B_ESCENARIOS!$B$14:$D$14, 0))</f>
        <v/>
      </c>
      <c r="F193">
        <f>E193*VLOOKUP(A193,04_PROYECTOS!$A:$N,6,FALSE)</f>
        <v/>
      </c>
      <c r="G193">
        <f>E193+F193</f>
        <v/>
      </c>
      <c r="H193">
        <f>IF(VLOOKUP(A193,04_PROYECTOS!$A:$N,10,FALSE)="", IF(VLOOKUP(A193,04_PROYECTOS!$A:$N,4,FALSE)="Privado", INDEX(02B_ESCENARIOS!$B$4:$D$11, MATCH("DSO_PRIVADO_DEFAULT", 02B_ESCENARIOS!$A$4:$A$11, 0), MATCH("Agresivo", 02B_ESCENARIOS!$B$3:$D$3, 0)), IF(VLOOKUP(A193,04_PROYECTOS!$A:$N,4,FALSE)="Publico_&lt;10M",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VLOOKUP(A193,04_PROYECTOS!$A:$N,10,FALSE))</f>
        <v/>
      </c>
      <c r="I193">
        <f>ROUNDUP(H193/30,0)</f>
        <v/>
      </c>
      <c r="J193">
        <f>EDATE(C193,I193)</f>
        <v/>
      </c>
      <c r="K193">
        <f>G193</f>
        <v/>
      </c>
    </row>
    <row r="194">
      <c r="E194">
        <f>D194*VLOOKUP(A194,04_PROYECTOS!$A:$N,5,FALSE)*(INDEX(02B_ESCENARIOS!$B$4:$D$11, MATCH("MULT_PRECIO", 02B_ESCENARIOS!$A$4:$A$11, 0), MATCH("Agresivo", 02B_ESCENARIOS!$B$3:$D$3, 0)))*INDEX(02B_ESCENARIOS!$B$15:$D$19, MATCH(VLOOKUP(A194,04_PROYECTOS!$A:$N,9,FALSE), 02B_ESCENARIOS!$A$15:$A$19, 0), MATCH("Agresivo", 02B_ESCENARIOS!$B$14:$D$14, 0))</f>
        <v/>
      </c>
      <c r="F194">
        <f>E194*VLOOKUP(A194,04_PROYECTOS!$A:$N,6,FALSE)</f>
        <v/>
      </c>
      <c r="G194">
        <f>E194+F194</f>
        <v/>
      </c>
      <c r="H194">
        <f>IF(VLOOKUP(A194,04_PROYECTOS!$A:$N,10,FALSE)="", IF(VLOOKUP(A194,04_PROYECTOS!$A:$N,4,FALSE)="Privado", INDEX(02B_ESCENARIOS!$B$4:$D$11, MATCH("DSO_PRIVADO_DEFAULT", 02B_ESCENARIOS!$A$4:$A$11, 0), MATCH("Agresivo", 02B_ESCENARIOS!$B$3:$D$3, 0)), IF(VLOOKUP(A194,04_PROYECTOS!$A:$N,4,FALSE)="Publico_&lt;10M",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VLOOKUP(A194,04_PROYECTOS!$A:$N,10,FALSE))</f>
        <v/>
      </c>
      <c r="I194">
        <f>ROUNDUP(H194/30,0)</f>
        <v/>
      </c>
      <c r="J194">
        <f>EDATE(C194,I194)</f>
        <v/>
      </c>
      <c r="K194">
        <f>G194</f>
        <v/>
      </c>
    </row>
    <row r="195">
      <c r="E195">
        <f>D195*VLOOKUP(A195,04_PROYECTOS!$A:$N,5,FALSE)*(INDEX(02B_ESCENARIOS!$B$4:$D$11, MATCH("MULT_PRECIO", 02B_ESCENARIOS!$A$4:$A$11, 0), MATCH("Agresivo", 02B_ESCENARIOS!$B$3:$D$3, 0)))*INDEX(02B_ESCENARIOS!$B$15:$D$19, MATCH(VLOOKUP(A195,04_PROYECTOS!$A:$N,9,FALSE), 02B_ESCENARIOS!$A$15:$A$19, 0), MATCH("Agresivo", 02B_ESCENARIOS!$B$14:$D$14, 0))</f>
        <v/>
      </c>
      <c r="F195">
        <f>E195*VLOOKUP(A195,04_PROYECTOS!$A:$N,6,FALSE)</f>
        <v/>
      </c>
      <c r="G195">
        <f>E195+F195</f>
        <v/>
      </c>
      <c r="H195">
        <f>IF(VLOOKUP(A195,04_PROYECTOS!$A:$N,10,FALSE)="", IF(VLOOKUP(A195,04_PROYECTOS!$A:$N,4,FALSE)="Privado", INDEX(02B_ESCENARIOS!$B$4:$D$11, MATCH("DSO_PRIVADO_DEFAULT", 02B_ESCENARIOS!$A$4:$A$11, 0), MATCH("Agresivo", 02B_ESCENARIOS!$B$3:$D$3, 0)), IF(VLOOKUP(A195,04_PROYECTOS!$A:$N,4,FALSE)="Publico_&lt;10M",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VLOOKUP(A195,04_PROYECTOS!$A:$N,10,FALSE))</f>
        <v/>
      </c>
      <c r="I195">
        <f>ROUNDUP(H195/30,0)</f>
        <v/>
      </c>
      <c r="J195">
        <f>EDATE(C195,I195)</f>
        <v/>
      </c>
      <c r="K195">
        <f>G195</f>
        <v/>
      </c>
    </row>
    <row r="196">
      <c r="E196">
        <f>D196*VLOOKUP(A196,04_PROYECTOS!$A:$N,5,FALSE)*(INDEX(02B_ESCENARIOS!$B$4:$D$11, MATCH("MULT_PRECIO", 02B_ESCENARIOS!$A$4:$A$11, 0), MATCH("Agresivo", 02B_ESCENARIOS!$B$3:$D$3, 0)))*INDEX(02B_ESCENARIOS!$B$15:$D$19, MATCH(VLOOKUP(A196,04_PROYECTOS!$A:$N,9,FALSE), 02B_ESCENARIOS!$A$15:$A$19, 0), MATCH("Agresivo", 02B_ESCENARIOS!$B$14:$D$14, 0))</f>
        <v/>
      </c>
      <c r="F196">
        <f>E196*VLOOKUP(A196,04_PROYECTOS!$A:$N,6,FALSE)</f>
        <v/>
      </c>
      <c r="G196">
        <f>E196+F196</f>
        <v/>
      </c>
      <c r="H196">
        <f>IF(VLOOKUP(A196,04_PROYECTOS!$A:$N,10,FALSE)="", IF(VLOOKUP(A196,04_PROYECTOS!$A:$N,4,FALSE)="Privado", INDEX(02B_ESCENARIOS!$B$4:$D$11, MATCH("DSO_PRIVADO_DEFAULT", 02B_ESCENARIOS!$A$4:$A$11, 0), MATCH("Agresivo", 02B_ESCENARIOS!$B$3:$D$3, 0)), IF(VLOOKUP(A196,04_PROYECTOS!$A:$N,4,FALSE)="Publico_&lt;10M",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VLOOKUP(A196,04_PROYECTOS!$A:$N,10,FALSE))</f>
        <v/>
      </c>
      <c r="I196">
        <f>ROUNDUP(H196/30,0)</f>
        <v/>
      </c>
      <c r="J196">
        <f>EDATE(C196,I196)</f>
        <v/>
      </c>
      <c r="K196">
        <f>G196</f>
        <v/>
      </c>
    </row>
    <row r="197">
      <c r="E197">
        <f>D197*VLOOKUP(A197,04_PROYECTOS!$A:$N,5,FALSE)*(INDEX(02B_ESCENARIOS!$B$4:$D$11, MATCH("MULT_PRECIO", 02B_ESCENARIOS!$A$4:$A$11, 0), MATCH("Agresivo", 02B_ESCENARIOS!$B$3:$D$3, 0)))*INDEX(02B_ESCENARIOS!$B$15:$D$19, MATCH(VLOOKUP(A197,04_PROYECTOS!$A:$N,9,FALSE), 02B_ESCENARIOS!$A$15:$A$19, 0), MATCH("Agresivo", 02B_ESCENARIOS!$B$14:$D$14, 0))</f>
        <v/>
      </c>
      <c r="F197">
        <f>E197*VLOOKUP(A197,04_PROYECTOS!$A:$N,6,FALSE)</f>
        <v/>
      </c>
      <c r="G197">
        <f>E197+F197</f>
        <v/>
      </c>
      <c r="H197">
        <f>IF(VLOOKUP(A197,04_PROYECTOS!$A:$N,10,FALSE)="", IF(VLOOKUP(A197,04_PROYECTOS!$A:$N,4,FALSE)="Privado", INDEX(02B_ESCENARIOS!$B$4:$D$11, MATCH("DSO_PRIVADO_DEFAULT", 02B_ESCENARIOS!$A$4:$A$11, 0), MATCH("Agresivo", 02B_ESCENARIOS!$B$3:$D$3, 0)), IF(VLOOKUP(A197,04_PROYECTOS!$A:$N,4,FALSE)="Publico_&lt;10M",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VLOOKUP(A197,04_PROYECTOS!$A:$N,10,FALSE))</f>
        <v/>
      </c>
      <c r="I197">
        <f>ROUNDUP(H197/30,0)</f>
        <v/>
      </c>
      <c r="J197">
        <f>EDATE(C197,I197)</f>
        <v/>
      </c>
      <c r="K197">
        <f>G197</f>
        <v/>
      </c>
    </row>
    <row r="198">
      <c r="E198">
        <f>D198*VLOOKUP(A198,04_PROYECTOS!$A:$N,5,FALSE)*(INDEX(02B_ESCENARIOS!$B$4:$D$11, MATCH("MULT_PRECIO", 02B_ESCENARIOS!$A$4:$A$11, 0), MATCH("Agresivo", 02B_ESCENARIOS!$B$3:$D$3, 0)))*INDEX(02B_ESCENARIOS!$B$15:$D$19, MATCH(VLOOKUP(A198,04_PROYECTOS!$A:$N,9,FALSE), 02B_ESCENARIOS!$A$15:$A$19, 0), MATCH("Agresivo", 02B_ESCENARIOS!$B$14:$D$14, 0))</f>
        <v/>
      </c>
      <c r="F198">
        <f>E198*VLOOKUP(A198,04_PROYECTOS!$A:$N,6,FALSE)</f>
        <v/>
      </c>
      <c r="G198">
        <f>E198+F198</f>
        <v/>
      </c>
      <c r="H198">
        <f>IF(VLOOKUP(A198,04_PROYECTOS!$A:$N,10,FALSE)="", IF(VLOOKUP(A198,04_PROYECTOS!$A:$N,4,FALSE)="Privado", INDEX(02B_ESCENARIOS!$B$4:$D$11, MATCH("DSO_PRIVADO_DEFAULT", 02B_ESCENARIOS!$A$4:$A$11, 0), MATCH("Agresivo", 02B_ESCENARIOS!$B$3:$D$3, 0)), IF(VLOOKUP(A198,04_PROYECTOS!$A:$N,4,FALSE)="Publico_&lt;10M",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VLOOKUP(A198,04_PROYECTOS!$A:$N,10,FALSE))</f>
        <v/>
      </c>
      <c r="I198">
        <f>ROUNDUP(H198/30,0)</f>
        <v/>
      </c>
      <c r="J198">
        <f>EDATE(C198,I198)</f>
        <v/>
      </c>
      <c r="K198">
        <f>G198</f>
        <v/>
      </c>
    </row>
    <row r="199">
      <c r="E199">
        <f>D199*VLOOKUP(A199,04_PROYECTOS!$A:$N,5,FALSE)*(INDEX(02B_ESCENARIOS!$B$4:$D$11, MATCH("MULT_PRECIO", 02B_ESCENARIOS!$A$4:$A$11, 0), MATCH("Agresivo", 02B_ESCENARIOS!$B$3:$D$3, 0)))*INDEX(02B_ESCENARIOS!$B$15:$D$19, MATCH(VLOOKUP(A199,04_PROYECTOS!$A:$N,9,FALSE), 02B_ESCENARIOS!$A$15:$A$19, 0), MATCH("Agresivo", 02B_ESCENARIOS!$B$14:$D$14, 0))</f>
        <v/>
      </c>
      <c r="F199">
        <f>E199*VLOOKUP(A199,04_PROYECTOS!$A:$N,6,FALSE)</f>
        <v/>
      </c>
      <c r="G199">
        <f>E199+F199</f>
        <v/>
      </c>
      <c r="H199">
        <f>IF(VLOOKUP(A199,04_PROYECTOS!$A:$N,10,FALSE)="", IF(VLOOKUP(A199,04_PROYECTOS!$A:$N,4,FALSE)="Privado", INDEX(02B_ESCENARIOS!$B$4:$D$11, MATCH("DSO_PRIVADO_DEFAULT", 02B_ESCENARIOS!$A$4:$A$11, 0), MATCH("Agresivo", 02B_ESCENARIOS!$B$3:$D$3, 0)), IF(VLOOKUP(A199,04_PROYECTOS!$A:$N,4,FALSE)="Publico_&lt;10M",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VLOOKUP(A199,04_PROYECTOS!$A:$N,10,FALSE))</f>
        <v/>
      </c>
      <c r="I199">
        <f>ROUNDUP(H199/30,0)</f>
        <v/>
      </c>
      <c r="J199">
        <f>EDATE(C199,I199)</f>
        <v/>
      </c>
      <c r="K199">
        <f>G199</f>
        <v/>
      </c>
    </row>
    <row r="200">
      <c r="E200">
        <f>D200*VLOOKUP(A200,04_PROYECTOS!$A:$N,5,FALSE)*(INDEX(02B_ESCENARIOS!$B$4:$D$11, MATCH("MULT_PRECIO", 02B_ESCENARIOS!$A$4:$A$11, 0), MATCH("Agresivo", 02B_ESCENARIOS!$B$3:$D$3, 0)))*INDEX(02B_ESCENARIOS!$B$15:$D$19, MATCH(VLOOKUP(A200,04_PROYECTOS!$A:$N,9,FALSE), 02B_ESCENARIOS!$A$15:$A$19, 0), MATCH("Agresivo", 02B_ESCENARIOS!$B$14:$D$14, 0))</f>
        <v/>
      </c>
      <c r="F200">
        <f>E200*VLOOKUP(A200,04_PROYECTOS!$A:$N,6,FALSE)</f>
        <v/>
      </c>
      <c r="G200">
        <f>E200+F200</f>
        <v/>
      </c>
      <c r="H200">
        <f>IF(VLOOKUP(A200,04_PROYECTOS!$A:$N,10,FALSE)="", IF(VLOOKUP(A200,04_PROYECTOS!$A:$N,4,FALSE)="Privado", INDEX(02B_ESCENARIOS!$B$4:$D$11, MATCH("DSO_PRIVADO_DEFAULT", 02B_ESCENARIOS!$A$4:$A$11, 0), MATCH("Agresivo", 02B_ESCENARIOS!$B$3:$D$3, 0)), IF(VLOOKUP(A200,04_PROYECTOS!$A:$N,4,FALSE)="Publico_&lt;10M",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VLOOKUP(A200,04_PROYECTOS!$A:$N,10,FALSE))</f>
        <v/>
      </c>
      <c r="I200">
        <f>ROUNDUP(H200/30,0)</f>
        <v/>
      </c>
      <c r="J200">
        <f>EDATE(C200,I200)</f>
        <v/>
      </c>
      <c r="K200">
        <f>G200</f>
        <v/>
      </c>
    </row>
    <row r="201">
      <c r="E201">
        <f>D201*VLOOKUP(A201,04_PROYECTOS!$A:$N,5,FALSE)*(INDEX(02B_ESCENARIOS!$B$4:$D$11, MATCH("MULT_PRECIO", 02B_ESCENARIOS!$A$4:$A$11, 0), MATCH("Agresivo", 02B_ESCENARIOS!$B$3:$D$3, 0)))*INDEX(02B_ESCENARIOS!$B$15:$D$19, MATCH(VLOOKUP(A201,04_PROYECTOS!$A:$N,9,FALSE), 02B_ESCENARIOS!$A$15:$A$19, 0), MATCH("Agresivo", 02B_ESCENARIOS!$B$14:$D$14, 0))</f>
        <v/>
      </c>
      <c r="F201">
        <f>E201*VLOOKUP(A201,04_PROYECTOS!$A:$N,6,FALSE)</f>
        <v/>
      </c>
      <c r="G201">
        <f>E201+F201</f>
        <v/>
      </c>
      <c r="H201">
        <f>IF(VLOOKUP(A201,04_PROYECTOS!$A:$N,10,FALSE)="", IF(VLOOKUP(A201,04_PROYECTOS!$A:$N,4,FALSE)="Privado", INDEX(02B_ESCENARIOS!$B$4:$D$11, MATCH("DSO_PRIVADO_DEFAULT", 02B_ESCENARIOS!$A$4:$A$11, 0), MATCH("Agresivo", 02B_ESCENARIOS!$B$3:$D$3, 0)), IF(VLOOKUP(A201,04_PROYECTOS!$A:$N,4,FALSE)="Publico_&lt;10M",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VLOOKUP(A201,04_PROYECTOS!$A:$N,10,FALSE))</f>
        <v/>
      </c>
      <c r="I201">
        <f>ROUNDUP(H201/30,0)</f>
        <v/>
      </c>
      <c r="J201">
        <f>EDATE(C201,I201)</f>
        <v/>
      </c>
      <c r="K201">
        <f>G201</f>
        <v/>
      </c>
    </row>
    <row r="202">
      <c r="E202">
        <f>D202*VLOOKUP(A202,04_PROYECTOS!$A:$N,5,FALSE)*(INDEX(02B_ESCENARIOS!$B$4:$D$11, MATCH("MULT_PRECIO", 02B_ESCENARIOS!$A$4:$A$11, 0), MATCH("Agresivo", 02B_ESCENARIOS!$B$3:$D$3, 0)))*INDEX(02B_ESCENARIOS!$B$15:$D$19, MATCH(VLOOKUP(A202,04_PROYECTOS!$A:$N,9,FALSE), 02B_ESCENARIOS!$A$15:$A$19, 0), MATCH("Agresivo", 02B_ESCENARIOS!$B$14:$D$14, 0))</f>
        <v/>
      </c>
      <c r="F202">
        <f>E202*VLOOKUP(A202,04_PROYECTOS!$A:$N,6,FALSE)</f>
        <v/>
      </c>
      <c r="G202">
        <f>E202+F202</f>
        <v/>
      </c>
      <c r="H202">
        <f>IF(VLOOKUP(A202,04_PROYECTOS!$A:$N,10,FALSE)="", IF(VLOOKUP(A202,04_PROYECTOS!$A:$N,4,FALSE)="Privado", INDEX(02B_ESCENARIOS!$B$4:$D$11, MATCH("DSO_PRIVADO_DEFAULT", 02B_ESCENARIOS!$A$4:$A$11, 0), MATCH("Agresivo", 02B_ESCENARIOS!$B$3:$D$3, 0)), IF(VLOOKUP(A202,04_PROYECTOS!$A:$N,4,FALSE)="Publico_&lt;10M",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VLOOKUP(A202,04_PROYECTOS!$A:$N,10,FALSE))</f>
        <v/>
      </c>
      <c r="I202">
        <f>ROUNDUP(H202/30,0)</f>
        <v/>
      </c>
      <c r="J202">
        <f>EDATE(C202,I202)</f>
        <v/>
      </c>
      <c r="K202">
        <f>G202</f>
        <v/>
      </c>
    </row>
    <row r="203">
      <c r="E203">
        <f>D203*VLOOKUP(A203,04_PROYECTOS!$A:$N,5,FALSE)*(INDEX(02B_ESCENARIOS!$B$4:$D$11, MATCH("MULT_PRECIO", 02B_ESCENARIOS!$A$4:$A$11, 0), MATCH("Agresivo", 02B_ESCENARIOS!$B$3:$D$3, 0)))*INDEX(02B_ESCENARIOS!$B$15:$D$19, MATCH(VLOOKUP(A203,04_PROYECTOS!$A:$N,9,FALSE), 02B_ESCENARIOS!$A$15:$A$19, 0), MATCH("Agresivo", 02B_ESCENARIOS!$B$14:$D$14, 0))</f>
        <v/>
      </c>
      <c r="F203">
        <f>E203*VLOOKUP(A203,04_PROYECTOS!$A:$N,6,FALSE)</f>
        <v/>
      </c>
      <c r="G203">
        <f>E203+F203</f>
        <v/>
      </c>
      <c r="H203">
        <f>IF(VLOOKUP(A203,04_PROYECTOS!$A:$N,10,FALSE)="", IF(VLOOKUP(A203,04_PROYECTOS!$A:$N,4,FALSE)="Privado", INDEX(02B_ESCENARIOS!$B$4:$D$11, MATCH("DSO_PRIVADO_DEFAULT", 02B_ESCENARIOS!$A$4:$A$11, 0), MATCH("Agresivo", 02B_ESCENARIOS!$B$3:$D$3, 0)), IF(VLOOKUP(A203,04_PROYECTOS!$A:$N,4,FALSE)="Publico_&lt;10M",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VLOOKUP(A203,04_PROYECTOS!$A:$N,10,FALSE))</f>
        <v/>
      </c>
      <c r="I203">
        <f>ROUNDUP(H203/30,0)</f>
        <v/>
      </c>
      <c r="J203">
        <f>EDATE(C203,I203)</f>
        <v/>
      </c>
      <c r="K203">
        <f>G203</f>
        <v/>
      </c>
    </row>
    <row r="204">
      <c r="E204">
        <f>D204*VLOOKUP(A204,04_PROYECTOS!$A:$N,5,FALSE)*(INDEX(02B_ESCENARIOS!$B$4:$D$11, MATCH("MULT_PRECIO", 02B_ESCENARIOS!$A$4:$A$11, 0), MATCH("Agresivo", 02B_ESCENARIOS!$B$3:$D$3, 0)))*INDEX(02B_ESCENARIOS!$B$15:$D$19, MATCH(VLOOKUP(A204,04_PROYECTOS!$A:$N,9,FALSE), 02B_ESCENARIOS!$A$15:$A$19, 0), MATCH("Agresivo", 02B_ESCENARIOS!$B$14:$D$14, 0))</f>
        <v/>
      </c>
      <c r="F204">
        <f>E204*VLOOKUP(A204,04_PROYECTOS!$A:$N,6,FALSE)</f>
        <v/>
      </c>
      <c r="G204">
        <f>E204+F204</f>
        <v/>
      </c>
      <c r="H204">
        <f>IF(VLOOKUP(A204,04_PROYECTOS!$A:$N,10,FALSE)="", IF(VLOOKUP(A204,04_PROYECTOS!$A:$N,4,FALSE)="Privado", INDEX(02B_ESCENARIOS!$B$4:$D$11, MATCH("DSO_PRIVADO_DEFAULT", 02B_ESCENARIOS!$A$4:$A$11, 0), MATCH("Agresivo", 02B_ESCENARIOS!$B$3:$D$3, 0)), IF(VLOOKUP(A204,04_PROYECTOS!$A:$N,4,FALSE)="Publico_&lt;10M",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VLOOKUP(A204,04_PROYECTOS!$A:$N,10,FALSE))</f>
        <v/>
      </c>
      <c r="I204">
        <f>ROUNDUP(H204/30,0)</f>
        <v/>
      </c>
      <c r="J204">
        <f>EDATE(C204,I204)</f>
        <v/>
      </c>
      <c r="K204">
        <f>G204</f>
        <v/>
      </c>
    </row>
    <row r="205">
      <c r="E205">
        <f>D205*VLOOKUP(A205,04_PROYECTOS!$A:$N,5,FALSE)*(INDEX(02B_ESCENARIOS!$B$4:$D$11, MATCH("MULT_PRECIO", 02B_ESCENARIOS!$A$4:$A$11, 0), MATCH("Agresivo", 02B_ESCENARIOS!$B$3:$D$3, 0)))*INDEX(02B_ESCENARIOS!$B$15:$D$19, MATCH(VLOOKUP(A205,04_PROYECTOS!$A:$N,9,FALSE), 02B_ESCENARIOS!$A$15:$A$19, 0), MATCH("Agresivo", 02B_ESCENARIOS!$B$14:$D$14, 0))</f>
        <v/>
      </c>
      <c r="F205">
        <f>E205*VLOOKUP(A205,04_PROYECTOS!$A:$N,6,FALSE)</f>
        <v/>
      </c>
      <c r="G205">
        <f>E205+F205</f>
        <v/>
      </c>
      <c r="H205">
        <f>IF(VLOOKUP(A205,04_PROYECTOS!$A:$N,10,FALSE)="", IF(VLOOKUP(A205,04_PROYECTOS!$A:$N,4,FALSE)="Privado", INDEX(02B_ESCENARIOS!$B$4:$D$11, MATCH("DSO_PRIVADO_DEFAULT", 02B_ESCENARIOS!$A$4:$A$11, 0), MATCH("Agresivo", 02B_ESCENARIOS!$B$3:$D$3, 0)), IF(VLOOKUP(A205,04_PROYECTOS!$A:$N,4,FALSE)="Publico_&lt;10M",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VLOOKUP(A205,04_PROYECTOS!$A:$N,10,FALSE))</f>
        <v/>
      </c>
      <c r="I205">
        <f>ROUNDUP(H205/30,0)</f>
        <v/>
      </c>
      <c r="J205">
        <f>EDATE(C205,I205)</f>
        <v/>
      </c>
      <c r="K205">
        <f>G205</f>
        <v/>
      </c>
    </row>
    <row r="206">
      <c r="E206">
        <f>D206*VLOOKUP(A206,04_PROYECTOS!$A:$N,5,FALSE)*(INDEX(02B_ESCENARIOS!$B$4:$D$11, MATCH("MULT_PRECIO", 02B_ESCENARIOS!$A$4:$A$11, 0), MATCH("Agresivo", 02B_ESCENARIOS!$B$3:$D$3, 0)))*INDEX(02B_ESCENARIOS!$B$15:$D$19, MATCH(VLOOKUP(A206,04_PROYECTOS!$A:$N,9,FALSE), 02B_ESCENARIOS!$A$15:$A$19, 0), MATCH("Agresivo", 02B_ESCENARIOS!$B$14:$D$14, 0))</f>
        <v/>
      </c>
      <c r="F206">
        <f>E206*VLOOKUP(A206,04_PROYECTOS!$A:$N,6,FALSE)</f>
        <v/>
      </c>
      <c r="G206">
        <f>E206+F206</f>
        <v/>
      </c>
      <c r="H206">
        <f>IF(VLOOKUP(A206,04_PROYECTOS!$A:$N,10,FALSE)="", IF(VLOOKUP(A206,04_PROYECTOS!$A:$N,4,FALSE)="Privado", INDEX(02B_ESCENARIOS!$B$4:$D$11, MATCH("DSO_PRIVADO_DEFAULT", 02B_ESCENARIOS!$A$4:$A$11, 0), MATCH("Agresivo", 02B_ESCENARIOS!$B$3:$D$3, 0)), IF(VLOOKUP(A206,04_PROYECTOS!$A:$N,4,FALSE)="Publico_&lt;10M",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VLOOKUP(A206,04_PROYECTOS!$A:$N,10,FALSE))</f>
        <v/>
      </c>
      <c r="I206">
        <f>ROUNDUP(H206/30,0)</f>
        <v/>
      </c>
      <c r="J206">
        <f>EDATE(C206,I206)</f>
        <v/>
      </c>
      <c r="K206">
        <f>G206</f>
        <v/>
      </c>
    </row>
    <row r="207">
      <c r="E207">
        <f>D207*VLOOKUP(A207,04_PROYECTOS!$A:$N,5,FALSE)*(INDEX(02B_ESCENARIOS!$B$4:$D$11, MATCH("MULT_PRECIO", 02B_ESCENARIOS!$A$4:$A$11, 0), MATCH("Agresivo", 02B_ESCENARIOS!$B$3:$D$3, 0)))*INDEX(02B_ESCENARIOS!$B$15:$D$19, MATCH(VLOOKUP(A207,04_PROYECTOS!$A:$N,9,FALSE), 02B_ESCENARIOS!$A$15:$A$19, 0), MATCH("Agresivo", 02B_ESCENARIOS!$B$14:$D$14, 0))</f>
        <v/>
      </c>
      <c r="F207">
        <f>E207*VLOOKUP(A207,04_PROYECTOS!$A:$N,6,FALSE)</f>
        <v/>
      </c>
      <c r="G207">
        <f>E207+F207</f>
        <v/>
      </c>
      <c r="H207">
        <f>IF(VLOOKUP(A207,04_PROYECTOS!$A:$N,10,FALSE)="", IF(VLOOKUP(A207,04_PROYECTOS!$A:$N,4,FALSE)="Privado", INDEX(02B_ESCENARIOS!$B$4:$D$11, MATCH("DSO_PRIVADO_DEFAULT", 02B_ESCENARIOS!$A$4:$A$11, 0), MATCH("Agresivo", 02B_ESCENARIOS!$B$3:$D$3, 0)), IF(VLOOKUP(A207,04_PROYECTOS!$A:$N,4,FALSE)="Publico_&lt;10M",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VLOOKUP(A207,04_PROYECTOS!$A:$N,10,FALSE))</f>
        <v/>
      </c>
      <c r="I207">
        <f>ROUNDUP(H207/30,0)</f>
        <v/>
      </c>
      <c r="J207">
        <f>EDATE(C207,I207)</f>
        <v/>
      </c>
      <c r="K207">
        <f>G207</f>
        <v/>
      </c>
    </row>
    <row r="208">
      <c r="E208">
        <f>D208*VLOOKUP(A208,04_PROYECTOS!$A:$N,5,FALSE)*(INDEX(02B_ESCENARIOS!$B$4:$D$11, MATCH("MULT_PRECIO", 02B_ESCENARIOS!$A$4:$A$11, 0), MATCH("Agresivo", 02B_ESCENARIOS!$B$3:$D$3, 0)))*INDEX(02B_ESCENARIOS!$B$15:$D$19, MATCH(VLOOKUP(A208,04_PROYECTOS!$A:$N,9,FALSE), 02B_ESCENARIOS!$A$15:$A$19, 0), MATCH("Agresivo", 02B_ESCENARIOS!$B$14:$D$14, 0))</f>
        <v/>
      </c>
      <c r="F208">
        <f>E208*VLOOKUP(A208,04_PROYECTOS!$A:$N,6,FALSE)</f>
        <v/>
      </c>
      <c r="G208">
        <f>E208+F208</f>
        <v/>
      </c>
      <c r="H208">
        <f>IF(VLOOKUP(A208,04_PROYECTOS!$A:$N,10,FALSE)="", IF(VLOOKUP(A208,04_PROYECTOS!$A:$N,4,FALSE)="Privado", INDEX(02B_ESCENARIOS!$B$4:$D$11, MATCH("DSO_PRIVADO_DEFAULT", 02B_ESCENARIOS!$A$4:$A$11, 0), MATCH("Agresivo", 02B_ESCENARIOS!$B$3:$D$3, 0)), IF(VLOOKUP(A208,04_PROYECTOS!$A:$N,4,FALSE)="Publico_&lt;10M",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VLOOKUP(A208,04_PROYECTOS!$A:$N,10,FALSE))</f>
        <v/>
      </c>
      <c r="I208">
        <f>ROUNDUP(H208/30,0)</f>
        <v/>
      </c>
      <c r="J208">
        <f>EDATE(C208,I208)</f>
        <v/>
      </c>
      <c r="K208">
        <f>G208</f>
        <v/>
      </c>
    </row>
    <row r="209">
      <c r="E209">
        <f>D209*VLOOKUP(A209,04_PROYECTOS!$A:$N,5,FALSE)*(INDEX(02B_ESCENARIOS!$B$4:$D$11, MATCH("MULT_PRECIO", 02B_ESCENARIOS!$A$4:$A$11, 0), MATCH("Agresivo", 02B_ESCENARIOS!$B$3:$D$3, 0)))*INDEX(02B_ESCENARIOS!$B$15:$D$19, MATCH(VLOOKUP(A209,04_PROYECTOS!$A:$N,9,FALSE), 02B_ESCENARIOS!$A$15:$A$19, 0), MATCH("Agresivo", 02B_ESCENARIOS!$B$14:$D$14, 0))</f>
        <v/>
      </c>
      <c r="F209">
        <f>E209*VLOOKUP(A209,04_PROYECTOS!$A:$N,6,FALSE)</f>
        <v/>
      </c>
      <c r="G209">
        <f>E209+F209</f>
        <v/>
      </c>
      <c r="H209">
        <f>IF(VLOOKUP(A209,04_PROYECTOS!$A:$N,10,FALSE)="", IF(VLOOKUP(A209,04_PROYECTOS!$A:$N,4,FALSE)="Privado", INDEX(02B_ESCENARIOS!$B$4:$D$11, MATCH("DSO_PRIVADO_DEFAULT", 02B_ESCENARIOS!$A$4:$A$11, 0), MATCH("Agresivo", 02B_ESCENARIOS!$B$3:$D$3, 0)), IF(VLOOKUP(A209,04_PROYECTOS!$A:$N,4,FALSE)="Publico_&lt;10M",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VLOOKUP(A209,04_PROYECTOS!$A:$N,10,FALSE))</f>
        <v/>
      </c>
      <c r="I209">
        <f>ROUNDUP(H209/30,0)</f>
        <v/>
      </c>
      <c r="J209">
        <f>EDATE(C209,I209)</f>
        <v/>
      </c>
      <c r="K209">
        <f>G209</f>
        <v/>
      </c>
    </row>
    <row r="210">
      <c r="E210">
        <f>D210*VLOOKUP(A210,04_PROYECTOS!$A:$N,5,FALSE)*(INDEX(02B_ESCENARIOS!$B$4:$D$11, MATCH("MULT_PRECIO", 02B_ESCENARIOS!$A$4:$A$11, 0), MATCH("Agresivo", 02B_ESCENARIOS!$B$3:$D$3, 0)))*INDEX(02B_ESCENARIOS!$B$15:$D$19, MATCH(VLOOKUP(A210,04_PROYECTOS!$A:$N,9,FALSE), 02B_ESCENARIOS!$A$15:$A$19, 0), MATCH("Agresivo", 02B_ESCENARIOS!$B$14:$D$14, 0))</f>
        <v/>
      </c>
      <c r="F210">
        <f>E210*VLOOKUP(A210,04_PROYECTOS!$A:$N,6,FALSE)</f>
        <v/>
      </c>
      <c r="G210">
        <f>E210+F210</f>
        <v/>
      </c>
      <c r="H210">
        <f>IF(VLOOKUP(A210,04_PROYECTOS!$A:$N,10,FALSE)="", IF(VLOOKUP(A210,04_PROYECTOS!$A:$N,4,FALSE)="Privado", INDEX(02B_ESCENARIOS!$B$4:$D$11, MATCH("DSO_PRIVADO_DEFAULT", 02B_ESCENARIOS!$A$4:$A$11, 0), MATCH("Agresivo", 02B_ESCENARIOS!$B$3:$D$3, 0)), IF(VLOOKUP(A210,04_PROYECTOS!$A:$N,4,FALSE)="Publico_&lt;10M",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VLOOKUP(A210,04_PROYECTOS!$A:$N,10,FALSE))</f>
        <v/>
      </c>
      <c r="I210">
        <f>ROUNDUP(H210/30,0)</f>
        <v/>
      </c>
      <c r="J210">
        <f>EDATE(C210,I210)</f>
        <v/>
      </c>
      <c r="K210">
        <f>G210</f>
        <v/>
      </c>
    </row>
    <row r="211">
      <c r="E211">
        <f>D211*VLOOKUP(A211,04_PROYECTOS!$A:$N,5,FALSE)*(INDEX(02B_ESCENARIOS!$B$4:$D$11, MATCH("MULT_PRECIO", 02B_ESCENARIOS!$A$4:$A$11, 0), MATCH("Agresivo", 02B_ESCENARIOS!$B$3:$D$3, 0)))*INDEX(02B_ESCENARIOS!$B$15:$D$19, MATCH(VLOOKUP(A211,04_PROYECTOS!$A:$N,9,FALSE), 02B_ESCENARIOS!$A$15:$A$19, 0), MATCH("Agresivo", 02B_ESCENARIOS!$B$14:$D$14, 0))</f>
        <v/>
      </c>
      <c r="F211">
        <f>E211*VLOOKUP(A211,04_PROYECTOS!$A:$N,6,FALSE)</f>
        <v/>
      </c>
      <c r="G211">
        <f>E211+F211</f>
        <v/>
      </c>
      <c r="H211">
        <f>IF(VLOOKUP(A211,04_PROYECTOS!$A:$N,10,FALSE)="", IF(VLOOKUP(A211,04_PROYECTOS!$A:$N,4,FALSE)="Privado", INDEX(02B_ESCENARIOS!$B$4:$D$11, MATCH("DSO_PRIVADO_DEFAULT", 02B_ESCENARIOS!$A$4:$A$11, 0), MATCH("Agresivo", 02B_ESCENARIOS!$B$3:$D$3, 0)), IF(VLOOKUP(A211,04_PROYECTOS!$A:$N,4,FALSE)="Publico_&lt;10M",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VLOOKUP(A211,04_PROYECTOS!$A:$N,10,FALSE))</f>
        <v/>
      </c>
      <c r="I211">
        <f>ROUNDUP(H211/30,0)</f>
        <v/>
      </c>
      <c r="J211">
        <f>EDATE(C211,I211)</f>
        <v/>
      </c>
      <c r="K211">
        <f>G211</f>
        <v/>
      </c>
    </row>
    <row r="212">
      <c r="E212">
        <f>D212*VLOOKUP(A212,04_PROYECTOS!$A:$N,5,FALSE)*(INDEX(02B_ESCENARIOS!$B$4:$D$11, MATCH("MULT_PRECIO", 02B_ESCENARIOS!$A$4:$A$11, 0), MATCH("Agresivo", 02B_ESCENARIOS!$B$3:$D$3, 0)))*INDEX(02B_ESCENARIOS!$B$15:$D$19, MATCH(VLOOKUP(A212,04_PROYECTOS!$A:$N,9,FALSE), 02B_ESCENARIOS!$A$15:$A$19, 0), MATCH("Agresivo", 02B_ESCENARIOS!$B$14:$D$14, 0))</f>
        <v/>
      </c>
      <c r="F212">
        <f>E212*VLOOKUP(A212,04_PROYECTOS!$A:$N,6,FALSE)</f>
        <v/>
      </c>
      <c r="G212">
        <f>E212+F212</f>
        <v/>
      </c>
      <c r="H212">
        <f>IF(VLOOKUP(A212,04_PROYECTOS!$A:$N,10,FALSE)="", IF(VLOOKUP(A212,04_PROYECTOS!$A:$N,4,FALSE)="Privado", INDEX(02B_ESCENARIOS!$B$4:$D$11, MATCH("DSO_PRIVADO_DEFAULT", 02B_ESCENARIOS!$A$4:$A$11, 0), MATCH("Agresivo", 02B_ESCENARIOS!$B$3:$D$3, 0)), IF(VLOOKUP(A212,04_PROYECTOS!$A:$N,4,FALSE)="Publico_&lt;10M",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VLOOKUP(A212,04_PROYECTOS!$A:$N,10,FALSE))</f>
        <v/>
      </c>
      <c r="I212">
        <f>ROUNDUP(H212/30,0)</f>
        <v/>
      </c>
      <c r="J212">
        <f>EDATE(C212,I212)</f>
        <v/>
      </c>
      <c r="K212">
        <f>G212</f>
        <v/>
      </c>
    </row>
    <row r="213">
      <c r="E213">
        <f>D213*VLOOKUP(A213,04_PROYECTOS!$A:$N,5,FALSE)*(INDEX(02B_ESCENARIOS!$B$4:$D$11, MATCH("MULT_PRECIO", 02B_ESCENARIOS!$A$4:$A$11, 0), MATCH("Agresivo", 02B_ESCENARIOS!$B$3:$D$3, 0)))*INDEX(02B_ESCENARIOS!$B$15:$D$19, MATCH(VLOOKUP(A213,04_PROYECTOS!$A:$N,9,FALSE), 02B_ESCENARIOS!$A$15:$A$19, 0), MATCH("Agresivo", 02B_ESCENARIOS!$B$14:$D$14, 0))</f>
        <v/>
      </c>
      <c r="F213">
        <f>E213*VLOOKUP(A213,04_PROYECTOS!$A:$N,6,FALSE)</f>
        <v/>
      </c>
      <c r="G213">
        <f>E213+F213</f>
        <v/>
      </c>
      <c r="H213">
        <f>IF(VLOOKUP(A213,04_PROYECTOS!$A:$N,10,FALSE)="", IF(VLOOKUP(A213,04_PROYECTOS!$A:$N,4,FALSE)="Privado", INDEX(02B_ESCENARIOS!$B$4:$D$11, MATCH("DSO_PRIVADO_DEFAULT", 02B_ESCENARIOS!$A$4:$A$11, 0), MATCH("Agresivo", 02B_ESCENARIOS!$B$3:$D$3, 0)), IF(VLOOKUP(A213,04_PROYECTOS!$A:$N,4,FALSE)="Publico_&lt;10M",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VLOOKUP(A213,04_PROYECTOS!$A:$N,10,FALSE))</f>
        <v/>
      </c>
      <c r="I213">
        <f>ROUNDUP(H213/30,0)</f>
        <v/>
      </c>
      <c r="J213">
        <f>EDATE(C213,I213)</f>
        <v/>
      </c>
      <c r="K213">
        <f>G213</f>
        <v/>
      </c>
    </row>
    <row r="214">
      <c r="E214">
        <f>D214*VLOOKUP(A214,04_PROYECTOS!$A:$N,5,FALSE)*(INDEX(02B_ESCENARIOS!$B$4:$D$11, MATCH("MULT_PRECIO", 02B_ESCENARIOS!$A$4:$A$11, 0), MATCH("Agresivo", 02B_ESCENARIOS!$B$3:$D$3, 0)))*INDEX(02B_ESCENARIOS!$B$15:$D$19, MATCH(VLOOKUP(A214,04_PROYECTOS!$A:$N,9,FALSE), 02B_ESCENARIOS!$A$15:$A$19, 0), MATCH("Agresivo", 02B_ESCENARIOS!$B$14:$D$14, 0))</f>
        <v/>
      </c>
      <c r="F214">
        <f>E214*VLOOKUP(A214,04_PROYECTOS!$A:$N,6,FALSE)</f>
        <v/>
      </c>
      <c r="G214">
        <f>E214+F214</f>
        <v/>
      </c>
      <c r="H214">
        <f>IF(VLOOKUP(A214,04_PROYECTOS!$A:$N,10,FALSE)="", IF(VLOOKUP(A214,04_PROYECTOS!$A:$N,4,FALSE)="Privado", INDEX(02B_ESCENARIOS!$B$4:$D$11, MATCH("DSO_PRIVADO_DEFAULT", 02B_ESCENARIOS!$A$4:$A$11, 0), MATCH("Agresivo", 02B_ESCENARIOS!$B$3:$D$3, 0)), IF(VLOOKUP(A214,04_PROYECTOS!$A:$N,4,FALSE)="Publico_&lt;10M",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VLOOKUP(A214,04_PROYECTOS!$A:$N,10,FALSE))</f>
        <v/>
      </c>
      <c r="I214">
        <f>ROUNDUP(H214/30,0)</f>
        <v/>
      </c>
      <c r="J214">
        <f>EDATE(C214,I214)</f>
        <v/>
      </c>
      <c r="K214">
        <f>G214</f>
        <v/>
      </c>
    </row>
    <row r="215">
      <c r="E215">
        <f>D215*VLOOKUP(A215,04_PROYECTOS!$A:$N,5,FALSE)*(INDEX(02B_ESCENARIOS!$B$4:$D$11, MATCH("MULT_PRECIO", 02B_ESCENARIOS!$A$4:$A$11, 0), MATCH("Agresivo", 02B_ESCENARIOS!$B$3:$D$3, 0)))*INDEX(02B_ESCENARIOS!$B$15:$D$19, MATCH(VLOOKUP(A215,04_PROYECTOS!$A:$N,9,FALSE), 02B_ESCENARIOS!$A$15:$A$19, 0), MATCH("Agresivo", 02B_ESCENARIOS!$B$14:$D$14, 0))</f>
        <v/>
      </c>
      <c r="F215">
        <f>E215*VLOOKUP(A215,04_PROYECTOS!$A:$N,6,FALSE)</f>
        <v/>
      </c>
      <c r="G215">
        <f>E215+F215</f>
        <v/>
      </c>
      <c r="H215">
        <f>IF(VLOOKUP(A215,04_PROYECTOS!$A:$N,10,FALSE)="", IF(VLOOKUP(A215,04_PROYECTOS!$A:$N,4,FALSE)="Privado", INDEX(02B_ESCENARIOS!$B$4:$D$11, MATCH("DSO_PRIVADO_DEFAULT", 02B_ESCENARIOS!$A$4:$A$11, 0), MATCH("Agresivo", 02B_ESCENARIOS!$B$3:$D$3, 0)), IF(VLOOKUP(A215,04_PROYECTOS!$A:$N,4,FALSE)="Publico_&lt;10M",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VLOOKUP(A215,04_PROYECTOS!$A:$N,10,FALSE))</f>
        <v/>
      </c>
      <c r="I215">
        <f>ROUNDUP(H215/30,0)</f>
        <v/>
      </c>
      <c r="J215">
        <f>EDATE(C215,I215)</f>
        <v/>
      </c>
      <c r="K215">
        <f>G215</f>
        <v/>
      </c>
    </row>
    <row r="216">
      <c r="E216">
        <f>D216*VLOOKUP(A216,04_PROYECTOS!$A:$N,5,FALSE)*(INDEX(02B_ESCENARIOS!$B$4:$D$11, MATCH("MULT_PRECIO", 02B_ESCENARIOS!$A$4:$A$11, 0), MATCH("Agresivo", 02B_ESCENARIOS!$B$3:$D$3, 0)))*INDEX(02B_ESCENARIOS!$B$15:$D$19, MATCH(VLOOKUP(A216,04_PROYECTOS!$A:$N,9,FALSE), 02B_ESCENARIOS!$A$15:$A$19, 0), MATCH("Agresivo", 02B_ESCENARIOS!$B$14:$D$14, 0))</f>
        <v/>
      </c>
      <c r="F216">
        <f>E216*VLOOKUP(A216,04_PROYECTOS!$A:$N,6,FALSE)</f>
        <v/>
      </c>
      <c r="G216">
        <f>E216+F216</f>
        <v/>
      </c>
      <c r="H216">
        <f>IF(VLOOKUP(A216,04_PROYECTOS!$A:$N,10,FALSE)="", IF(VLOOKUP(A216,04_PROYECTOS!$A:$N,4,FALSE)="Privado", INDEX(02B_ESCENARIOS!$B$4:$D$11, MATCH("DSO_PRIVADO_DEFAULT", 02B_ESCENARIOS!$A$4:$A$11, 0), MATCH("Agresivo", 02B_ESCENARIOS!$B$3:$D$3, 0)), IF(VLOOKUP(A216,04_PROYECTOS!$A:$N,4,FALSE)="Publico_&lt;10M",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VLOOKUP(A216,04_PROYECTOS!$A:$N,10,FALSE))</f>
        <v/>
      </c>
      <c r="I216">
        <f>ROUNDUP(H216/30,0)</f>
        <v/>
      </c>
      <c r="J216">
        <f>EDATE(C216,I216)</f>
        <v/>
      </c>
      <c r="K216">
        <f>G216</f>
        <v/>
      </c>
    </row>
    <row r="217">
      <c r="E217">
        <f>D217*VLOOKUP(A217,04_PROYECTOS!$A:$N,5,FALSE)*(INDEX(02B_ESCENARIOS!$B$4:$D$11, MATCH("MULT_PRECIO", 02B_ESCENARIOS!$A$4:$A$11, 0), MATCH("Agresivo", 02B_ESCENARIOS!$B$3:$D$3, 0)))*INDEX(02B_ESCENARIOS!$B$15:$D$19, MATCH(VLOOKUP(A217,04_PROYECTOS!$A:$N,9,FALSE), 02B_ESCENARIOS!$A$15:$A$19, 0), MATCH("Agresivo", 02B_ESCENARIOS!$B$14:$D$14, 0))</f>
        <v/>
      </c>
      <c r="F217">
        <f>E217*VLOOKUP(A217,04_PROYECTOS!$A:$N,6,FALSE)</f>
        <v/>
      </c>
      <c r="G217">
        <f>E217+F217</f>
        <v/>
      </c>
      <c r="H217">
        <f>IF(VLOOKUP(A217,04_PROYECTOS!$A:$N,10,FALSE)="", IF(VLOOKUP(A217,04_PROYECTOS!$A:$N,4,FALSE)="Privado", INDEX(02B_ESCENARIOS!$B$4:$D$11, MATCH("DSO_PRIVADO_DEFAULT", 02B_ESCENARIOS!$A$4:$A$11, 0), MATCH("Agresivo", 02B_ESCENARIOS!$B$3:$D$3, 0)), IF(VLOOKUP(A217,04_PROYECTOS!$A:$N,4,FALSE)="Publico_&lt;10M",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VLOOKUP(A217,04_PROYECTOS!$A:$N,10,FALSE))</f>
        <v/>
      </c>
      <c r="I217">
        <f>ROUNDUP(H217/30,0)</f>
        <v/>
      </c>
      <c r="J217">
        <f>EDATE(C217,I217)</f>
        <v/>
      </c>
      <c r="K217">
        <f>G217</f>
        <v/>
      </c>
    </row>
    <row r="218">
      <c r="E218">
        <f>D218*VLOOKUP(A218,04_PROYECTOS!$A:$N,5,FALSE)*(INDEX(02B_ESCENARIOS!$B$4:$D$11, MATCH("MULT_PRECIO", 02B_ESCENARIOS!$A$4:$A$11, 0), MATCH("Agresivo", 02B_ESCENARIOS!$B$3:$D$3, 0)))*INDEX(02B_ESCENARIOS!$B$15:$D$19, MATCH(VLOOKUP(A218,04_PROYECTOS!$A:$N,9,FALSE), 02B_ESCENARIOS!$A$15:$A$19, 0), MATCH("Agresivo", 02B_ESCENARIOS!$B$14:$D$14, 0))</f>
        <v/>
      </c>
      <c r="F218">
        <f>E218*VLOOKUP(A218,04_PROYECTOS!$A:$N,6,FALSE)</f>
        <v/>
      </c>
      <c r="G218">
        <f>E218+F218</f>
        <v/>
      </c>
      <c r="H218">
        <f>IF(VLOOKUP(A218,04_PROYECTOS!$A:$N,10,FALSE)="", IF(VLOOKUP(A218,04_PROYECTOS!$A:$N,4,FALSE)="Privado", INDEX(02B_ESCENARIOS!$B$4:$D$11, MATCH("DSO_PRIVADO_DEFAULT", 02B_ESCENARIOS!$A$4:$A$11, 0), MATCH("Agresivo", 02B_ESCENARIOS!$B$3:$D$3, 0)), IF(VLOOKUP(A218,04_PROYECTOS!$A:$N,4,FALSE)="Publico_&lt;10M",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VLOOKUP(A218,04_PROYECTOS!$A:$N,10,FALSE))</f>
        <v/>
      </c>
      <c r="I218">
        <f>ROUNDUP(H218/30,0)</f>
        <v/>
      </c>
      <c r="J218">
        <f>EDATE(C218,I218)</f>
        <v/>
      </c>
      <c r="K218">
        <f>G218</f>
        <v/>
      </c>
    </row>
    <row r="219">
      <c r="E219">
        <f>D219*VLOOKUP(A219,04_PROYECTOS!$A:$N,5,FALSE)*(INDEX(02B_ESCENARIOS!$B$4:$D$11, MATCH("MULT_PRECIO", 02B_ESCENARIOS!$A$4:$A$11, 0), MATCH("Agresivo", 02B_ESCENARIOS!$B$3:$D$3, 0)))*INDEX(02B_ESCENARIOS!$B$15:$D$19, MATCH(VLOOKUP(A219,04_PROYECTOS!$A:$N,9,FALSE), 02B_ESCENARIOS!$A$15:$A$19, 0), MATCH("Agresivo", 02B_ESCENARIOS!$B$14:$D$14, 0))</f>
        <v/>
      </c>
      <c r="F219">
        <f>E219*VLOOKUP(A219,04_PROYECTOS!$A:$N,6,FALSE)</f>
        <v/>
      </c>
      <c r="G219">
        <f>E219+F219</f>
        <v/>
      </c>
      <c r="H219">
        <f>IF(VLOOKUP(A219,04_PROYECTOS!$A:$N,10,FALSE)="", IF(VLOOKUP(A219,04_PROYECTOS!$A:$N,4,FALSE)="Privado", INDEX(02B_ESCENARIOS!$B$4:$D$11, MATCH("DSO_PRIVADO_DEFAULT", 02B_ESCENARIOS!$A$4:$A$11, 0), MATCH("Agresivo", 02B_ESCENARIOS!$B$3:$D$3, 0)), IF(VLOOKUP(A219,04_PROYECTOS!$A:$N,4,FALSE)="Publico_&lt;10M",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VLOOKUP(A219,04_PROYECTOS!$A:$N,10,FALSE))</f>
        <v/>
      </c>
      <c r="I219">
        <f>ROUNDUP(H219/30,0)</f>
        <v/>
      </c>
      <c r="J219">
        <f>EDATE(C219,I219)</f>
        <v/>
      </c>
      <c r="K219">
        <f>G219</f>
        <v/>
      </c>
    </row>
    <row r="220">
      <c r="E220">
        <f>D220*VLOOKUP(A220,04_PROYECTOS!$A:$N,5,FALSE)*(INDEX(02B_ESCENARIOS!$B$4:$D$11, MATCH("MULT_PRECIO", 02B_ESCENARIOS!$A$4:$A$11, 0), MATCH("Agresivo", 02B_ESCENARIOS!$B$3:$D$3, 0)))*INDEX(02B_ESCENARIOS!$B$15:$D$19, MATCH(VLOOKUP(A220,04_PROYECTOS!$A:$N,9,FALSE), 02B_ESCENARIOS!$A$15:$A$19, 0), MATCH("Agresivo", 02B_ESCENARIOS!$B$14:$D$14, 0))</f>
        <v/>
      </c>
      <c r="F220">
        <f>E220*VLOOKUP(A220,04_PROYECTOS!$A:$N,6,FALSE)</f>
        <v/>
      </c>
      <c r="G220">
        <f>E220+F220</f>
        <v/>
      </c>
      <c r="H220">
        <f>IF(VLOOKUP(A220,04_PROYECTOS!$A:$N,10,FALSE)="", IF(VLOOKUP(A220,04_PROYECTOS!$A:$N,4,FALSE)="Privado", INDEX(02B_ESCENARIOS!$B$4:$D$11, MATCH("DSO_PRIVADO_DEFAULT", 02B_ESCENARIOS!$A$4:$A$11, 0), MATCH("Agresivo", 02B_ESCENARIOS!$B$3:$D$3, 0)), IF(VLOOKUP(A220,04_PROYECTOS!$A:$N,4,FALSE)="Publico_&lt;10M",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VLOOKUP(A220,04_PROYECTOS!$A:$N,10,FALSE))</f>
        <v/>
      </c>
      <c r="I220">
        <f>ROUNDUP(H220/30,0)</f>
        <v/>
      </c>
      <c r="J220">
        <f>EDATE(C220,I220)</f>
        <v/>
      </c>
      <c r="K220">
        <f>G220</f>
        <v/>
      </c>
    </row>
    <row r="221">
      <c r="E221">
        <f>D221*VLOOKUP(A221,04_PROYECTOS!$A:$N,5,FALSE)*(INDEX(02B_ESCENARIOS!$B$4:$D$11, MATCH("MULT_PRECIO", 02B_ESCENARIOS!$A$4:$A$11, 0), MATCH("Agresivo", 02B_ESCENARIOS!$B$3:$D$3, 0)))*INDEX(02B_ESCENARIOS!$B$15:$D$19, MATCH(VLOOKUP(A221,04_PROYECTOS!$A:$N,9,FALSE), 02B_ESCENARIOS!$A$15:$A$19, 0), MATCH("Agresivo", 02B_ESCENARIOS!$B$14:$D$14, 0))</f>
        <v/>
      </c>
      <c r="F221">
        <f>E221*VLOOKUP(A221,04_PROYECTOS!$A:$N,6,FALSE)</f>
        <v/>
      </c>
      <c r="G221">
        <f>E221+F221</f>
        <v/>
      </c>
      <c r="H221">
        <f>IF(VLOOKUP(A221,04_PROYECTOS!$A:$N,10,FALSE)="", IF(VLOOKUP(A221,04_PROYECTOS!$A:$N,4,FALSE)="Privado", INDEX(02B_ESCENARIOS!$B$4:$D$11, MATCH("DSO_PRIVADO_DEFAULT", 02B_ESCENARIOS!$A$4:$A$11, 0), MATCH("Agresivo", 02B_ESCENARIOS!$B$3:$D$3, 0)), IF(VLOOKUP(A221,04_PROYECTOS!$A:$N,4,FALSE)="Publico_&lt;10M",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VLOOKUP(A221,04_PROYECTOS!$A:$N,10,FALSE))</f>
        <v/>
      </c>
      <c r="I221">
        <f>ROUNDUP(H221/30,0)</f>
        <v/>
      </c>
      <c r="J221">
        <f>EDATE(C221,I221)</f>
        <v/>
      </c>
      <c r="K221">
        <f>G221</f>
        <v/>
      </c>
    </row>
    <row r="222">
      <c r="E222">
        <f>D222*VLOOKUP(A222,04_PROYECTOS!$A:$N,5,FALSE)*(INDEX(02B_ESCENARIOS!$B$4:$D$11, MATCH("MULT_PRECIO", 02B_ESCENARIOS!$A$4:$A$11, 0), MATCH("Agresivo", 02B_ESCENARIOS!$B$3:$D$3, 0)))*INDEX(02B_ESCENARIOS!$B$15:$D$19, MATCH(VLOOKUP(A222,04_PROYECTOS!$A:$N,9,FALSE), 02B_ESCENARIOS!$A$15:$A$19, 0), MATCH("Agresivo", 02B_ESCENARIOS!$B$14:$D$14, 0))</f>
        <v/>
      </c>
      <c r="F222">
        <f>E222*VLOOKUP(A222,04_PROYECTOS!$A:$N,6,FALSE)</f>
        <v/>
      </c>
      <c r="G222">
        <f>E222+F222</f>
        <v/>
      </c>
      <c r="H222">
        <f>IF(VLOOKUP(A222,04_PROYECTOS!$A:$N,10,FALSE)="", IF(VLOOKUP(A222,04_PROYECTOS!$A:$N,4,FALSE)="Privado", INDEX(02B_ESCENARIOS!$B$4:$D$11, MATCH("DSO_PRIVADO_DEFAULT", 02B_ESCENARIOS!$A$4:$A$11, 0), MATCH("Agresivo", 02B_ESCENARIOS!$B$3:$D$3, 0)), IF(VLOOKUP(A222,04_PROYECTOS!$A:$N,4,FALSE)="Publico_&lt;10M",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VLOOKUP(A222,04_PROYECTOS!$A:$N,10,FALSE))</f>
        <v/>
      </c>
      <c r="I222">
        <f>ROUNDUP(H222/30,0)</f>
        <v/>
      </c>
      <c r="J222">
        <f>EDATE(C222,I222)</f>
        <v/>
      </c>
      <c r="K222">
        <f>G222</f>
        <v/>
      </c>
    </row>
    <row r="223">
      <c r="E223">
        <f>D223*VLOOKUP(A223,04_PROYECTOS!$A:$N,5,FALSE)*(INDEX(02B_ESCENARIOS!$B$4:$D$11, MATCH("MULT_PRECIO", 02B_ESCENARIOS!$A$4:$A$11, 0), MATCH("Agresivo", 02B_ESCENARIOS!$B$3:$D$3, 0)))*INDEX(02B_ESCENARIOS!$B$15:$D$19, MATCH(VLOOKUP(A223,04_PROYECTOS!$A:$N,9,FALSE), 02B_ESCENARIOS!$A$15:$A$19, 0), MATCH("Agresivo", 02B_ESCENARIOS!$B$14:$D$14, 0))</f>
        <v/>
      </c>
      <c r="F223">
        <f>E223*VLOOKUP(A223,04_PROYECTOS!$A:$N,6,FALSE)</f>
        <v/>
      </c>
      <c r="G223">
        <f>E223+F223</f>
        <v/>
      </c>
      <c r="H223">
        <f>IF(VLOOKUP(A223,04_PROYECTOS!$A:$N,10,FALSE)="", IF(VLOOKUP(A223,04_PROYECTOS!$A:$N,4,FALSE)="Privado", INDEX(02B_ESCENARIOS!$B$4:$D$11, MATCH("DSO_PRIVADO_DEFAULT", 02B_ESCENARIOS!$A$4:$A$11, 0), MATCH("Agresivo", 02B_ESCENARIOS!$B$3:$D$3, 0)), IF(VLOOKUP(A223,04_PROYECTOS!$A:$N,4,FALSE)="Publico_&lt;10M",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VLOOKUP(A223,04_PROYECTOS!$A:$N,10,FALSE))</f>
        <v/>
      </c>
      <c r="I223">
        <f>ROUNDUP(H223/30,0)</f>
        <v/>
      </c>
      <c r="J223">
        <f>EDATE(C223,I223)</f>
        <v/>
      </c>
      <c r="K223">
        <f>G223</f>
        <v/>
      </c>
    </row>
    <row r="224">
      <c r="E224">
        <f>D224*VLOOKUP(A224,04_PROYECTOS!$A:$N,5,FALSE)*(INDEX(02B_ESCENARIOS!$B$4:$D$11, MATCH("MULT_PRECIO", 02B_ESCENARIOS!$A$4:$A$11, 0), MATCH("Agresivo", 02B_ESCENARIOS!$B$3:$D$3, 0)))*INDEX(02B_ESCENARIOS!$B$15:$D$19, MATCH(VLOOKUP(A224,04_PROYECTOS!$A:$N,9,FALSE), 02B_ESCENARIOS!$A$15:$A$19, 0), MATCH("Agresivo", 02B_ESCENARIOS!$B$14:$D$14, 0))</f>
        <v/>
      </c>
      <c r="F224">
        <f>E224*VLOOKUP(A224,04_PROYECTOS!$A:$N,6,FALSE)</f>
        <v/>
      </c>
      <c r="G224">
        <f>E224+F224</f>
        <v/>
      </c>
      <c r="H224">
        <f>IF(VLOOKUP(A224,04_PROYECTOS!$A:$N,10,FALSE)="", IF(VLOOKUP(A224,04_PROYECTOS!$A:$N,4,FALSE)="Privado", INDEX(02B_ESCENARIOS!$B$4:$D$11, MATCH("DSO_PRIVADO_DEFAULT", 02B_ESCENARIOS!$A$4:$A$11, 0), MATCH("Agresivo", 02B_ESCENARIOS!$B$3:$D$3, 0)), IF(VLOOKUP(A224,04_PROYECTOS!$A:$N,4,FALSE)="Publico_&lt;10M",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VLOOKUP(A224,04_PROYECTOS!$A:$N,10,FALSE))</f>
        <v/>
      </c>
      <c r="I224">
        <f>ROUNDUP(H224/30,0)</f>
        <v/>
      </c>
      <c r="J224">
        <f>EDATE(C224,I224)</f>
        <v/>
      </c>
      <c r="K224">
        <f>G224</f>
        <v/>
      </c>
    </row>
    <row r="225">
      <c r="E225">
        <f>D225*VLOOKUP(A225,04_PROYECTOS!$A:$N,5,FALSE)*(INDEX(02B_ESCENARIOS!$B$4:$D$11, MATCH("MULT_PRECIO", 02B_ESCENARIOS!$A$4:$A$11, 0), MATCH("Agresivo", 02B_ESCENARIOS!$B$3:$D$3, 0)))*INDEX(02B_ESCENARIOS!$B$15:$D$19, MATCH(VLOOKUP(A225,04_PROYECTOS!$A:$N,9,FALSE), 02B_ESCENARIOS!$A$15:$A$19, 0), MATCH("Agresivo", 02B_ESCENARIOS!$B$14:$D$14, 0))</f>
        <v/>
      </c>
      <c r="F225">
        <f>E225*VLOOKUP(A225,04_PROYECTOS!$A:$N,6,FALSE)</f>
        <v/>
      </c>
      <c r="G225">
        <f>E225+F225</f>
        <v/>
      </c>
      <c r="H225">
        <f>IF(VLOOKUP(A225,04_PROYECTOS!$A:$N,10,FALSE)="", IF(VLOOKUP(A225,04_PROYECTOS!$A:$N,4,FALSE)="Privado", INDEX(02B_ESCENARIOS!$B$4:$D$11, MATCH("DSO_PRIVADO_DEFAULT", 02B_ESCENARIOS!$A$4:$A$11, 0), MATCH("Agresivo", 02B_ESCENARIOS!$B$3:$D$3, 0)), IF(VLOOKUP(A225,04_PROYECTOS!$A:$N,4,FALSE)="Publico_&lt;10M",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VLOOKUP(A225,04_PROYECTOS!$A:$N,10,FALSE))</f>
        <v/>
      </c>
      <c r="I225">
        <f>ROUNDUP(H225/30,0)</f>
        <v/>
      </c>
      <c r="J225">
        <f>EDATE(C225,I225)</f>
        <v/>
      </c>
      <c r="K225">
        <f>G225</f>
        <v/>
      </c>
    </row>
    <row r="226">
      <c r="E226">
        <f>D226*VLOOKUP(A226,04_PROYECTOS!$A:$N,5,FALSE)*(INDEX(02B_ESCENARIOS!$B$4:$D$11, MATCH("MULT_PRECIO", 02B_ESCENARIOS!$A$4:$A$11, 0), MATCH("Agresivo", 02B_ESCENARIOS!$B$3:$D$3, 0)))*INDEX(02B_ESCENARIOS!$B$15:$D$19, MATCH(VLOOKUP(A226,04_PROYECTOS!$A:$N,9,FALSE), 02B_ESCENARIOS!$A$15:$A$19, 0), MATCH("Agresivo", 02B_ESCENARIOS!$B$14:$D$14, 0))</f>
        <v/>
      </c>
      <c r="F226">
        <f>E226*VLOOKUP(A226,04_PROYECTOS!$A:$N,6,FALSE)</f>
        <v/>
      </c>
      <c r="G226">
        <f>E226+F226</f>
        <v/>
      </c>
      <c r="H226">
        <f>IF(VLOOKUP(A226,04_PROYECTOS!$A:$N,10,FALSE)="", IF(VLOOKUP(A226,04_PROYECTOS!$A:$N,4,FALSE)="Privado", INDEX(02B_ESCENARIOS!$B$4:$D$11, MATCH("DSO_PRIVADO_DEFAULT", 02B_ESCENARIOS!$A$4:$A$11, 0), MATCH("Agresivo", 02B_ESCENARIOS!$B$3:$D$3, 0)), IF(VLOOKUP(A226,04_PROYECTOS!$A:$N,4,FALSE)="Publico_&lt;10M",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VLOOKUP(A226,04_PROYECTOS!$A:$N,10,FALSE))</f>
        <v/>
      </c>
      <c r="I226">
        <f>ROUNDUP(H226/30,0)</f>
        <v/>
      </c>
      <c r="J226">
        <f>EDATE(C226,I226)</f>
        <v/>
      </c>
      <c r="K226">
        <f>G226</f>
        <v/>
      </c>
    </row>
    <row r="227">
      <c r="E227">
        <f>D227*VLOOKUP(A227,04_PROYECTOS!$A:$N,5,FALSE)*(INDEX(02B_ESCENARIOS!$B$4:$D$11, MATCH("MULT_PRECIO", 02B_ESCENARIOS!$A$4:$A$11, 0), MATCH("Agresivo", 02B_ESCENARIOS!$B$3:$D$3, 0)))*INDEX(02B_ESCENARIOS!$B$15:$D$19, MATCH(VLOOKUP(A227,04_PROYECTOS!$A:$N,9,FALSE), 02B_ESCENARIOS!$A$15:$A$19, 0), MATCH("Agresivo", 02B_ESCENARIOS!$B$14:$D$14, 0))</f>
        <v/>
      </c>
      <c r="F227">
        <f>E227*VLOOKUP(A227,04_PROYECTOS!$A:$N,6,FALSE)</f>
        <v/>
      </c>
      <c r="G227">
        <f>E227+F227</f>
        <v/>
      </c>
      <c r="H227">
        <f>IF(VLOOKUP(A227,04_PROYECTOS!$A:$N,10,FALSE)="", IF(VLOOKUP(A227,04_PROYECTOS!$A:$N,4,FALSE)="Privado", INDEX(02B_ESCENARIOS!$B$4:$D$11, MATCH("DSO_PRIVADO_DEFAULT", 02B_ESCENARIOS!$A$4:$A$11, 0), MATCH("Agresivo", 02B_ESCENARIOS!$B$3:$D$3, 0)), IF(VLOOKUP(A227,04_PROYECTOS!$A:$N,4,FALSE)="Publico_&lt;10M",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VLOOKUP(A227,04_PROYECTOS!$A:$N,10,FALSE))</f>
        <v/>
      </c>
      <c r="I227">
        <f>ROUNDUP(H227/30,0)</f>
        <v/>
      </c>
      <c r="J227">
        <f>EDATE(C227,I227)</f>
        <v/>
      </c>
      <c r="K227">
        <f>G227</f>
        <v/>
      </c>
    </row>
    <row r="228">
      <c r="E228">
        <f>D228*VLOOKUP(A228,04_PROYECTOS!$A:$N,5,FALSE)*(INDEX(02B_ESCENARIOS!$B$4:$D$11, MATCH("MULT_PRECIO", 02B_ESCENARIOS!$A$4:$A$11, 0), MATCH("Agresivo", 02B_ESCENARIOS!$B$3:$D$3, 0)))*INDEX(02B_ESCENARIOS!$B$15:$D$19, MATCH(VLOOKUP(A228,04_PROYECTOS!$A:$N,9,FALSE), 02B_ESCENARIOS!$A$15:$A$19, 0), MATCH("Agresivo", 02B_ESCENARIOS!$B$14:$D$14, 0))</f>
        <v/>
      </c>
      <c r="F228">
        <f>E228*VLOOKUP(A228,04_PROYECTOS!$A:$N,6,FALSE)</f>
        <v/>
      </c>
      <c r="G228">
        <f>E228+F228</f>
        <v/>
      </c>
      <c r="H228">
        <f>IF(VLOOKUP(A228,04_PROYECTOS!$A:$N,10,FALSE)="", IF(VLOOKUP(A228,04_PROYECTOS!$A:$N,4,FALSE)="Privado", INDEX(02B_ESCENARIOS!$B$4:$D$11, MATCH("DSO_PRIVADO_DEFAULT", 02B_ESCENARIOS!$A$4:$A$11, 0), MATCH("Agresivo", 02B_ESCENARIOS!$B$3:$D$3, 0)), IF(VLOOKUP(A228,04_PROYECTOS!$A:$N,4,FALSE)="Publico_&lt;10M",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VLOOKUP(A228,04_PROYECTOS!$A:$N,10,FALSE))</f>
        <v/>
      </c>
      <c r="I228">
        <f>ROUNDUP(H228/30,0)</f>
        <v/>
      </c>
      <c r="J228">
        <f>EDATE(C228,I228)</f>
        <v/>
      </c>
      <c r="K228">
        <f>G228</f>
        <v/>
      </c>
    </row>
    <row r="229">
      <c r="E229">
        <f>D229*VLOOKUP(A229,04_PROYECTOS!$A:$N,5,FALSE)*(INDEX(02B_ESCENARIOS!$B$4:$D$11, MATCH("MULT_PRECIO", 02B_ESCENARIOS!$A$4:$A$11, 0), MATCH("Agresivo", 02B_ESCENARIOS!$B$3:$D$3, 0)))*INDEX(02B_ESCENARIOS!$B$15:$D$19, MATCH(VLOOKUP(A229,04_PROYECTOS!$A:$N,9,FALSE), 02B_ESCENARIOS!$A$15:$A$19, 0), MATCH("Agresivo", 02B_ESCENARIOS!$B$14:$D$14, 0))</f>
        <v/>
      </c>
      <c r="F229">
        <f>E229*VLOOKUP(A229,04_PROYECTOS!$A:$N,6,FALSE)</f>
        <v/>
      </c>
      <c r="G229">
        <f>E229+F229</f>
        <v/>
      </c>
      <c r="H229">
        <f>IF(VLOOKUP(A229,04_PROYECTOS!$A:$N,10,FALSE)="", IF(VLOOKUP(A229,04_PROYECTOS!$A:$N,4,FALSE)="Privado", INDEX(02B_ESCENARIOS!$B$4:$D$11, MATCH("DSO_PRIVADO_DEFAULT", 02B_ESCENARIOS!$A$4:$A$11, 0), MATCH("Agresivo", 02B_ESCENARIOS!$B$3:$D$3, 0)), IF(VLOOKUP(A229,04_PROYECTOS!$A:$N,4,FALSE)="Publico_&lt;10M",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VLOOKUP(A229,04_PROYECTOS!$A:$N,10,FALSE))</f>
        <v/>
      </c>
      <c r="I229">
        <f>ROUNDUP(H229/30,0)</f>
        <v/>
      </c>
      <c r="J229">
        <f>EDATE(C229,I229)</f>
        <v/>
      </c>
      <c r="K229">
        <f>G229</f>
        <v/>
      </c>
    </row>
    <row r="230">
      <c r="E230">
        <f>D230*VLOOKUP(A230,04_PROYECTOS!$A:$N,5,FALSE)*(INDEX(02B_ESCENARIOS!$B$4:$D$11, MATCH("MULT_PRECIO", 02B_ESCENARIOS!$A$4:$A$11, 0), MATCH("Agresivo", 02B_ESCENARIOS!$B$3:$D$3, 0)))*INDEX(02B_ESCENARIOS!$B$15:$D$19, MATCH(VLOOKUP(A230,04_PROYECTOS!$A:$N,9,FALSE), 02B_ESCENARIOS!$A$15:$A$19, 0), MATCH("Agresivo", 02B_ESCENARIOS!$B$14:$D$14, 0))</f>
        <v/>
      </c>
      <c r="F230">
        <f>E230*VLOOKUP(A230,04_PROYECTOS!$A:$N,6,FALSE)</f>
        <v/>
      </c>
      <c r="G230">
        <f>E230+F230</f>
        <v/>
      </c>
      <c r="H230">
        <f>IF(VLOOKUP(A230,04_PROYECTOS!$A:$N,10,FALSE)="", IF(VLOOKUP(A230,04_PROYECTOS!$A:$N,4,FALSE)="Privado", INDEX(02B_ESCENARIOS!$B$4:$D$11, MATCH("DSO_PRIVADO_DEFAULT", 02B_ESCENARIOS!$A$4:$A$11, 0), MATCH("Agresivo", 02B_ESCENARIOS!$B$3:$D$3, 0)), IF(VLOOKUP(A230,04_PROYECTOS!$A:$N,4,FALSE)="Publico_&lt;10M",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VLOOKUP(A230,04_PROYECTOS!$A:$N,10,FALSE))</f>
        <v/>
      </c>
      <c r="I230">
        <f>ROUNDUP(H230/30,0)</f>
        <v/>
      </c>
      <c r="J230">
        <f>EDATE(C230,I230)</f>
        <v/>
      </c>
      <c r="K230">
        <f>G230</f>
        <v/>
      </c>
    </row>
    <row r="231">
      <c r="E231">
        <f>D231*VLOOKUP(A231,04_PROYECTOS!$A:$N,5,FALSE)*(INDEX(02B_ESCENARIOS!$B$4:$D$11, MATCH("MULT_PRECIO", 02B_ESCENARIOS!$A$4:$A$11, 0), MATCH("Agresivo", 02B_ESCENARIOS!$B$3:$D$3, 0)))*INDEX(02B_ESCENARIOS!$B$15:$D$19, MATCH(VLOOKUP(A231,04_PROYECTOS!$A:$N,9,FALSE), 02B_ESCENARIOS!$A$15:$A$19, 0), MATCH("Agresivo", 02B_ESCENARIOS!$B$14:$D$14, 0))</f>
        <v/>
      </c>
      <c r="F231">
        <f>E231*VLOOKUP(A231,04_PROYECTOS!$A:$N,6,FALSE)</f>
        <v/>
      </c>
      <c r="G231">
        <f>E231+F231</f>
        <v/>
      </c>
      <c r="H231">
        <f>IF(VLOOKUP(A231,04_PROYECTOS!$A:$N,10,FALSE)="", IF(VLOOKUP(A231,04_PROYECTOS!$A:$N,4,FALSE)="Privado", INDEX(02B_ESCENARIOS!$B$4:$D$11, MATCH("DSO_PRIVADO_DEFAULT", 02B_ESCENARIOS!$A$4:$A$11, 0), MATCH("Agresivo", 02B_ESCENARIOS!$B$3:$D$3, 0)), IF(VLOOKUP(A231,04_PROYECTOS!$A:$N,4,FALSE)="Publico_&lt;10M",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VLOOKUP(A231,04_PROYECTOS!$A:$N,10,FALSE))</f>
        <v/>
      </c>
      <c r="I231">
        <f>ROUNDUP(H231/30,0)</f>
        <v/>
      </c>
      <c r="J231">
        <f>EDATE(C231,I231)</f>
        <v/>
      </c>
      <c r="K231">
        <f>G231</f>
        <v/>
      </c>
    </row>
    <row r="232">
      <c r="E232">
        <f>D232*VLOOKUP(A232,04_PROYECTOS!$A:$N,5,FALSE)*(INDEX(02B_ESCENARIOS!$B$4:$D$11, MATCH("MULT_PRECIO", 02B_ESCENARIOS!$A$4:$A$11, 0), MATCH("Agresivo", 02B_ESCENARIOS!$B$3:$D$3, 0)))*INDEX(02B_ESCENARIOS!$B$15:$D$19, MATCH(VLOOKUP(A232,04_PROYECTOS!$A:$N,9,FALSE), 02B_ESCENARIOS!$A$15:$A$19, 0), MATCH("Agresivo", 02B_ESCENARIOS!$B$14:$D$14, 0))</f>
        <v/>
      </c>
      <c r="F232">
        <f>E232*VLOOKUP(A232,04_PROYECTOS!$A:$N,6,FALSE)</f>
        <v/>
      </c>
      <c r="G232">
        <f>E232+F232</f>
        <v/>
      </c>
      <c r="H232">
        <f>IF(VLOOKUP(A232,04_PROYECTOS!$A:$N,10,FALSE)="", IF(VLOOKUP(A232,04_PROYECTOS!$A:$N,4,FALSE)="Privado", INDEX(02B_ESCENARIOS!$B$4:$D$11, MATCH("DSO_PRIVADO_DEFAULT", 02B_ESCENARIOS!$A$4:$A$11, 0), MATCH("Agresivo", 02B_ESCENARIOS!$B$3:$D$3, 0)), IF(VLOOKUP(A232,04_PROYECTOS!$A:$N,4,FALSE)="Publico_&lt;10M",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VLOOKUP(A232,04_PROYECTOS!$A:$N,10,FALSE))</f>
        <v/>
      </c>
      <c r="I232">
        <f>ROUNDUP(H232/30,0)</f>
        <v/>
      </c>
      <c r="J232">
        <f>EDATE(C232,I232)</f>
        <v/>
      </c>
      <c r="K232">
        <f>G232</f>
        <v/>
      </c>
    </row>
    <row r="233">
      <c r="E233">
        <f>D233*VLOOKUP(A233,04_PROYECTOS!$A:$N,5,FALSE)*(INDEX(02B_ESCENARIOS!$B$4:$D$11, MATCH("MULT_PRECIO", 02B_ESCENARIOS!$A$4:$A$11, 0), MATCH("Agresivo", 02B_ESCENARIOS!$B$3:$D$3, 0)))*INDEX(02B_ESCENARIOS!$B$15:$D$19, MATCH(VLOOKUP(A233,04_PROYECTOS!$A:$N,9,FALSE), 02B_ESCENARIOS!$A$15:$A$19, 0), MATCH("Agresivo", 02B_ESCENARIOS!$B$14:$D$14, 0))</f>
        <v/>
      </c>
      <c r="F233">
        <f>E233*VLOOKUP(A233,04_PROYECTOS!$A:$N,6,FALSE)</f>
        <v/>
      </c>
      <c r="G233">
        <f>E233+F233</f>
        <v/>
      </c>
      <c r="H233">
        <f>IF(VLOOKUP(A233,04_PROYECTOS!$A:$N,10,FALSE)="", IF(VLOOKUP(A233,04_PROYECTOS!$A:$N,4,FALSE)="Privado", INDEX(02B_ESCENARIOS!$B$4:$D$11, MATCH("DSO_PRIVADO_DEFAULT", 02B_ESCENARIOS!$A$4:$A$11, 0), MATCH("Agresivo", 02B_ESCENARIOS!$B$3:$D$3, 0)), IF(VLOOKUP(A233,04_PROYECTOS!$A:$N,4,FALSE)="Publico_&lt;10M",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VLOOKUP(A233,04_PROYECTOS!$A:$N,10,FALSE))</f>
        <v/>
      </c>
      <c r="I233">
        <f>ROUNDUP(H233/30,0)</f>
        <v/>
      </c>
      <c r="J233">
        <f>EDATE(C233,I233)</f>
        <v/>
      </c>
      <c r="K233">
        <f>G233</f>
        <v/>
      </c>
    </row>
    <row r="234">
      <c r="E234">
        <f>D234*VLOOKUP(A234,04_PROYECTOS!$A:$N,5,FALSE)*(INDEX(02B_ESCENARIOS!$B$4:$D$11, MATCH("MULT_PRECIO", 02B_ESCENARIOS!$A$4:$A$11, 0), MATCH("Agresivo", 02B_ESCENARIOS!$B$3:$D$3, 0)))*INDEX(02B_ESCENARIOS!$B$15:$D$19, MATCH(VLOOKUP(A234,04_PROYECTOS!$A:$N,9,FALSE), 02B_ESCENARIOS!$A$15:$A$19, 0), MATCH("Agresivo", 02B_ESCENARIOS!$B$14:$D$14, 0))</f>
        <v/>
      </c>
      <c r="F234">
        <f>E234*VLOOKUP(A234,04_PROYECTOS!$A:$N,6,FALSE)</f>
        <v/>
      </c>
      <c r="G234">
        <f>E234+F234</f>
        <v/>
      </c>
      <c r="H234">
        <f>IF(VLOOKUP(A234,04_PROYECTOS!$A:$N,10,FALSE)="", IF(VLOOKUP(A234,04_PROYECTOS!$A:$N,4,FALSE)="Privado", INDEX(02B_ESCENARIOS!$B$4:$D$11, MATCH("DSO_PRIVADO_DEFAULT", 02B_ESCENARIOS!$A$4:$A$11, 0), MATCH("Agresivo", 02B_ESCENARIOS!$B$3:$D$3, 0)), IF(VLOOKUP(A234,04_PROYECTOS!$A:$N,4,FALSE)="Publico_&lt;10M",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VLOOKUP(A234,04_PROYECTOS!$A:$N,10,FALSE))</f>
        <v/>
      </c>
      <c r="I234">
        <f>ROUNDUP(H234/30,0)</f>
        <v/>
      </c>
      <c r="J234">
        <f>EDATE(C234,I234)</f>
        <v/>
      </c>
      <c r="K234">
        <f>G234</f>
        <v/>
      </c>
    </row>
    <row r="235">
      <c r="E235">
        <f>D235*VLOOKUP(A235,04_PROYECTOS!$A:$N,5,FALSE)*(INDEX(02B_ESCENARIOS!$B$4:$D$11, MATCH("MULT_PRECIO", 02B_ESCENARIOS!$A$4:$A$11, 0), MATCH("Agresivo", 02B_ESCENARIOS!$B$3:$D$3, 0)))*INDEX(02B_ESCENARIOS!$B$15:$D$19, MATCH(VLOOKUP(A235,04_PROYECTOS!$A:$N,9,FALSE), 02B_ESCENARIOS!$A$15:$A$19, 0), MATCH("Agresivo", 02B_ESCENARIOS!$B$14:$D$14, 0))</f>
        <v/>
      </c>
      <c r="F235">
        <f>E235*VLOOKUP(A235,04_PROYECTOS!$A:$N,6,FALSE)</f>
        <v/>
      </c>
      <c r="G235">
        <f>E235+F235</f>
        <v/>
      </c>
      <c r="H235">
        <f>IF(VLOOKUP(A235,04_PROYECTOS!$A:$N,10,FALSE)="", IF(VLOOKUP(A235,04_PROYECTOS!$A:$N,4,FALSE)="Privado", INDEX(02B_ESCENARIOS!$B$4:$D$11, MATCH("DSO_PRIVADO_DEFAULT", 02B_ESCENARIOS!$A$4:$A$11, 0), MATCH("Agresivo", 02B_ESCENARIOS!$B$3:$D$3, 0)), IF(VLOOKUP(A235,04_PROYECTOS!$A:$N,4,FALSE)="Publico_&lt;10M",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VLOOKUP(A235,04_PROYECTOS!$A:$N,10,FALSE))</f>
        <v/>
      </c>
      <c r="I235">
        <f>ROUNDUP(H235/30,0)</f>
        <v/>
      </c>
      <c r="J235">
        <f>EDATE(C235,I235)</f>
        <v/>
      </c>
      <c r="K235">
        <f>G235</f>
        <v/>
      </c>
    </row>
    <row r="236">
      <c r="E236">
        <f>D236*VLOOKUP(A236,04_PROYECTOS!$A:$N,5,FALSE)*(INDEX(02B_ESCENARIOS!$B$4:$D$11, MATCH("MULT_PRECIO", 02B_ESCENARIOS!$A$4:$A$11, 0), MATCH("Agresivo", 02B_ESCENARIOS!$B$3:$D$3, 0)))*INDEX(02B_ESCENARIOS!$B$15:$D$19, MATCH(VLOOKUP(A236,04_PROYECTOS!$A:$N,9,FALSE), 02B_ESCENARIOS!$A$15:$A$19, 0), MATCH("Agresivo", 02B_ESCENARIOS!$B$14:$D$14, 0))</f>
        <v/>
      </c>
      <c r="F236">
        <f>E236*VLOOKUP(A236,04_PROYECTOS!$A:$N,6,FALSE)</f>
        <v/>
      </c>
      <c r="G236">
        <f>E236+F236</f>
        <v/>
      </c>
      <c r="H236">
        <f>IF(VLOOKUP(A236,04_PROYECTOS!$A:$N,10,FALSE)="", IF(VLOOKUP(A236,04_PROYECTOS!$A:$N,4,FALSE)="Privado", INDEX(02B_ESCENARIOS!$B$4:$D$11, MATCH("DSO_PRIVADO_DEFAULT", 02B_ESCENARIOS!$A$4:$A$11, 0), MATCH("Agresivo", 02B_ESCENARIOS!$B$3:$D$3, 0)), IF(VLOOKUP(A236,04_PROYECTOS!$A:$N,4,FALSE)="Publico_&lt;10M",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VLOOKUP(A236,04_PROYECTOS!$A:$N,10,FALSE))</f>
        <v/>
      </c>
      <c r="I236">
        <f>ROUNDUP(H236/30,0)</f>
        <v/>
      </c>
      <c r="J236">
        <f>EDATE(C236,I236)</f>
        <v/>
      </c>
      <c r="K236">
        <f>G236</f>
        <v/>
      </c>
    </row>
    <row r="237">
      <c r="E237">
        <f>D237*VLOOKUP(A237,04_PROYECTOS!$A:$N,5,FALSE)*(INDEX(02B_ESCENARIOS!$B$4:$D$11, MATCH("MULT_PRECIO", 02B_ESCENARIOS!$A$4:$A$11, 0), MATCH("Agresivo", 02B_ESCENARIOS!$B$3:$D$3, 0)))*INDEX(02B_ESCENARIOS!$B$15:$D$19, MATCH(VLOOKUP(A237,04_PROYECTOS!$A:$N,9,FALSE), 02B_ESCENARIOS!$A$15:$A$19, 0), MATCH("Agresivo", 02B_ESCENARIOS!$B$14:$D$14, 0))</f>
        <v/>
      </c>
      <c r="F237">
        <f>E237*VLOOKUP(A237,04_PROYECTOS!$A:$N,6,FALSE)</f>
        <v/>
      </c>
      <c r="G237">
        <f>E237+F237</f>
        <v/>
      </c>
      <c r="H237">
        <f>IF(VLOOKUP(A237,04_PROYECTOS!$A:$N,10,FALSE)="", IF(VLOOKUP(A237,04_PROYECTOS!$A:$N,4,FALSE)="Privado", INDEX(02B_ESCENARIOS!$B$4:$D$11, MATCH("DSO_PRIVADO_DEFAULT", 02B_ESCENARIOS!$A$4:$A$11, 0), MATCH("Agresivo", 02B_ESCENARIOS!$B$3:$D$3, 0)), IF(VLOOKUP(A237,04_PROYECTOS!$A:$N,4,FALSE)="Publico_&lt;10M",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VLOOKUP(A237,04_PROYECTOS!$A:$N,10,FALSE))</f>
        <v/>
      </c>
      <c r="I237">
        <f>ROUNDUP(H237/30,0)</f>
        <v/>
      </c>
      <c r="J237">
        <f>EDATE(C237,I237)</f>
        <v/>
      </c>
      <c r="K237">
        <f>G237</f>
        <v/>
      </c>
    </row>
    <row r="238">
      <c r="E238">
        <f>D238*VLOOKUP(A238,04_PROYECTOS!$A:$N,5,FALSE)*(INDEX(02B_ESCENARIOS!$B$4:$D$11, MATCH("MULT_PRECIO", 02B_ESCENARIOS!$A$4:$A$11, 0), MATCH("Agresivo", 02B_ESCENARIOS!$B$3:$D$3, 0)))*INDEX(02B_ESCENARIOS!$B$15:$D$19, MATCH(VLOOKUP(A238,04_PROYECTOS!$A:$N,9,FALSE), 02B_ESCENARIOS!$A$15:$A$19, 0), MATCH("Agresivo", 02B_ESCENARIOS!$B$14:$D$14, 0))</f>
        <v/>
      </c>
      <c r="F238">
        <f>E238*VLOOKUP(A238,04_PROYECTOS!$A:$N,6,FALSE)</f>
        <v/>
      </c>
      <c r="G238">
        <f>E238+F238</f>
        <v/>
      </c>
      <c r="H238">
        <f>IF(VLOOKUP(A238,04_PROYECTOS!$A:$N,10,FALSE)="", IF(VLOOKUP(A238,04_PROYECTOS!$A:$N,4,FALSE)="Privado", INDEX(02B_ESCENARIOS!$B$4:$D$11, MATCH("DSO_PRIVADO_DEFAULT", 02B_ESCENARIOS!$A$4:$A$11, 0), MATCH("Agresivo", 02B_ESCENARIOS!$B$3:$D$3, 0)), IF(VLOOKUP(A238,04_PROYECTOS!$A:$N,4,FALSE)="Publico_&lt;10M",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VLOOKUP(A238,04_PROYECTOS!$A:$N,10,FALSE))</f>
        <v/>
      </c>
      <c r="I238">
        <f>ROUNDUP(H238/30,0)</f>
        <v/>
      </c>
      <c r="J238">
        <f>EDATE(C238,I238)</f>
        <v/>
      </c>
      <c r="K238">
        <f>G238</f>
        <v/>
      </c>
    </row>
    <row r="239">
      <c r="E239">
        <f>D239*VLOOKUP(A239,04_PROYECTOS!$A:$N,5,FALSE)*(INDEX(02B_ESCENARIOS!$B$4:$D$11, MATCH("MULT_PRECIO", 02B_ESCENARIOS!$A$4:$A$11, 0), MATCH("Agresivo", 02B_ESCENARIOS!$B$3:$D$3, 0)))*INDEX(02B_ESCENARIOS!$B$15:$D$19, MATCH(VLOOKUP(A239,04_PROYECTOS!$A:$N,9,FALSE), 02B_ESCENARIOS!$A$15:$A$19, 0), MATCH("Agresivo", 02B_ESCENARIOS!$B$14:$D$14, 0))</f>
        <v/>
      </c>
      <c r="F239">
        <f>E239*VLOOKUP(A239,04_PROYECTOS!$A:$N,6,FALSE)</f>
        <v/>
      </c>
      <c r="G239">
        <f>E239+F239</f>
        <v/>
      </c>
      <c r="H239">
        <f>IF(VLOOKUP(A239,04_PROYECTOS!$A:$N,10,FALSE)="", IF(VLOOKUP(A239,04_PROYECTOS!$A:$N,4,FALSE)="Privado", INDEX(02B_ESCENARIOS!$B$4:$D$11, MATCH("DSO_PRIVADO_DEFAULT", 02B_ESCENARIOS!$A$4:$A$11, 0), MATCH("Agresivo", 02B_ESCENARIOS!$B$3:$D$3, 0)), IF(VLOOKUP(A239,04_PROYECTOS!$A:$N,4,FALSE)="Publico_&lt;10M",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VLOOKUP(A239,04_PROYECTOS!$A:$N,10,FALSE))</f>
        <v/>
      </c>
      <c r="I239">
        <f>ROUNDUP(H239/30,0)</f>
        <v/>
      </c>
      <c r="J239">
        <f>EDATE(C239,I239)</f>
        <v/>
      </c>
      <c r="K239">
        <f>G239</f>
        <v/>
      </c>
    </row>
    <row r="240">
      <c r="E240">
        <f>D240*VLOOKUP(A240,04_PROYECTOS!$A:$N,5,FALSE)*(INDEX(02B_ESCENARIOS!$B$4:$D$11, MATCH("MULT_PRECIO", 02B_ESCENARIOS!$A$4:$A$11, 0), MATCH("Agresivo", 02B_ESCENARIOS!$B$3:$D$3, 0)))*INDEX(02B_ESCENARIOS!$B$15:$D$19, MATCH(VLOOKUP(A240,04_PROYECTOS!$A:$N,9,FALSE), 02B_ESCENARIOS!$A$15:$A$19, 0), MATCH("Agresivo", 02B_ESCENARIOS!$B$14:$D$14, 0))</f>
        <v/>
      </c>
      <c r="F240">
        <f>E240*VLOOKUP(A240,04_PROYECTOS!$A:$N,6,FALSE)</f>
        <v/>
      </c>
      <c r="G240">
        <f>E240+F240</f>
        <v/>
      </c>
      <c r="H240">
        <f>IF(VLOOKUP(A240,04_PROYECTOS!$A:$N,10,FALSE)="", IF(VLOOKUP(A240,04_PROYECTOS!$A:$N,4,FALSE)="Privado", INDEX(02B_ESCENARIOS!$B$4:$D$11, MATCH("DSO_PRIVADO_DEFAULT", 02B_ESCENARIOS!$A$4:$A$11, 0), MATCH("Agresivo", 02B_ESCENARIOS!$B$3:$D$3, 0)), IF(VLOOKUP(A240,04_PROYECTOS!$A:$N,4,FALSE)="Publico_&lt;10M",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VLOOKUP(A240,04_PROYECTOS!$A:$N,10,FALSE))</f>
        <v/>
      </c>
      <c r="I240">
        <f>ROUNDUP(H240/30,0)</f>
        <v/>
      </c>
      <c r="J240">
        <f>EDATE(C240,I240)</f>
        <v/>
      </c>
      <c r="K240">
        <f>G240</f>
        <v/>
      </c>
    </row>
    <row r="241">
      <c r="E241">
        <f>D241*VLOOKUP(A241,04_PROYECTOS!$A:$N,5,FALSE)*(INDEX(02B_ESCENARIOS!$B$4:$D$11, MATCH("MULT_PRECIO", 02B_ESCENARIOS!$A$4:$A$11, 0), MATCH("Agresivo", 02B_ESCENARIOS!$B$3:$D$3, 0)))*INDEX(02B_ESCENARIOS!$B$15:$D$19, MATCH(VLOOKUP(A241,04_PROYECTOS!$A:$N,9,FALSE), 02B_ESCENARIOS!$A$15:$A$19, 0), MATCH("Agresivo", 02B_ESCENARIOS!$B$14:$D$14, 0))</f>
        <v/>
      </c>
      <c r="F241">
        <f>E241*VLOOKUP(A241,04_PROYECTOS!$A:$N,6,FALSE)</f>
        <v/>
      </c>
      <c r="G241">
        <f>E241+F241</f>
        <v/>
      </c>
      <c r="H241">
        <f>IF(VLOOKUP(A241,04_PROYECTOS!$A:$N,10,FALSE)="", IF(VLOOKUP(A241,04_PROYECTOS!$A:$N,4,FALSE)="Privado", INDEX(02B_ESCENARIOS!$B$4:$D$11, MATCH("DSO_PRIVADO_DEFAULT", 02B_ESCENARIOS!$A$4:$A$11, 0), MATCH("Agresivo", 02B_ESCENARIOS!$B$3:$D$3, 0)), IF(VLOOKUP(A241,04_PROYECTOS!$A:$N,4,FALSE)="Publico_&lt;10M",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VLOOKUP(A241,04_PROYECTOS!$A:$N,10,FALSE))</f>
        <v/>
      </c>
      <c r="I241">
        <f>ROUNDUP(H241/30,0)</f>
        <v/>
      </c>
      <c r="J241">
        <f>EDATE(C241,I241)</f>
        <v/>
      </c>
      <c r="K241">
        <f>G241</f>
        <v/>
      </c>
    </row>
    <row r="242">
      <c r="E242">
        <f>D242*VLOOKUP(A242,04_PROYECTOS!$A:$N,5,FALSE)*(INDEX(02B_ESCENARIOS!$B$4:$D$11, MATCH("MULT_PRECIO", 02B_ESCENARIOS!$A$4:$A$11, 0), MATCH("Agresivo", 02B_ESCENARIOS!$B$3:$D$3, 0)))*INDEX(02B_ESCENARIOS!$B$15:$D$19, MATCH(VLOOKUP(A242,04_PROYECTOS!$A:$N,9,FALSE), 02B_ESCENARIOS!$A$15:$A$19, 0), MATCH("Agresivo", 02B_ESCENARIOS!$B$14:$D$14, 0))</f>
        <v/>
      </c>
      <c r="F242">
        <f>E242*VLOOKUP(A242,04_PROYECTOS!$A:$N,6,FALSE)</f>
        <v/>
      </c>
      <c r="G242">
        <f>E242+F242</f>
        <v/>
      </c>
      <c r="H242">
        <f>IF(VLOOKUP(A242,04_PROYECTOS!$A:$N,10,FALSE)="", IF(VLOOKUP(A242,04_PROYECTOS!$A:$N,4,FALSE)="Privado", INDEX(02B_ESCENARIOS!$B$4:$D$11, MATCH("DSO_PRIVADO_DEFAULT", 02B_ESCENARIOS!$A$4:$A$11, 0), MATCH("Agresivo", 02B_ESCENARIOS!$B$3:$D$3, 0)), IF(VLOOKUP(A242,04_PROYECTOS!$A:$N,4,FALSE)="Publico_&lt;10M",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VLOOKUP(A242,04_PROYECTOS!$A:$N,10,FALSE))</f>
        <v/>
      </c>
      <c r="I242">
        <f>ROUNDUP(H242/30,0)</f>
        <v/>
      </c>
      <c r="J242">
        <f>EDATE(C242,I242)</f>
        <v/>
      </c>
      <c r="K242">
        <f>G242</f>
        <v/>
      </c>
    </row>
    <row r="243">
      <c r="E243">
        <f>D243*VLOOKUP(A243,04_PROYECTOS!$A:$N,5,FALSE)*(INDEX(02B_ESCENARIOS!$B$4:$D$11, MATCH("MULT_PRECIO", 02B_ESCENARIOS!$A$4:$A$11, 0), MATCH("Agresivo", 02B_ESCENARIOS!$B$3:$D$3, 0)))*INDEX(02B_ESCENARIOS!$B$15:$D$19, MATCH(VLOOKUP(A243,04_PROYECTOS!$A:$N,9,FALSE), 02B_ESCENARIOS!$A$15:$A$19, 0), MATCH("Agresivo", 02B_ESCENARIOS!$B$14:$D$14, 0))</f>
        <v/>
      </c>
      <c r="F243">
        <f>E243*VLOOKUP(A243,04_PROYECTOS!$A:$N,6,FALSE)</f>
        <v/>
      </c>
      <c r="G243">
        <f>E243+F243</f>
        <v/>
      </c>
      <c r="H243">
        <f>IF(VLOOKUP(A243,04_PROYECTOS!$A:$N,10,FALSE)="", IF(VLOOKUP(A243,04_PROYECTOS!$A:$N,4,FALSE)="Privado", INDEX(02B_ESCENARIOS!$B$4:$D$11, MATCH("DSO_PRIVADO_DEFAULT", 02B_ESCENARIOS!$A$4:$A$11, 0), MATCH("Agresivo", 02B_ESCENARIOS!$B$3:$D$3, 0)), IF(VLOOKUP(A243,04_PROYECTOS!$A:$N,4,FALSE)="Publico_&lt;10M",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VLOOKUP(A243,04_PROYECTOS!$A:$N,10,FALSE))</f>
        <v/>
      </c>
      <c r="I243">
        <f>ROUNDUP(H243/30,0)</f>
        <v/>
      </c>
      <c r="J243">
        <f>EDATE(C243,I243)</f>
        <v/>
      </c>
      <c r="K243">
        <f>G243</f>
        <v/>
      </c>
    </row>
    <row r="244">
      <c r="E244">
        <f>D244*VLOOKUP(A244,04_PROYECTOS!$A:$N,5,FALSE)*(INDEX(02B_ESCENARIOS!$B$4:$D$11, MATCH("MULT_PRECIO", 02B_ESCENARIOS!$A$4:$A$11, 0), MATCH("Agresivo", 02B_ESCENARIOS!$B$3:$D$3, 0)))*INDEX(02B_ESCENARIOS!$B$15:$D$19, MATCH(VLOOKUP(A244,04_PROYECTOS!$A:$N,9,FALSE), 02B_ESCENARIOS!$A$15:$A$19, 0), MATCH("Agresivo", 02B_ESCENARIOS!$B$14:$D$14, 0))</f>
        <v/>
      </c>
      <c r="F244">
        <f>E244*VLOOKUP(A244,04_PROYECTOS!$A:$N,6,FALSE)</f>
        <v/>
      </c>
      <c r="G244">
        <f>E244+F244</f>
        <v/>
      </c>
      <c r="H244">
        <f>IF(VLOOKUP(A244,04_PROYECTOS!$A:$N,10,FALSE)="", IF(VLOOKUP(A244,04_PROYECTOS!$A:$N,4,FALSE)="Privado", INDEX(02B_ESCENARIOS!$B$4:$D$11, MATCH("DSO_PRIVADO_DEFAULT", 02B_ESCENARIOS!$A$4:$A$11, 0), MATCH("Agresivo", 02B_ESCENARIOS!$B$3:$D$3, 0)), IF(VLOOKUP(A244,04_PROYECTOS!$A:$N,4,FALSE)="Publico_&lt;10M",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VLOOKUP(A244,04_PROYECTOS!$A:$N,10,FALSE))</f>
        <v/>
      </c>
      <c r="I244">
        <f>ROUNDUP(H244/30,0)</f>
        <v/>
      </c>
      <c r="J244">
        <f>EDATE(C244,I244)</f>
        <v/>
      </c>
      <c r="K244">
        <f>G244</f>
        <v/>
      </c>
    </row>
    <row r="245">
      <c r="E245">
        <f>D245*VLOOKUP(A245,04_PROYECTOS!$A:$N,5,FALSE)*(INDEX(02B_ESCENARIOS!$B$4:$D$11, MATCH("MULT_PRECIO", 02B_ESCENARIOS!$A$4:$A$11, 0), MATCH("Agresivo", 02B_ESCENARIOS!$B$3:$D$3, 0)))*INDEX(02B_ESCENARIOS!$B$15:$D$19, MATCH(VLOOKUP(A245,04_PROYECTOS!$A:$N,9,FALSE), 02B_ESCENARIOS!$A$15:$A$19, 0), MATCH("Agresivo", 02B_ESCENARIOS!$B$14:$D$14, 0))</f>
        <v/>
      </c>
      <c r="F245">
        <f>E245*VLOOKUP(A245,04_PROYECTOS!$A:$N,6,FALSE)</f>
        <v/>
      </c>
      <c r="G245">
        <f>E245+F245</f>
        <v/>
      </c>
      <c r="H245">
        <f>IF(VLOOKUP(A245,04_PROYECTOS!$A:$N,10,FALSE)="", IF(VLOOKUP(A245,04_PROYECTOS!$A:$N,4,FALSE)="Privado", INDEX(02B_ESCENARIOS!$B$4:$D$11, MATCH("DSO_PRIVADO_DEFAULT", 02B_ESCENARIOS!$A$4:$A$11, 0), MATCH("Agresivo", 02B_ESCENARIOS!$B$3:$D$3, 0)), IF(VLOOKUP(A245,04_PROYECTOS!$A:$N,4,FALSE)="Publico_&lt;10M",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VLOOKUP(A245,04_PROYECTOS!$A:$N,10,FALSE))</f>
        <v/>
      </c>
      <c r="I245">
        <f>ROUNDUP(H245/30,0)</f>
        <v/>
      </c>
      <c r="J245">
        <f>EDATE(C245,I245)</f>
        <v/>
      </c>
      <c r="K245">
        <f>G245</f>
        <v/>
      </c>
    </row>
    <row r="246">
      <c r="E246">
        <f>D246*VLOOKUP(A246,04_PROYECTOS!$A:$N,5,FALSE)*(INDEX(02B_ESCENARIOS!$B$4:$D$11, MATCH("MULT_PRECIO", 02B_ESCENARIOS!$A$4:$A$11, 0), MATCH("Agresivo", 02B_ESCENARIOS!$B$3:$D$3, 0)))*INDEX(02B_ESCENARIOS!$B$15:$D$19, MATCH(VLOOKUP(A246,04_PROYECTOS!$A:$N,9,FALSE), 02B_ESCENARIOS!$A$15:$A$19, 0), MATCH("Agresivo", 02B_ESCENARIOS!$B$14:$D$14, 0))</f>
        <v/>
      </c>
      <c r="F246">
        <f>E246*VLOOKUP(A246,04_PROYECTOS!$A:$N,6,FALSE)</f>
        <v/>
      </c>
      <c r="G246">
        <f>E246+F246</f>
        <v/>
      </c>
      <c r="H246">
        <f>IF(VLOOKUP(A246,04_PROYECTOS!$A:$N,10,FALSE)="", IF(VLOOKUP(A246,04_PROYECTOS!$A:$N,4,FALSE)="Privado", INDEX(02B_ESCENARIOS!$B$4:$D$11, MATCH("DSO_PRIVADO_DEFAULT", 02B_ESCENARIOS!$A$4:$A$11, 0), MATCH("Agresivo", 02B_ESCENARIOS!$B$3:$D$3, 0)), IF(VLOOKUP(A246,04_PROYECTOS!$A:$N,4,FALSE)="Publico_&lt;10M",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VLOOKUP(A246,04_PROYECTOS!$A:$N,10,FALSE))</f>
        <v/>
      </c>
      <c r="I246">
        <f>ROUNDUP(H246/30,0)</f>
        <v/>
      </c>
      <c r="J246">
        <f>EDATE(C246,I246)</f>
        <v/>
      </c>
      <c r="K246">
        <f>G246</f>
        <v/>
      </c>
    </row>
    <row r="247">
      <c r="E247">
        <f>D247*VLOOKUP(A247,04_PROYECTOS!$A:$N,5,FALSE)*(INDEX(02B_ESCENARIOS!$B$4:$D$11, MATCH("MULT_PRECIO", 02B_ESCENARIOS!$A$4:$A$11, 0), MATCH("Agresivo", 02B_ESCENARIOS!$B$3:$D$3, 0)))*INDEX(02B_ESCENARIOS!$B$15:$D$19, MATCH(VLOOKUP(A247,04_PROYECTOS!$A:$N,9,FALSE), 02B_ESCENARIOS!$A$15:$A$19, 0), MATCH("Agresivo", 02B_ESCENARIOS!$B$14:$D$14, 0))</f>
        <v/>
      </c>
      <c r="F247">
        <f>E247*VLOOKUP(A247,04_PROYECTOS!$A:$N,6,FALSE)</f>
        <v/>
      </c>
      <c r="G247">
        <f>E247+F247</f>
        <v/>
      </c>
      <c r="H247">
        <f>IF(VLOOKUP(A247,04_PROYECTOS!$A:$N,10,FALSE)="", IF(VLOOKUP(A247,04_PROYECTOS!$A:$N,4,FALSE)="Privado", INDEX(02B_ESCENARIOS!$B$4:$D$11, MATCH("DSO_PRIVADO_DEFAULT", 02B_ESCENARIOS!$A$4:$A$11, 0), MATCH("Agresivo", 02B_ESCENARIOS!$B$3:$D$3, 0)), IF(VLOOKUP(A247,04_PROYECTOS!$A:$N,4,FALSE)="Publico_&lt;10M",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VLOOKUP(A247,04_PROYECTOS!$A:$N,10,FALSE))</f>
        <v/>
      </c>
      <c r="I247">
        <f>ROUNDUP(H247/30,0)</f>
        <v/>
      </c>
      <c r="J247">
        <f>EDATE(C247,I247)</f>
        <v/>
      </c>
      <c r="K247">
        <f>G247</f>
        <v/>
      </c>
    </row>
    <row r="248">
      <c r="E248">
        <f>D248*VLOOKUP(A248,04_PROYECTOS!$A:$N,5,FALSE)*(INDEX(02B_ESCENARIOS!$B$4:$D$11, MATCH("MULT_PRECIO", 02B_ESCENARIOS!$A$4:$A$11, 0), MATCH("Agresivo", 02B_ESCENARIOS!$B$3:$D$3, 0)))*INDEX(02B_ESCENARIOS!$B$15:$D$19, MATCH(VLOOKUP(A248,04_PROYECTOS!$A:$N,9,FALSE), 02B_ESCENARIOS!$A$15:$A$19, 0), MATCH("Agresivo", 02B_ESCENARIOS!$B$14:$D$14, 0))</f>
        <v/>
      </c>
      <c r="F248">
        <f>E248*VLOOKUP(A248,04_PROYECTOS!$A:$N,6,FALSE)</f>
        <v/>
      </c>
      <c r="G248">
        <f>E248+F248</f>
        <v/>
      </c>
      <c r="H248">
        <f>IF(VLOOKUP(A248,04_PROYECTOS!$A:$N,10,FALSE)="", IF(VLOOKUP(A248,04_PROYECTOS!$A:$N,4,FALSE)="Privado", INDEX(02B_ESCENARIOS!$B$4:$D$11, MATCH("DSO_PRIVADO_DEFAULT", 02B_ESCENARIOS!$A$4:$A$11, 0), MATCH("Agresivo", 02B_ESCENARIOS!$B$3:$D$3, 0)), IF(VLOOKUP(A248,04_PROYECTOS!$A:$N,4,FALSE)="Publico_&lt;10M",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VLOOKUP(A248,04_PROYECTOS!$A:$N,10,FALSE))</f>
        <v/>
      </c>
      <c r="I248">
        <f>ROUNDUP(H248/30,0)</f>
        <v/>
      </c>
      <c r="J248">
        <f>EDATE(C248,I248)</f>
        <v/>
      </c>
      <c r="K248">
        <f>G248</f>
        <v/>
      </c>
    </row>
    <row r="249">
      <c r="E249">
        <f>D249*VLOOKUP(A249,04_PROYECTOS!$A:$N,5,FALSE)*(INDEX(02B_ESCENARIOS!$B$4:$D$11, MATCH("MULT_PRECIO", 02B_ESCENARIOS!$A$4:$A$11, 0), MATCH("Agresivo", 02B_ESCENARIOS!$B$3:$D$3, 0)))*INDEX(02B_ESCENARIOS!$B$15:$D$19, MATCH(VLOOKUP(A249,04_PROYECTOS!$A:$N,9,FALSE), 02B_ESCENARIOS!$A$15:$A$19, 0), MATCH("Agresivo", 02B_ESCENARIOS!$B$14:$D$14, 0))</f>
        <v/>
      </c>
      <c r="F249">
        <f>E249*VLOOKUP(A249,04_PROYECTOS!$A:$N,6,FALSE)</f>
        <v/>
      </c>
      <c r="G249">
        <f>E249+F249</f>
        <v/>
      </c>
      <c r="H249">
        <f>IF(VLOOKUP(A249,04_PROYECTOS!$A:$N,10,FALSE)="", IF(VLOOKUP(A249,04_PROYECTOS!$A:$N,4,FALSE)="Privado", INDEX(02B_ESCENARIOS!$B$4:$D$11, MATCH("DSO_PRIVADO_DEFAULT", 02B_ESCENARIOS!$A$4:$A$11, 0), MATCH("Agresivo", 02B_ESCENARIOS!$B$3:$D$3, 0)), IF(VLOOKUP(A249,04_PROYECTOS!$A:$N,4,FALSE)="Publico_&lt;10M",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VLOOKUP(A249,04_PROYECTOS!$A:$N,10,FALSE))</f>
        <v/>
      </c>
      <c r="I249">
        <f>ROUNDUP(H249/30,0)</f>
        <v/>
      </c>
      <c r="J249">
        <f>EDATE(C249,I249)</f>
        <v/>
      </c>
      <c r="K249">
        <f>G249</f>
        <v/>
      </c>
    </row>
    <row r="250">
      <c r="E250">
        <f>D250*VLOOKUP(A250,04_PROYECTOS!$A:$N,5,FALSE)*(INDEX(02B_ESCENARIOS!$B$4:$D$11, MATCH("MULT_PRECIO", 02B_ESCENARIOS!$A$4:$A$11, 0), MATCH("Agresivo", 02B_ESCENARIOS!$B$3:$D$3, 0)))*INDEX(02B_ESCENARIOS!$B$15:$D$19, MATCH(VLOOKUP(A250,04_PROYECTOS!$A:$N,9,FALSE), 02B_ESCENARIOS!$A$15:$A$19, 0), MATCH("Agresivo", 02B_ESCENARIOS!$B$14:$D$14, 0))</f>
        <v/>
      </c>
      <c r="F250">
        <f>E250*VLOOKUP(A250,04_PROYECTOS!$A:$N,6,FALSE)</f>
        <v/>
      </c>
      <c r="G250">
        <f>E250+F250</f>
        <v/>
      </c>
      <c r="H250">
        <f>IF(VLOOKUP(A250,04_PROYECTOS!$A:$N,10,FALSE)="", IF(VLOOKUP(A250,04_PROYECTOS!$A:$N,4,FALSE)="Privado", INDEX(02B_ESCENARIOS!$B$4:$D$11, MATCH("DSO_PRIVADO_DEFAULT", 02B_ESCENARIOS!$A$4:$A$11, 0), MATCH("Agresivo", 02B_ESCENARIOS!$B$3:$D$3, 0)), IF(VLOOKUP(A250,04_PROYECTOS!$A:$N,4,FALSE)="Publico_&lt;10M",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VLOOKUP(A250,04_PROYECTOS!$A:$N,10,FALSE))</f>
        <v/>
      </c>
      <c r="I250">
        <f>ROUNDUP(H250/30,0)</f>
        <v/>
      </c>
      <c r="J250">
        <f>EDATE(C250,I250)</f>
        <v/>
      </c>
      <c r="K250">
        <f>G250</f>
        <v/>
      </c>
    </row>
    <row r="251">
      <c r="E251">
        <f>D251*VLOOKUP(A251,04_PROYECTOS!$A:$N,5,FALSE)*(INDEX(02B_ESCENARIOS!$B$4:$D$11, MATCH("MULT_PRECIO", 02B_ESCENARIOS!$A$4:$A$11, 0), MATCH("Agresivo", 02B_ESCENARIOS!$B$3:$D$3, 0)))*INDEX(02B_ESCENARIOS!$B$15:$D$19, MATCH(VLOOKUP(A251,04_PROYECTOS!$A:$N,9,FALSE), 02B_ESCENARIOS!$A$15:$A$19, 0), MATCH("Agresivo", 02B_ESCENARIOS!$B$14:$D$14, 0))</f>
        <v/>
      </c>
      <c r="F251">
        <f>E251*VLOOKUP(A251,04_PROYECTOS!$A:$N,6,FALSE)</f>
        <v/>
      </c>
      <c r="G251">
        <f>E251+F251</f>
        <v/>
      </c>
      <c r="H251">
        <f>IF(VLOOKUP(A251,04_PROYECTOS!$A:$N,10,FALSE)="", IF(VLOOKUP(A251,04_PROYECTOS!$A:$N,4,FALSE)="Privado", INDEX(02B_ESCENARIOS!$B$4:$D$11, MATCH("DSO_PRIVADO_DEFAULT", 02B_ESCENARIOS!$A$4:$A$11, 0), MATCH("Agresivo", 02B_ESCENARIOS!$B$3:$D$3, 0)), IF(VLOOKUP(A251,04_PROYECTOS!$A:$N,4,FALSE)="Publico_&lt;10M",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VLOOKUP(A251,04_PROYECTOS!$A:$N,10,FALSE))</f>
        <v/>
      </c>
      <c r="I251">
        <f>ROUNDUP(H251/30,0)</f>
        <v/>
      </c>
      <c r="J251">
        <f>EDATE(C251,I251)</f>
        <v/>
      </c>
      <c r="K251">
        <f>G251</f>
        <v/>
      </c>
    </row>
    <row r="252">
      <c r="E252">
        <f>D252*VLOOKUP(A252,04_PROYECTOS!$A:$N,5,FALSE)*(INDEX(02B_ESCENARIOS!$B$4:$D$11, MATCH("MULT_PRECIO", 02B_ESCENARIOS!$A$4:$A$11, 0), MATCH("Agresivo", 02B_ESCENARIOS!$B$3:$D$3, 0)))*INDEX(02B_ESCENARIOS!$B$15:$D$19, MATCH(VLOOKUP(A252,04_PROYECTOS!$A:$N,9,FALSE), 02B_ESCENARIOS!$A$15:$A$19, 0), MATCH("Agresivo", 02B_ESCENARIOS!$B$14:$D$14, 0))</f>
        <v/>
      </c>
      <c r="F252">
        <f>E252*VLOOKUP(A252,04_PROYECTOS!$A:$N,6,FALSE)</f>
        <v/>
      </c>
      <c r="G252">
        <f>E252+F252</f>
        <v/>
      </c>
      <c r="H252">
        <f>IF(VLOOKUP(A252,04_PROYECTOS!$A:$N,10,FALSE)="", IF(VLOOKUP(A252,04_PROYECTOS!$A:$N,4,FALSE)="Privado", INDEX(02B_ESCENARIOS!$B$4:$D$11, MATCH("DSO_PRIVADO_DEFAULT", 02B_ESCENARIOS!$A$4:$A$11, 0), MATCH("Agresivo", 02B_ESCENARIOS!$B$3:$D$3, 0)), IF(VLOOKUP(A252,04_PROYECTOS!$A:$N,4,FALSE)="Publico_&lt;10M",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VLOOKUP(A252,04_PROYECTOS!$A:$N,10,FALSE))</f>
        <v/>
      </c>
      <c r="I252">
        <f>ROUNDUP(H252/30,0)</f>
        <v/>
      </c>
      <c r="J252">
        <f>EDATE(C252,I252)</f>
        <v/>
      </c>
      <c r="K252">
        <f>G252</f>
        <v/>
      </c>
    </row>
    <row r="253">
      <c r="E253">
        <f>D253*VLOOKUP(A253,04_PROYECTOS!$A:$N,5,FALSE)*(INDEX(02B_ESCENARIOS!$B$4:$D$11, MATCH("MULT_PRECIO", 02B_ESCENARIOS!$A$4:$A$11, 0), MATCH("Agresivo", 02B_ESCENARIOS!$B$3:$D$3, 0)))*INDEX(02B_ESCENARIOS!$B$15:$D$19, MATCH(VLOOKUP(A253,04_PROYECTOS!$A:$N,9,FALSE), 02B_ESCENARIOS!$A$15:$A$19, 0), MATCH("Agresivo", 02B_ESCENARIOS!$B$14:$D$14, 0))</f>
        <v/>
      </c>
      <c r="F253">
        <f>E253*VLOOKUP(A253,04_PROYECTOS!$A:$N,6,FALSE)</f>
        <v/>
      </c>
      <c r="G253">
        <f>E253+F253</f>
        <v/>
      </c>
      <c r="H253">
        <f>IF(VLOOKUP(A253,04_PROYECTOS!$A:$N,10,FALSE)="", IF(VLOOKUP(A253,04_PROYECTOS!$A:$N,4,FALSE)="Privado", INDEX(02B_ESCENARIOS!$B$4:$D$11, MATCH("DSO_PRIVADO_DEFAULT", 02B_ESCENARIOS!$A$4:$A$11, 0), MATCH("Agresivo", 02B_ESCENARIOS!$B$3:$D$3, 0)), IF(VLOOKUP(A253,04_PROYECTOS!$A:$N,4,FALSE)="Publico_&lt;10M",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VLOOKUP(A253,04_PROYECTOS!$A:$N,10,FALSE))</f>
        <v/>
      </c>
      <c r="I253">
        <f>ROUNDUP(H253/30,0)</f>
        <v/>
      </c>
      <c r="J253">
        <f>EDATE(C253,I253)</f>
        <v/>
      </c>
      <c r="K253">
        <f>G253</f>
        <v/>
      </c>
    </row>
    <row r="254">
      <c r="E254">
        <f>D254*VLOOKUP(A254,04_PROYECTOS!$A:$N,5,FALSE)*(INDEX(02B_ESCENARIOS!$B$4:$D$11, MATCH("MULT_PRECIO", 02B_ESCENARIOS!$A$4:$A$11, 0), MATCH("Agresivo", 02B_ESCENARIOS!$B$3:$D$3, 0)))*INDEX(02B_ESCENARIOS!$B$15:$D$19, MATCH(VLOOKUP(A254,04_PROYECTOS!$A:$N,9,FALSE), 02B_ESCENARIOS!$A$15:$A$19, 0), MATCH("Agresivo", 02B_ESCENARIOS!$B$14:$D$14, 0))</f>
        <v/>
      </c>
      <c r="F254">
        <f>E254*VLOOKUP(A254,04_PROYECTOS!$A:$N,6,FALSE)</f>
        <v/>
      </c>
      <c r="G254">
        <f>E254+F254</f>
        <v/>
      </c>
      <c r="H254">
        <f>IF(VLOOKUP(A254,04_PROYECTOS!$A:$N,10,FALSE)="", IF(VLOOKUP(A254,04_PROYECTOS!$A:$N,4,FALSE)="Privado", INDEX(02B_ESCENARIOS!$B$4:$D$11, MATCH("DSO_PRIVADO_DEFAULT", 02B_ESCENARIOS!$A$4:$A$11, 0), MATCH("Agresivo", 02B_ESCENARIOS!$B$3:$D$3, 0)), IF(VLOOKUP(A254,04_PROYECTOS!$A:$N,4,FALSE)="Publico_&lt;10M",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VLOOKUP(A254,04_PROYECTOS!$A:$N,10,FALSE))</f>
        <v/>
      </c>
      <c r="I254">
        <f>ROUNDUP(H254/30,0)</f>
        <v/>
      </c>
      <c r="J254">
        <f>EDATE(C254,I254)</f>
        <v/>
      </c>
      <c r="K254">
        <f>G254</f>
        <v/>
      </c>
    </row>
    <row r="255">
      <c r="E255">
        <f>D255*VLOOKUP(A255,04_PROYECTOS!$A:$N,5,FALSE)*(INDEX(02B_ESCENARIOS!$B$4:$D$11, MATCH("MULT_PRECIO", 02B_ESCENARIOS!$A$4:$A$11, 0), MATCH("Agresivo", 02B_ESCENARIOS!$B$3:$D$3, 0)))*INDEX(02B_ESCENARIOS!$B$15:$D$19, MATCH(VLOOKUP(A255,04_PROYECTOS!$A:$N,9,FALSE), 02B_ESCENARIOS!$A$15:$A$19, 0), MATCH("Agresivo", 02B_ESCENARIOS!$B$14:$D$14, 0))</f>
        <v/>
      </c>
      <c r="F255">
        <f>E255*VLOOKUP(A255,04_PROYECTOS!$A:$N,6,FALSE)</f>
        <v/>
      </c>
      <c r="G255">
        <f>E255+F255</f>
        <v/>
      </c>
      <c r="H255">
        <f>IF(VLOOKUP(A255,04_PROYECTOS!$A:$N,10,FALSE)="", IF(VLOOKUP(A255,04_PROYECTOS!$A:$N,4,FALSE)="Privado", INDEX(02B_ESCENARIOS!$B$4:$D$11, MATCH("DSO_PRIVADO_DEFAULT", 02B_ESCENARIOS!$A$4:$A$11, 0), MATCH("Agresivo", 02B_ESCENARIOS!$B$3:$D$3, 0)), IF(VLOOKUP(A255,04_PROYECTOS!$A:$N,4,FALSE)="Publico_&lt;10M",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VLOOKUP(A255,04_PROYECTOS!$A:$N,10,FALSE))</f>
        <v/>
      </c>
      <c r="I255">
        <f>ROUNDUP(H255/30,0)</f>
        <v/>
      </c>
      <c r="J255">
        <f>EDATE(C255,I255)</f>
        <v/>
      </c>
      <c r="K255">
        <f>G255</f>
        <v/>
      </c>
    </row>
    <row r="256">
      <c r="E256">
        <f>D256*VLOOKUP(A256,04_PROYECTOS!$A:$N,5,FALSE)*(INDEX(02B_ESCENARIOS!$B$4:$D$11, MATCH("MULT_PRECIO", 02B_ESCENARIOS!$A$4:$A$11, 0), MATCH("Agresivo", 02B_ESCENARIOS!$B$3:$D$3, 0)))*INDEX(02B_ESCENARIOS!$B$15:$D$19, MATCH(VLOOKUP(A256,04_PROYECTOS!$A:$N,9,FALSE), 02B_ESCENARIOS!$A$15:$A$19, 0), MATCH("Agresivo", 02B_ESCENARIOS!$B$14:$D$14, 0))</f>
        <v/>
      </c>
      <c r="F256">
        <f>E256*VLOOKUP(A256,04_PROYECTOS!$A:$N,6,FALSE)</f>
        <v/>
      </c>
      <c r="G256">
        <f>E256+F256</f>
        <v/>
      </c>
      <c r="H256">
        <f>IF(VLOOKUP(A256,04_PROYECTOS!$A:$N,10,FALSE)="", IF(VLOOKUP(A256,04_PROYECTOS!$A:$N,4,FALSE)="Privado", INDEX(02B_ESCENARIOS!$B$4:$D$11, MATCH("DSO_PRIVADO_DEFAULT", 02B_ESCENARIOS!$A$4:$A$11, 0), MATCH("Agresivo", 02B_ESCENARIOS!$B$3:$D$3, 0)), IF(VLOOKUP(A256,04_PROYECTOS!$A:$N,4,FALSE)="Publico_&lt;10M",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VLOOKUP(A256,04_PROYECTOS!$A:$N,10,FALSE))</f>
        <v/>
      </c>
      <c r="I256">
        <f>ROUNDUP(H256/30,0)</f>
        <v/>
      </c>
      <c r="J256">
        <f>EDATE(C256,I256)</f>
        <v/>
      </c>
      <c r="K256">
        <f>G256</f>
        <v/>
      </c>
    </row>
    <row r="257">
      <c r="E257">
        <f>D257*VLOOKUP(A257,04_PROYECTOS!$A:$N,5,FALSE)*(INDEX(02B_ESCENARIOS!$B$4:$D$11, MATCH("MULT_PRECIO", 02B_ESCENARIOS!$A$4:$A$11, 0), MATCH("Agresivo", 02B_ESCENARIOS!$B$3:$D$3, 0)))*INDEX(02B_ESCENARIOS!$B$15:$D$19, MATCH(VLOOKUP(A257,04_PROYECTOS!$A:$N,9,FALSE), 02B_ESCENARIOS!$A$15:$A$19, 0), MATCH("Agresivo", 02B_ESCENARIOS!$B$14:$D$14, 0))</f>
        <v/>
      </c>
      <c r="F257">
        <f>E257*VLOOKUP(A257,04_PROYECTOS!$A:$N,6,FALSE)</f>
        <v/>
      </c>
      <c r="G257">
        <f>E257+F257</f>
        <v/>
      </c>
      <c r="H257">
        <f>IF(VLOOKUP(A257,04_PROYECTOS!$A:$N,10,FALSE)="", IF(VLOOKUP(A257,04_PROYECTOS!$A:$N,4,FALSE)="Privado", INDEX(02B_ESCENARIOS!$B$4:$D$11, MATCH("DSO_PRIVADO_DEFAULT", 02B_ESCENARIOS!$A$4:$A$11, 0), MATCH("Agresivo", 02B_ESCENARIOS!$B$3:$D$3, 0)), IF(VLOOKUP(A257,04_PROYECTOS!$A:$N,4,FALSE)="Publico_&lt;10M",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VLOOKUP(A257,04_PROYECTOS!$A:$N,10,FALSE))</f>
        <v/>
      </c>
      <c r="I257">
        <f>ROUNDUP(H257/30,0)</f>
        <v/>
      </c>
      <c r="J257">
        <f>EDATE(C257,I257)</f>
        <v/>
      </c>
      <c r="K257">
        <f>G257</f>
        <v/>
      </c>
    </row>
    <row r="258">
      <c r="E258">
        <f>D258*VLOOKUP(A258,04_PROYECTOS!$A:$N,5,FALSE)*(INDEX(02B_ESCENARIOS!$B$4:$D$11, MATCH("MULT_PRECIO", 02B_ESCENARIOS!$A$4:$A$11, 0), MATCH("Agresivo", 02B_ESCENARIOS!$B$3:$D$3, 0)))*INDEX(02B_ESCENARIOS!$B$15:$D$19, MATCH(VLOOKUP(A258,04_PROYECTOS!$A:$N,9,FALSE), 02B_ESCENARIOS!$A$15:$A$19, 0), MATCH("Agresivo", 02B_ESCENARIOS!$B$14:$D$14, 0))</f>
        <v/>
      </c>
      <c r="F258">
        <f>E258*VLOOKUP(A258,04_PROYECTOS!$A:$N,6,FALSE)</f>
        <v/>
      </c>
      <c r="G258">
        <f>E258+F258</f>
        <v/>
      </c>
      <c r="H258">
        <f>IF(VLOOKUP(A258,04_PROYECTOS!$A:$N,10,FALSE)="", IF(VLOOKUP(A258,04_PROYECTOS!$A:$N,4,FALSE)="Privado", INDEX(02B_ESCENARIOS!$B$4:$D$11, MATCH("DSO_PRIVADO_DEFAULT", 02B_ESCENARIOS!$A$4:$A$11, 0), MATCH("Agresivo", 02B_ESCENARIOS!$B$3:$D$3, 0)), IF(VLOOKUP(A258,04_PROYECTOS!$A:$N,4,FALSE)="Publico_&lt;10M",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VLOOKUP(A258,04_PROYECTOS!$A:$N,10,FALSE))</f>
        <v/>
      </c>
      <c r="I258">
        <f>ROUNDUP(H258/30,0)</f>
        <v/>
      </c>
      <c r="J258">
        <f>EDATE(C258,I258)</f>
        <v/>
      </c>
      <c r="K258">
        <f>G258</f>
        <v/>
      </c>
    </row>
    <row r="259">
      <c r="E259">
        <f>D259*VLOOKUP(A259,04_PROYECTOS!$A:$N,5,FALSE)*(INDEX(02B_ESCENARIOS!$B$4:$D$11, MATCH("MULT_PRECIO", 02B_ESCENARIOS!$A$4:$A$11, 0), MATCH("Agresivo", 02B_ESCENARIOS!$B$3:$D$3, 0)))*INDEX(02B_ESCENARIOS!$B$15:$D$19, MATCH(VLOOKUP(A259,04_PROYECTOS!$A:$N,9,FALSE), 02B_ESCENARIOS!$A$15:$A$19, 0), MATCH("Agresivo", 02B_ESCENARIOS!$B$14:$D$14, 0))</f>
        <v/>
      </c>
      <c r="F259">
        <f>E259*VLOOKUP(A259,04_PROYECTOS!$A:$N,6,FALSE)</f>
        <v/>
      </c>
      <c r="G259">
        <f>E259+F259</f>
        <v/>
      </c>
      <c r="H259">
        <f>IF(VLOOKUP(A259,04_PROYECTOS!$A:$N,10,FALSE)="", IF(VLOOKUP(A259,04_PROYECTOS!$A:$N,4,FALSE)="Privado", INDEX(02B_ESCENARIOS!$B$4:$D$11, MATCH("DSO_PRIVADO_DEFAULT", 02B_ESCENARIOS!$A$4:$A$11, 0), MATCH("Agresivo", 02B_ESCENARIOS!$B$3:$D$3, 0)), IF(VLOOKUP(A259,04_PROYECTOS!$A:$N,4,FALSE)="Publico_&lt;10M",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VLOOKUP(A259,04_PROYECTOS!$A:$N,10,FALSE))</f>
        <v/>
      </c>
      <c r="I259">
        <f>ROUNDUP(H259/30,0)</f>
        <v/>
      </c>
      <c r="J259">
        <f>EDATE(C259,I259)</f>
        <v/>
      </c>
      <c r="K259">
        <f>G259</f>
        <v/>
      </c>
    </row>
    <row r="260">
      <c r="E260">
        <f>D260*VLOOKUP(A260,04_PROYECTOS!$A:$N,5,FALSE)*(INDEX(02B_ESCENARIOS!$B$4:$D$11, MATCH("MULT_PRECIO", 02B_ESCENARIOS!$A$4:$A$11, 0), MATCH("Agresivo", 02B_ESCENARIOS!$B$3:$D$3, 0)))*INDEX(02B_ESCENARIOS!$B$15:$D$19, MATCH(VLOOKUP(A260,04_PROYECTOS!$A:$N,9,FALSE), 02B_ESCENARIOS!$A$15:$A$19, 0), MATCH("Agresivo", 02B_ESCENARIOS!$B$14:$D$14, 0))</f>
        <v/>
      </c>
      <c r="F260">
        <f>E260*VLOOKUP(A260,04_PROYECTOS!$A:$N,6,FALSE)</f>
        <v/>
      </c>
      <c r="G260">
        <f>E260+F260</f>
        <v/>
      </c>
      <c r="H260">
        <f>IF(VLOOKUP(A260,04_PROYECTOS!$A:$N,10,FALSE)="", IF(VLOOKUP(A260,04_PROYECTOS!$A:$N,4,FALSE)="Privado", INDEX(02B_ESCENARIOS!$B$4:$D$11, MATCH("DSO_PRIVADO_DEFAULT", 02B_ESCENARIOS!$A$4:$A$11, 0), MATCH("Agresivo", 02B_ESCENARIOS!$B$3:$D$3, 0)), IF(VLOOKUP(A260,04_PROYECTOS!$A:$N,4,FALSE)="Publico_&lt;10M",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VLOOKUP(A260,04_PROYECTOS!$A:$N,10,FALSE))</f>
        <v/>
      </c>
      <c r="I260">
        <f>ROUNDUP(H260/30,0)</f>
        <v/>
      </c>
      <c r="J260">
        <f>EDATE(C260,I260)</f>
        <v/>
      </c>
      <c r="K260">
        <f>G260</f>
        <v/>
      </c>
    </row>
    <row r="261">
      <c r="E261">
        <f>D261*VLOOKUP(A261,04_PROYECTOS!$A:$N,5,FALSE)*(INDEX(02B_ESCENARIOS!$B$4:$D$11, MATCH("MULT_PRECIO", 02B_ESCENARIOS!$A$4:$A$11, 0), MATCH("Agresivo", 02B_ESCENARIOS!$B$3:$D$3, 0)))*INDEX(02B_ESCENARIOS!$B$15:$D$19, MATCH(VLOOKUP(A261,04_PROYECTOS!$A:$N,9,FALSE), 02B_ESCENARIOS!$A$15:$A$19, 0), MATCH("Agresivo", 02B_ESCENARIOS!$B$14:$D$14, 0))</f>
        <v/>
      </c>
      <c r="F261">
        <f>E261*VLOOKUP(A261,04_PROYECTOS!$A:$N,6,FALSE)</f>
        <v/>
      </c>
      <c r="G261">
        <f>E261+F261</f>
        <v/>
      </c>
      <c r="H261">
        <f>IF(VLOOKUP(A261,04_PROYECTOS!$A:$N,10,FALSE)="", IF(VLOOKUP(A261,04_PROYECTOS!$A:$N,4,FALSE)="Privado", INDEX(02B_ESCENARIOS!$B$4:$D$11, MATCH("DSO_PRIVADO_DEFAULT", 02B_ESCENARIOS!$A$4:$A$11, 0), MATCH("Agresivo", 02B_ESCENARIOS!$B$3:$D$3, 0)), IF(VLOOKUP(A261,04_PROYECTOS!$A:$N,4,FALSE)="Publico_&lt;10M",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VLOOKUP(A261,04_PROYECTOS!$A:$N,10,FALSE))</f>
        <v/>
      </c>
      <c r="I261">
        <f>ROUNDUP(H261/30,0)</f>
        <v/>
      </c>
      <c r="J261">
        <f>EDATE(C261,I261)</f>
        <v/>
      </c>
      <c r="K261">
        <f>G261</f>
        <v/>
      </c>
    </row>
    <row r="262">
      <c r="E262">
        <f>D262*VLOOKUP(A262,04_PROYECTOS!$A:$N,5,FALSE)*(INDEX(02B_ESCENARIOS!$B$4:$D$11, MATCH("MULT_PRECIO", 02B_ESCENARIOS!$A$4:$A$11, 0), MATCH("Agresivo", 02B_ESCENARIOS!$B$3:$D$3, 0)))*INDEX(02B_ESCENARIOS!$B$15:$D$19, MATCH(VLOOKUP(A262,04_PROYECTOS!$A:$N,9,FALSE), 02B_ESCENARIOS!$A$15:$A$19, 0), MATCH("Agresivo", 02B_ESCENARIOS!$B$14:$D$14, 0))</f>
        <v/>
      </c>
      <c r="F262">
        <f>E262*VLOOKUP(A262,04_PROYECTOS!$A:$N,6,FALSE)</f>
        <v/>
      </c>
      <c r="G262">
        <f>E262+F262</f>
        <v/>
      </c>
      <c r="H262">
        <f>IF(VLOOKUP(A262,04_PROYECTOS!$A:$N,10,FALSE)="", IF(VLOOKUP(A262,04_PROYECTOS!$A:$N,4,FALSE)="Privado", INDEX(02B_ESCENARIOS!$B$4:$D$11, MATCH("DSO_PRIVADO_DEFAULT", 02B_ESCENARIOS!$A$4:$A$11, 0), MATCH("Agresivo", 02B_ESCENARIOS!$B$3:$D$3, 0)), IF(VLOOKUP(A262,04_PROYECTOS!$A:$N,4,FALSE)="Publico_&lt;10M",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VLOOKUP(A262,04_PROYECTOS!$A:$N,10,FALSE))</f>
        <v/>
      </c>
      <c r="I262">
        <f>ROUNDUP(H262/30,0)</f>
        <v/>
      </c>
      <c r="J262">
        <f>EDATE(C262,I262)</f>
        <v/>
      </c>
      <c r="K262">
        <f>G262</f>
        <v/>
      </c>
    </row>
    <row r="263">
      <c r="E263">
        <f>D263*VLOOKUP(A263,04_PROYECTOS!$A:$N,5,FALSE)*(INDEX(02B_ESCENARIOS!$B$4:$D$11, MATCH("MULT_PRECIO", 02B_ESCENARIOS!$A$4:$A$11, 0), MATCH("Agresivo", 02B_ESCENARIOS!$B$3:$D$3, 0)))*INDEX(02B_ESCENARIOS!$B$15:$D$19, MATCH(VLOOKUP(A263,04_PROYECTOS!$A:$N,9,FALSE), 02B_ESCENARIOS!$A$15:$A$19, 0), MATCH("Agresivo", 02B_ESCENARIOS!$B$14:$D$14, 0))</f>
        <v/>
      </c>
      <c r="F263">
        <f>E263*VLOOKUP(A263,04_PROYECTOS!$A:$N,6,FALSE)</f>
        <v/>
      </c>
      <c r="G263">
        <f>E263+F263</f>
        <v/>
      </c>
      <c r="H263">
        <f>IF(VLOOKUP(A263,04_PROYECTOS!$A:$N,10,FALSE)="", IF(VLOOKUP(A263,04_PROYECTOS!$A:$N,4,FALSE)="Privado", INDEX(02B_ESCENARIOS!$B$4:$D$11, MATCH("DSO_PRIVADO_DEFAULT", 02B_ESCENARIOS!$A$4:$A$11, 0), MATCH("Agresivo", 02B_ESCENARIOS!$B$3:$D$3, 0)), IF(VLOOKUP(A263,04_PROYECTOS!$A:$N,4,FALSE)="Publico_&lt;10M",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VLOOKUP(A263,04_PROYECTOS!$A:$N,10,FALSE))</f>
        <v/>
      </c>
      <c r="I263">
        <f>ROUNDUP(H263/30,0)</f>
        <v/>
      </c>
      <c r="J263">
        <f>EDATE(C263,I263)</f>
        <v/>
      </c>
      <c r="K263">
        <f>G263</f>
        <v/>
      </c>
    </row>
    <row r="264">
      <c r="E264">
        <f>D264*VLOOKUP(A264,04_PROYECTOS!$A:$N,5,FALSE)*(INDEX(02B_ESCENARIOS!$B$4:$D$11, MATCH("MULT_PRECIO", 02B_ESCENARIOS!$A$4:$A$11, 0), MATCH("Agresivo", 02B_ESCENARIOS!$B$3:$D$3, 0)))*INDEX(02B_ESCENARIOS!$B$15:$D$19, MATCH(VLOOKUP(A264,04_PROYECTOS!$A:$N,9,FALSE), 02B_ESCENARIOS!$A$15:$A$19, 0), MATCH("Agresivo", 02B_ESCENARIOS!$B$14:$D$14, 0))</f>
        <v/>
      </c>
      <c r="F264">
        <f>E264*VLOOKUP(A264,04_PROYECTOS!$A:$N,6,FALSE)</f>
        <v/>
      </c>
      <c r="G264">
        <f>E264+F264</f>
        <v/>
      </c>
      <c r="H264">
        <f>IF(VLOOKUP(A264,04_PROYECTOS!$A:$N,10,FALSE)="", IF(VLOOKUP(A264,04_PROYECTOS!$A:$N,4,FALSE)="Privado", INDEX(02B_ESCENARIOS!$B$4:$D$11, MATCH("DSO_PRIVADO_DEFAULT", 02B_ESCENARIOS!$A$4:$A$11, 0), MATCH("Agresivo", 02B_ESCENARIOS!$B$3:$D$3, 0)), IF(VLOOKUP(A264,04_PROYECTOS!$A:$N,4,FALSE)="Publico_&lt;10M",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VLOOKUP(A264,04_PROYECTOS!$A:$N,10,FALSE))</f>
        <v/>
      </c>
      <c r="I264">
        <f>ROUNDUP(H264/30,0)</f>
        <v/>
      </c>
      <c r="J264">
        <f>EDATE(C264,I264)</f>
        <v/>
      </c>
      <c r="K264">
        <f>G264</f>
        <v/>
      </c>
    </row>
    <row r="265">
      <c r="E265">
        <f>D265*VLOOKUP(A265,04_PROYECTOS!$A:$N,5,FALSE)*(INDEX(02B_ESCENARIOS!$B$4:$D$11, MATCH("MULT_PRECIO", 02B_ESCENARIOS!$A$4:$A$11, 0), MATCH("Agresivo", 02B_ESCENARIOS!$B$3:$D$3, 0)))*INDEX(02B_ESCENARIOS!$B$15:$D$19, MATCH(VLOOKUP(A265,04_PROYECTOS!$A:$N,9,FALSE), 02B_ESCENARIOS!$A$15:$A$19, 0), MATCH("Agresivo", 02B_ESCENARIOS!$B$14:$D$14, 0))</f>
        <v/>
      </c>
      <c r="F265">
        <f>E265*VLOOKUP(A265,04_PROYECTOS!$A:$N,6,FALSE)</f>
        <v/>
      </c>
      <c r="G265">
        <f>E265+F265</f>
        <v/>
      </c>
      <c r="H265">
        <f>IF(VLOOKUP(A265,04_PROYECTOS!$A:$N,10,FALSE)="", IF(VLOOKUP(A265,04_PROYECTOS!$A:$N,4,FALSE)="Privado", INDEX(02B_ESCENARIOS!$B$4:$D$11, MATCH("DSO_PRIVADO_DEFAULT", 02B_ESCENARIOS!$A$4:$A$11, 0), MATCH("Agresivo", 02B_ESCENARIOS!$B$3:$D$3, 0)), IF(VLOOKUP(A265,04_PROYECTOS!$A:$N,4,FALSE)="Publico_&lt;10M",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VLOOKUP(A265,04_PROYECTOS!$A:$N,10,FALSE))</f>
        <v/>
      </c>
      <c r="I265">
        <f>ROUNDUP(H265/30,0)</f>
        <v/>
      </c>
      <c r="J265">
        <f>EDATE(C265,I265)</f>
        <v/>
      </c>
      <c r="K265">
        <f>G265</f>
        <v/>
      </c>
    </row>
    <row r="266">
      <c r="E266">
        <f>D266*VLOOKUP(A266,04_PROYECTOS!$A:$N,5,FALSE)*(INDEX(02B_ESCENARIOS!$B$4:$D$11, MATCH("MULT_PRECIO", 02B_ESCENARIOS!$A$4:$A$11, 0), MATCH("Agresivo", 02B_ESCENARIOS!$B$3:$D$3, 0)))*INDEX(02B_ESCENARIOS!$B$15:$D$19, MATCH(VLOOKUP(A266,04_PROYECTOS!$A:$N,9,FALSE), 02B_ESCENARIOS!$A$15:$A$19, 0), MATCH("Agresivo", 02B_ESCENARIOS!$B$14:$D$14, 0))</f>
        <v/>
      </c>
      <c r="F266">
        <f>E266*VLOOKUP(A266,04_PROYECTOS!$A:$N,6,FALSE)</f>
        <v/>
      </c>
      <c r="G266">
        <f>E266+F266</f>
        <v/>
      </c>
      <c r="H266">
        <f>IF(VLOOKUP(A266,04_PROYECTOS!$A:$N,10,FALSE)="", IF(VLOOKUP(A266,04_PROYECTOS!$A:$N,4,FALSE)="Privado", INDEX(02B_ESCENARIOS!$B$4:$D$11, MATCH("DSO_PRIVADO_DEFAULT", 02B_ESCENARIOS!$A$4:$A$11, 0), MATCH("Agresivo", 02B_ESCENARIOS!$B$3:$D$3, 0)), IF(VLOOKUP(A266,04_PROYECTOS!$A:$N,4,FALSE)="Publico_&lt;10M",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VLOOKUP(A266,04_PROYECTOS!$A:$N,10,FALSE))</f>
        <v/>
      </c>
      <c r="I266">
        <f>ROUNDUP(H266/30,0)</f>
        <v/>
      </c>
      <c r="J266">
        <f>EDATE(C266,I266)</f>
        <v/>
      </c>
      <c r="K266">
        <f>G266</f>
        <v/>
      </c>
    </row>
    <row r="267">
      <c r="E267">
        <f>D267*VLOOKUP(A267,04_PROYECTOS!$A:$N,5,FALSE)*(INDEX(02B_ESCENARIOS!$B$4:$D$11, MATCH("MULT_PRECIO", 02B_ESCENARIOS!$A$4:$A$11, 0), MATCH("Agresivo", 02B_ESCENARIOS!$B$3:$D$3, 0)))*INDEX(02B_ESCENARIOS!$B$15:$D$19, MATCH(VLOOKUP(A267,04_PROYECTOS!$A:$N,9,FALSE), 02B_ESCENARIOS!$A$15:$A$19, 0), MATCH("Agresivo", 02B_ESCENARIOS!$B$14:$D$14, 0))</f>
        <v/>
      </c>
      <c r="F267">
        <f>E267*VLOOKUP(A267,04_PROYECTOS!$A:$N,6,FALSE)</f>
        <v/>
      </c>
      <c r="G267">
        <f>E267+F267</f>
        <v/>
      </c>
      <c r="H267">
        <f>IF(VLOOKUP(A267,04_PROYECTOS!$A:$N,10,FALSE)="", IF(VLOOKUP(A267,04_PROYECTOS!$A:$N,4,FALSE)="Privado", INDEX(02B_ESCENARIOS!$B$4:$D$11, MATCH("DSO_PRIVADO_DEFAULT", 02B_ESCENARIOS!$A$4:$A$11, 0), MATCH("Agresivo", 02B_ESCENARIOS!$B$3:$D$3, 0)), IF(VLOOKUP(A267,04_PROYECTOS!$A:$N,4,FALSE)="Publico_&lt;10M",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VLOOKUP(A267,04_PROYECTOS!$A:$N,10,FALSE))</f>
        <v/>
      </c>
      <c r="I267">
        <f>ROUNDUP(H267/30,0)</f>
        <v/>
      </c>
      <c r="J267">
        <f>EDATE(C267,I267)</f>
        <v/>
      </c>
      <c r="K267">
        <f>G267</f>
        <v/>
      </c>
    </row>
    <row r="268">
      <c r="E268">
        <f>D268*VLOOKUP(A268,04_PROYECTOS!$A:$N,5,FALSE)*(INDEX(02B_ESCENARIOS!$B$4:$D$11, MATCH("MULT_PRECIO", 02B_ESCENARIOS!$A$4:$A$11, 0), MATCH("Agresivo", 02B_ESCENARIOS!$B$3:$D$3, 0)))*INDEX(02B_ESCENARIOS!$B$15:$D$19, MATCH(VLOOKUP(A268,04_PROYECTOS!$A:$N,9,FALSE), 02B_ESCENARIOS!$A$15:$A$19, 0), MATCH("Agresivo", 02B_ESCENARIOS!$B$14:$D$14, 0))</f>
        <v/>
      </c>
      <c r="F268">
        <f>E268*VLOOKUP(A268,04_PROYECTOS!$A:$N,6,FALSE)</f>
        <v/>
      </c>
      <c r="G268">
        <f>E268+F268</f>
        <v/>
      </c>
      <c r="H268">
        <f>IF(VLOOKUP(A268,04_PROYECTOS!$A:$N,10,FALSE)="", IF(VLOOKUP(A268,04_PROYECTOS!$A:$N,4,FALSE)="Privado", INDEX(02B_ESCENARIOS!$B$4:$D$11, MATCH("DSO_PRIVADO_DEFAULT", 02B_ESCENARIOS!$A$4:$A$11, 0), MATCH("Agresivo", 02B_ESCENARIOS!$B$3:$D$3, 0)), IF(VLOOKUP(A268,04_PROYECTOS!$A:$N,4,FALSE)="Publico_&lt;10M",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VLOOKUP(A268,04_PROYECTOS!$A:$N,10,FALSE))</f>
        <v/>
      </c>
      <c r="I268">
        <f>ROUNDUP(H268/30,0)</f>
        <v/>
      </c>
      <c r="J268">
        <f>EDATE(C268,I268)</f>
        <v/>
      </c>
      <c r="K268">
        <f>G268</f>
        <v/>
      </c>
    </row>
    <row r="269">
      <c r="E269">
        <f>D269*VLOOKUP(A269,04_PROYECTOS!$A:$N,5,FALSE)*(INDEX(02B_ESCENARIOS!$B$4:$D$11, MATCH("MULT_PRECIO", 02B_ESCENARIOS!$A$4:$A$11, 0), MATCH("Agresivo", 02B_ESCENARIOS!$B$3:$D$3, 0)))*INDEX(02B_ESCENARIOS!$B$15:$D$19, MATCH(VLOOKUP(A269,04_PROYECTOS!$A:$N,9,FALSE), 02B_ESCENARIOS!$A$15:$A$19, 0), MATCH("Agresivo", 02B_ESCENARIOS!$B$14:$D$14, 0))</f>
        <v/>
      </c>
      <c r="F269">
        <f>E269*VLOOKUP(A269,04_PROYECTOS!$A:$N,6,FALSE)</f>
        <v/>
      </c>
      <c r="G269">
        <f>E269+F269</f>
        <v/>
      </c>
      <c r="H269">
        <f>IF(VLOOKUP(A269,04_PROYECTOS!$A:$N,10,FALSE)="", IF(VLOOKUP(A269,04_PROYECTOS!$A:$N,4,FALSE)="Privado", INDEX(02B_ESCENARIOS!$B$4:$D$11, MATCH("DSO_PRIVADO_DEFAULT", 02B_ESCENARIOS!$A$4:$A$11, 0), MATCH("Agresivo", 02B_ESCENARIOS!$B$3:$D$3, 0)), IF(VLOOKUP(A269,04_PROYECTOS!$A:$N,4,FALSE)="Publico_&lt;10M",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VLOOKUP(A269,04_PROYECTOS!$A:$N,10,FALSE))</f>
        <v/>
      </c>
      <c r="I269">
        <f>ROUNDUP(H269/30,0)</f>
        <v/>
      </c>
      <c r="J269">
        <f>EDATE(C269,I269)</f>
        <v/>
      </c>
      <c r="K269">
        <f>G269</f>
        <v/>
      </c>
    </row>
    <row r="270">
      <c r="E270">
        <f>D270*VLOOKUP(A270,04_PROYECTOS!$A:$N,5,FALSE)*(INDEX(02B_ESCENARIOS!$B$4:$D$11, MATCH("MULT_PRECIO", 02B_ESCENARIOS!$A$4:$A$11, 0), MATCH("Agresivo", 02B_ESCENARIOS!$B$3:$D$3, 0)))*INDEX(02B_ESCENARIOS!$B$15:$D$19, MATCH(VLOOKUP(A270,04_PROYECTOS!$A:$N,9,FALSE), 02B_ESCENARIOS!$A$15:$A$19, 0), MATCH("Agresivo", 02B_ESCENARIOS!$B$14:$D$14, 0))</f>
        <v/>
      </c>
      <c r="F270">
        <f>E270*VLOOKUP(A270,04_PROYECTOS!$A:$N,6,FALSE)</f>
        <v/>
      </c>
      <c r="G270">
        <f>E270+F270</f>
        <v/>
      </c>
      <c r="H270">
        <f>IF(VLOOKUP(A270,04_PROYECTOS!$A:$N,10,FALSE)="", IF(VLOOKUP(A270,04_PROYECTOS!$A:$N,4,FALSE)="Privado", INDEX(02B_ESCENARIOS!$B$4:$D$11, MATCH("DSO_PRIVADO_DEFAULT", 02B_ESCENARIOS!$A$4:$A$11, 0), MATCH("Agresivo", 02B_ESCENARIOS!$B$3:$D$3, 0)), IF(VLOOKUP(A270,04_PROYECTOS!$A:$N,4,FALSE)="Publico_&lt;10M",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VLOOKUP(A270,04_PROYECTOS!$A:$N,10,FALSE))</f>
        <v/>
      </c>
      <c r="I270">
        <f>ROUNDUP(H270/30,0)</f>
        <v/>
      </c>
      <c r="J270">
        <f>EDATE(C270,I270)</f>
        <v/>
      </c>
      <c r="K270">
        <f>G270</f>
        <v/>
      </c>
    </row>
    <row r="271">
      <c r="E271">
        <f>D271*VLOOKUP(A271,04_PROYECTOS!$A:$N,5,FALSE)*(INDEX(02B_ESCENARIOS!$B$4:$D$11, MATCH("MULT_PRECIO", 02B_ESCENARIOS!$A$4:$A$11, 0), MATCH("Agresivo", 02B_ESCENARIOS!$B$3:$D$3, 0)))*INDEX(02B_ESCENARIOS!$B$15:$D$19, MATCH(VLOOKUP(A271,04_PROYECTOS!$A:$N,9,FALSE), 02B_ESCENARIOS!$A$15:$A$19, 0), MATCH("Agresivo", 02B_ESCENARIOS!$B$14:$D$14, 0))</f>
        <v/>
      </c>
      <c r="F271">
        <f>E271*VLOOKUP(A271,04_PROYECTOS!$A:$N,6,FALSE)</f>
        <v/>
      </c>
      <c r="G271">
        <f>E271+F271</f>
        <v/>
      </c>
      <c r="H271">
        <f>IF(VLOOKUP(A271,04_PROYECTOS!$A:$N,10,FALSE)="", IF(VLOOKUP(A271,04_PROYECTOS!$A:$N,4,FALSE)="Privado", INDEX(02B_ESCENARIOS!$B$4:$D$11, MATCH("DSO_PRIVADO_DEFAULT", 02B_ESCENARIOS!$A$4:$A$11, 0), MATCH("Agresivo", 02B_ESCENARIOS!$B$3:$D$3, 0)), IF(VLOOKUP(A271,04_PROYECTOS!$A:$N,4,FALSE)="Publico_&lt;10M",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VLOOKUP(A271,04_PROYECTOS!$A:$N,10,FALSE))</f>
        <v/>
      </c>
      <c r="I271">
        <f>ROUNDUP(H271/30,0)</f>
        <v/>
      </c>
      <c r="J271">
        <f>EDATE(C271,I271)</f>
        <v/>
      </c>
      <c r="K271">
        <f>G271</f>
        <v/>
      </c>
    </row>
    <row r="272">
      <c r="E272">
        <f>D272*VLOOKUP(A272,04_PROYECTOS!$A:$N,5,FALSE)*(INDEX(02B_ESCENARIOS!$B$4:$D$11, MATCH("MULT_PRECIO", 02B_ESCENARIOS!$A$4:$A$11, 0), MATCH("Agresivo", 02B_ESCENARIOS!$B$3:$D$3, 0)))*INDEX(02B_ESCENARIOS!$B$15:$D$19, MATCH(VLOOKUP(A272,04_PROYECTOS!$A:$N,9,FALSE), 02B_ESCENARIOS!$A$15:$A$19, 0), MATCH("Agresivo", 02B_ESCENARIOS!$B$14:$D$14, 0))</f>
        <v/>
      </c>
      <c r="F272">
        <f>E272*VLOOKUP(A272,04_PROYECTOS!$A:$N,6,FALSE)</f>
        <v/>
      </c>
      <c r="G272">
        <f>E272+F272</f>
        <v/>
      </c>
      <c r="H272">
        <f>IF(VLOOKUP(A272,04_PROYECTOS!$A:$N,10,FALSE)="", IF(VLOOKUP(A272,04_PROYECTOS!$A:$N,4,FALSE)="Privado", INDEX(02B_ESCENARIOS!$B$4:$D$11, MATCH("DSO_PRIVADO_DEFAULT", 02B_ESCENARIOS!$A$4:$A$11, 0), MATCH("Agresivo", 02B_ESCENARIOS!$B$3:$D$3, 0)), IF(VLOOKUP(A272,04_PROYECTOS!$A:$N,4,FALSE)="Publico_&lt;10M",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VLOOKUP(A272,04_PROYECTOS!$A:$N,10,FALSE))</f>
        <v/>
      </c>
      <c r="I272">
        <f>ROUNDUP(H272/30,0)</f>
        <v/>
      </c>
      <c r="J272">
        <f>EDATE(C272,I272)</f>
        <v/>
      </c>
      <c r="K272">
        <f>G272</f>
        <v/>
      </c>
    </row>
    <row r="273">
      <c r="E273">
        <f>D273*VLOOKUP(A273,04_PROYECTOS!$A:$N,5,FALSE)*(INDEX(02B_ESCENARIOS!$B$4:$D$11, MATCH("MULT_PRECIO", 02B_ESCENARIOS!$A$4:$A$11, 0), MATCH("Agresivo", 02B_ESCENARIOS!$B$3:$D$3, 0)))*INDEX(02B_ESCENARIOS!$B$15:$D$19, MATCH(VLOOKUP(A273,04_PROYECTOS!$A:$N,9,FALSE), 02B_ESCENARIOS!$A$15:$A$19, 0), MATCH("Agresivo", 02B_ESCENARIOS!$B$14:$D$14, 0))</f>
        <v/>
      </c>
      <c r="F273">
        <f>E273*VLOOKUP(A273,04_PROYECTOS!$A:$N,6,FALSE)</f>
        <v/>
      </c>
      <c r="G273">
        <f>E273+F273</f>
        <v/>
      </c>
      <c r="H273">
        <f>IF(VLOOKUP(A273,04_PROYECTOS!$A:$N,10,FALSE)="", IF(VLOOKUP(A273,04_PROYECTOS!$A:$N,4,FALSE)="Privado", INDEX(02B_ESCENARIOS!$B$4:$D$11, MATCH("DSO_PRIVADO_DEFAULT", 02B_ESCENARIOS!$A$4:$A$11, 0), MATCH("Agresivo", 02B_ESCENARIOS!$B$3:$D$3, 0)), IF(VLOOKUP(A273,04_PROYECTOS!$A:$N,4,FALSE)="Publico_&lt;10M",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VLOOKUP(A273,04_PROYECTOS!$A:$N,10,FALSE))</f>
        <v/>
      </c>
      <c r="I273">
        <f>ROUNDUP(H273/30,0)</f>
        <v/>
      </c>
      <c r="J273">
        <f>EDATE(C273,I273)</f>
        <v/>
      </c>
      <c r="K273">
        <f>G273</f>
        <v/>
      </c>
    </row>
    <row r="274">
      <c r="E274">
        <f>D274*VLOOKUP(A274,04_PROYECTOS!$A:$N,5,FALSE)*(INDEX(02B_ESCENARIOS!$B$4:$D$11, MATCH("MULT_PRECIO", 02B_ESCENARIOS!$A$4:$A$11, 0), MATCH("Agresivo", 02B_ESCENARIOS!$B$3:$D$3, 0)))*INDEX(02B_ESCENARIOS!$B$15:$D$19, MATCH(VLOOKUP(A274,04_PROYECTOS!$A:$N,9,FALSE), 02B_ESCENARIOS!$A$15:$A$19, 0), MATCH("Agresivo", 02B_ESCENARIOS!$B$14:$D$14, 0))</f>
        <v/>
      </c>
      <c r="F274">
        <f>E274*VLOOKUP(A274,04_PROYECTOS!$A:$N,6,FALSE)</f>
        <v/>
      </c>
      <c r="G274">
        <f>E274+F274</f>
        <v/>
      </c>
      <c r="H274">
        <f>IF(VLOOKUP(A274,04_PROYECTOS!$A:$N,10,FALSE)="", IF(VLOOKUP(A274,04_PROYECTOS!$A:$N,4,FALSE)="Privado", INDEX(02B_ESCENARIOS!$B$4:$D$11, MATCH("DSO_PRIVADO_DEFAULT", 02B_ESCENARIOS!$A$4:$A$11, 0), MATCH("Agresivo", 02B_ESCENARIOS!$B$3:$D$3, 0)), IF(VLOOKUP(A274,04_PROYECTOS!$A:$N,4,FALSE)="Publico_&lt;10M",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VLOOKUP(A274,04_PROYECTOS!$A:$N,10,FALSE))</f>
        <v/>
      </c>
      <c r="I274">
        <f>ROUNDUP(H274/30,0)</f>
        <v/>
      </c>
      <c r="J274">
        <f>EDATE(C274,I274)</f>
        <v/>
      </c>
      <c r="K274">
        <f>G274</f>
        <v/>
      </c>
    </row>
    <row r="275">
      <c r="E275">
        <f>D275*VLOOKUP(A275,04_PROYECTOS!$A:$N,5,FALSE)*(INDEX(02B_ESCENARIOS!$B$4:$D$11, MATCH("MULT_PRECIO", 02B_ESCENARIOS!$A$4:$A$11, 0), MATCH("Agresivo", 02B_ESCENARIOS!$B$3:$D$3, 0)))*INDEX(02B_ESCENARIOS!$B$15:$D$19, MATCH(VLOOKUP(A275,04_PROYECTOS!$A:$N,9,FALSE), 02B_ESCENARIOS!$A$15:$A$19, 0), MATCH("Agresivo", 02B_ESCENARIOS!$B$14:$D$14, 0))</f>
        <v/>
      </c>
      <c r="F275">
        <f>E275*VLOOKUP(A275,04_PROYECTOS!$A:$N,6,FALSE)</f>
        <v/>
      </c>
      <c r="G275">
        <f>E275+F275</f>
        <v/>
      </c>
      <c r="H275">
        <f>IF(VLOOKUP(A275,04_PROYECTOS!$A:$N,10,FALSE)="", IF(VLOOKUP(A275,04_PROYECTOS!$A:$N,4,FALSE)="Privado", INDEX(02B_ESCENARIOS!$B$4:$D$11, MATCH("DSO_PRIVADO_DEFAULT", 02B_ESCENARIOS!$A$4:$A$11, 0), MATCH("Agresivo", 02B_ESCENARIOS!$B$3:$D$3, 0)), IF(VLOOKUP(A275,04_PROYECTOS!$A:$N,4,FALSE)="Publico_&lt;10M",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VLOOKUP(A275,04_PROYECTOS!$A:$N,10,FALSE))</f>
        <v/>
      </c>
      <c r="I275">
        <f>ROUNDUP(H275/30,0)</f>
        <v/>
      </c>
      <c r="J275">
        <f>EDATE(C275,I275)</f>
        <v/>
      </c>
      <c r="K275">
        <f>G275</f>
        <v/>
      </c>
    </row>
    <row r="276">
      <c r="E276">
        <f>D276*VLOOKUP(A276,04_PROYECTOS!$A:$N,5,FALSE)*(INDEX(02B_ESCENARIOS!$B$4:$D$11, MATCH("MULT_PRECIO", 02B_ESCENARIOS!$A$4:$A$11, 0), MATCH("Agresivo", 02B_ESCENARIOS!$B$3:$D$3, 0)))*INDEX(02B_ESCENARIOS!$B$15:$D$19, MATCH(VLOOKUP(A276,04_PROYECTOS!$A:$N,9,FALSE), 02B_ESCENARIOS!$A$15:$A$19, 0), MATCH("Agresivo", 02B_ESCENARIOS!$B$14:$D$14, 0))</f>
        <v/>
      </c>
      <c r="F276">
        <f>E276*VLOOKUP(A276,04_PROYECTOS!$A:$N,6,FALSE)</f>
        <v/>
      </c>
      <c r="G276">
        <f>E276+F276</f>
        <v/>
      </c>
      <c r="H276">
        <f>IF(VLOOKUP(A276,04_PROYECTOS!$A:$N,10,FALSE)="", IF(VLOOKUP(A276,04_PROYECTOS!$A:$N,4,FALSE)="Privado", INDEX(02B_ESCENARIOS!$B$4:$D$11, MATCH("DSO_PRIVADO_DEFAULT", 02B_ESCENARIOS!$A$4:$A$11, 0), MATCH("Agresivo", 02B_ESCENARIOS!$B$3:$D$3, 0)), IF(VLOOKUP(A276,04_PROYECTOS!$A:$N,4,FALSE)="Publico_&lt;10M",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VLOOKUP(A276,04_PROYECTOS!$A:$N,10,FALSE))</f>
        <v/>
      </c>
      <c r="I276">
        <f>ROUNDUP(H276/30,0)</f>
        <v/>
      </c>
      <c r="J276">
        <f>EDATE(C276,I276)</f>
        <v/>
      </c>
      <c r="K276">
        <f>G276</f>
        <v/>
      </c>
    </row>
    <row r="277">
      <c r="E277">
        <f>D277*VLOOKUP(A277,04_PROYECTOS!$A:$N,5,FALSE)*(INDEX(02B_ESCENARIOS!$B$4:$D$11, MATCH("MULT_PRECIO", 02B_ESCENARIOS!$A$4:$A$11, 0), MATCH("Agresivo", 02B_ESCENARIOS!$B$3:$D$3, 0)))*INDEX(02B_ESCENARIOS!$B$15:$D$19, MATCH(VLOOKUP(A277,04_PROYECTOS!$A:$N,9,FALSE), 02B_ESCENARIOS!$A$15:$A$19, 0), MATCH("Agresivo", 02B_ESCENARIOS!$B$14:$D$14, 0))</f>
        <v/>
      </c>
      <c r="F277">
        <f>E277*VLOOKUP(A277,04_PROYECTOS!$A:$N,6,FALSE)</f>
        <v/>
      </c>
      <c r="G277">
        <f>E277+F277</f>
        <v/>
      </c>
      <c r="H277">
        <f>IF(VLOOKUP(A277,04_PROYECTOS!$A:$N,10,FALSE)="", IF(VLOOKUP(A277,04_PROYECTOS!$A:$N,4,FALSE)="Privado", INDEX(02B_ESCENARIOS!$B$4:$D$11, MATCH("DSO_PRIVADO_DEFAULT", 02B_ESCENARIOS!$A$4:$A$11, 0), MATCH("Agresivo", 02B_ESCENARIOS!$B$3:$D$3, 0)), IF(VLOOKUP(A277,04_PROYECTOS!$A:$N,4,FALSE)="Publico_&lt;10M",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VLOOKUP(A277,04_PROYECTOS!$A:$N,10,FALSE))</f>
        <v/>
      </c>
      <c r="I277">
        <f>ROUNDUP(H277/30,0)</f>
        <v/>
      </c>
      <c r="J277">
        <f>EDATE(C277,I277)</f>
        <v/>
      </c>
      <c r="K277">
        <f>G277</f>
        <v/>
      </c>
    </row>
    <row r="278">
      <c r="E278">
        <f>D278*VLOOKUP(A278,04_PROYECTOS!$A:$N,5,FALSE)*(INDEX(02B_ESCENARIOS!$B$4:$D$11, MATCH("MULT_PRECIO", 02B_ESCENARIOS!$A$4:$A$11, 0), MATCH("Agresivo", 02B_ESCENARIOS!$B$3:$D$3, 0)))*INDEX(02B_ESCENARIOS!$B$15:$D$19, MATCH(VLOOKUP(A278,04_PROYECTOS!$A:$N,9,FALSE), 02B_ESCENARIOS!$A$15:$A$19, 0), MATCH("Agresivo", 02B_ESCENARIOS!$B$14:$D$14, 0))</f>
        <v/>
      </c>
      <c r="F278">
        <f>E278*VLOOKUP(A278,04_PROYECTOS!$A:$N,6,FALSE)</f>
        <v/>
      </c>
      <c r="G278">
        <f>E278+F278</f>
        <v/>
      </c>
      <c r="H278">
        <f>IF(VLOOKUP(A278,04_PROYECTOS!$A:$N,10,FALSE)="", IF(VLOOKUP(A278,04_PROYECTOS!$A:$N,4,FALSE)="Privado", INDEX(02B_ESCENARIOS!$B$4:$D$11, MATCH("DSO_PRIVADO_DEFAULT", 02B_ESCENARIOS!$A$4:$A$11, 0), MATCH("Agresivo", 02B_ESCENARIOS!$B$3:$D$3, 0)), IF(VLOOKUP(A278,04_PROYECTOS!$A:$N,4,FALSE)="Publico_&lt;10M",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VLOOKUP(A278,04_PROYECTOS!$A:$N,10,FALSE))</f>
        <v/>
      </c>
      <c r="I278">
        <f>ROUNDUP(H278/30,0)</f>
        <v/>
      </c>
      <c r="J278">
        <f>EDATE(C278,I278)</f>
        <v/>
      </c>
      <c r="K278">
        <f>G278</f>
        <v/>
      </c>
    </row>
    <row r="279">
      <c r="E279">
        <f>D279*VLOOKUP(A279,04_PROYECTOS!$A:$N,5,FALSE)*(INDEX(02B_ESCENARIOS!$B$4:$D$11, MATCH("MULT_PRECIO", 02B_ESCENARIOS!$A$4:$A$11, 0), MATCH("Agresivo", 02B_ESCENARIOS!$B$3:$D$3, 0)))*INDEX(02B_ESCENARIOS!$B$15:$D$19, MATCH(VLOOKUP(A279,04_PROYECTOS!$A:$N,9,FALSE), 02B_ESCENARIOS!$A$15:$A$19, 0), MATCH("Agresivo", 02B_ESCENARIOS!$B$14:$D$14, 0))</f>
        <v/>
      </c>
      <c r="F279">
        <f>E279*VLOOKUP(A279,04_PROYECTOS!$A:$N,6,FALSE)</f>
        <v/>
      </c>
      <c r="G279">
        <f>E279+F279</f>
        <v/>
      </c>
      <c r="H279">
        <f>IF(VLOOKUP(A279,04_PROYECTOS!$A:$N,10,FALSE)="", IF(VLOOKUP(A279,04_PROYECTOS!$A:$N,4,FALSE)="Privado", INDEX(02B_ESCENARIOS!$B$4:$D$11, MATCH("DSO_PRIVADO_DEFAULT", 02B_ESCENARIOS!$A$4:$A$11, 0), MATCH("Agresivo", 02B_ESCENARIOS!$B$3:$D$3, 0)), IF(VLOOKUP(A279,04_PROYECTOS!$A:$N,4,FALSE)="Publico_&lt;10M",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VLOOKUP(A279,04_PROYECTOS!$A:$N,10,FALSE))</f>
        <v/>
      </c>
      <c r="I279">
        <f>ROUNDUP(H279/30,0)</f>
        <v/>
      </c>
      <c r="J279">
        <f>EDATE(C279,I279)</f>
        <v/>
      </c>
      <c r="K279">
        <f>G279</f>
        <v/>
      </c>
    </row>
    <row r="280">
      <c r="E280">
        <f>D280*VLOOKUP(A280,04_PROYECTOS!$A:$N,5,FALSE)*(INDEX(02B_ESCENARIOS!$B$4:$D$11, MATCH("MULT_PRECIO", 02B_ESCENARIOS!$A$4:$A$11, 0), MATCH("Agresivo", 02B_ESCENARIOS!$B$3:$D$3, 0)))*INDEX(02B_ESCENARIOS!$B$15:$D$19, MATCH(VLOOKUP(A280,04_PROYECTOS!$A:$N,9,FALSE), 02B_ESCENARIOS!$A$15:$A$19, 0), MATCH("Agresivo", 02B_ESCENARIOS!$B$14:$D$14, 0))</f>
        <v/>
      </c>
      <c r="F280">
        <f>E280*VLOOKUP(A280,04_PROYECTOS!$A:$N,6,FALSE)</f>
        <v/>
      </c>
      <c r="G280">
        <f>E280+F280</f>
        <v/>
      </c>
      <c r="H280">
        <f>IF(VLOOKUP(A280,04_PROYECTOS!$A:$N,10,FALSE)="", IF(VLOOKUP(A280,04_PROYECTOS!$A:$N,4,FALSE)="Privado", INDEX(02B_ESCENARIOS!$B$4:$D$11, MATCH("DSO_PRIVADO_DEFAULT", 02B_ESCENARIOS!$A$4:$A$11, 0), MATCH("Agresivo", 02B_ESCENARIOS!$B$3:$D$3, 0)), IF(VLOOKUP(A280,04_PROYECTOS!$A:$N,4,FALSE)="Publico_&lt;10M",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VLOOKUP(A280,04_PROYECTOS!$A:$N,10,FALSE))</f>
        <v/>
      </c>
      <c r="I280">
        <f>ROUNDUP(H280/30,0)</f>
        <v/>
      </c>
      <c r="J280">
        <f>EDATE(C280,I280)</f>
        <v/>
      </c>
      <c r="K280">
        <f>G280</f>
        <v/>
      </c>
    </row>
    <row r="281">
      <c r="E281">
        <f>D281*VLOOKUP(A281,04_PROYECTOS!$A:$N,5,FALSE)*(INDEX(02B_ESCENARIOS!$B$4:$D$11, MATCH("MULT_PRECIO", 02B_ESCENARIOS!$A$4:$A$11, 0), MATCH("Agresivo", 02B_ESCENARIOS!$B$3:$D$3, 0)))*INDEX(02B_ESCENARIOS!$B$15:$D$19, MATCH(VLOOKUP(A281,04_PROYECTOS!$A:$N,9,FALSE), 02B_ESCENARIOS!$A$15:$A$19, 0), MATCH("Agresivo", 02B_ESCENARIOS!$B$14:$D$14, 0))</f>
        <v/>
      </c>
      <c r="F281">
        <f>E281*VLOOKUP(A281,04_PROYECTOS!$A:$N,6,FALSE)</f>
        <v/>
      </c>
      <c r="G281">
        <f>E281+F281</f>
        <v/>
      </c>
      <c r="H281">
        <f>IF(VLOOKUP(A281,04_PROYECTOS!$A:$N,10,FALSE)="", IF(VLOOKUP(A281,04_PROYECTOS!$A:$N,4,FALSE)="Privado", INDEX(02B_ESCENARIOS!$B$4:$D$11, MATCH("DSO_PRIVADO_DEFAULT", 02B_ESCENARIOS!$A$4:$A$11, 0), MATCH("Agresivo", 02B_ESCENARIOS!$B$3:$D$3, 0)), IF(VLOOKUP(A281,04_PROYECTOS!$A:$N,4,FALSE)="Publico_&lt;10M",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VLOOKUP(A281,04_PROYECTOS!$A:$N,10,FALSE))</f>
        <v/>
      </c>
      <c r="I281">
        <f>ROUNDUP(H281/30,0)</f>
        <v/>
      </c>
      <c r="J281">
        <f>EDATE(C281,I281)</f>
        <v/>
      </c>
      <c r="K281">
        <f>G281</f>
        <v/>
      </c>
    </row>
    <row r="282">
      <c r="E282">
        <f>D282*VLOOKUP(A282,04_PROYECTOS!$A:$N,5,FALSE)*(INDEX(02B_ESCENARIOS!$B$4:$D$11, MATCH("MULT_PRECIO", 02B_ESCENARIOS!$A$4:$A$11, 0), MATCH("Agresivo", 02B_ESCENARIOS!$B$3:$D$3, 0)))*INDEX(02B_ESCENARIOS!$B$15:$D$19, MATCH(VLOOKUP(A282,04_PROYECTOS!$A:$N,9,FALSE), 02B_ESCENARIOS!$A$15:$A$19, 0), MATCH("Agresivo", 02B_ESCENARIOS!$B$14:$D$14, 0))</f>
        <v/>
      </c>
      <c r="F282">
        <f>E282*VLOOKUP(A282,04_PROYECTOS!$A:$N,6,FALSE)</f>
        <v/>
      </c>
      <c r="G282">
        <f>E282+F282</f>
        <v/>
      </c>
      <c r="H282">
        <f>IF(VLOOKUP(A282,04_PROYECTOS!$A:$N,10,FALSE)="", IF(VLOOKUP(A282,04_PROYECTOS!$A:$N,4,FALSE)="Privado", INDEX(02B_ESCENARIOS!$B$4:$D$11, MATCH("DSO_PRIVADO_DEFAULT", 02B_ESCENARIOS!$A$4:$A$11, 0), MATCH("Agresivo", 02B_ESCENARIOS!$B$3:$D$3, 0)), IF(VLOOKUP(A282,04_PROYECTOS!$A:$N,4,FALSE)="Publico_&lt;10M",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VLOOKUP(A282,04_PROYECTOS!$A:$N,10,FALSE))</f>
        <v/>
      </c>
      <c r="I282">
        <f>ROUNDUP(H282/30,0)</f>
        <v/>
      </c>
      <c r="J282">
        <f>EDATE(C282,I282)</f>
        <v/>
      </c>
      <c r="K282">
        <f>G282</f>
        <v/>
      </c>
    </row>
    <row r="283">
      <c r="E283">
        <f>D283*VLOOKUP(A283,04_PROYECTOS!$A:$N,5,FALSE)*(INDEX(02B_ESCENARIOS!$B$4:$D$11, MATCH("MULT_PRECIO", 02B_ESCENARIOS!$A$4:$A$11, 0), MATCH("Agresivo", 02B_ESCENARIOS!$B$3:$D$3, 0)))*INDEX(02B_ESCENARIOS!$B$15:$D$19, MATCH(VLOOKUP(A283,04_PROYECTOS!$A:$N,9,FALSE), 02B_ESCENARIOS!$A$15:$A$19, 0), MATCH("Agresivo", 02B_ESCENARIOS!$B$14:$D$14, 0))</f>
        <v/>
      </c>
      <c r="F283">
        <f>E283*VLOOKUP(A283,04_PROYECTOS!$A:$N,6,FALSE)</f>
        <v/>
      </c>
      <c r="G283">
        <f>E283+F283</f>
        <v/>
      </c>
      <c r="H283">
        <f>IF(VLOOKUP(A283,04_PROYECTOS!$A:$N,10,FALSE)="", IF(VLOOKUP(A283,04_PROYECTOS!$A:$N,4,FALSE)="Privado", INDEX(02B_ESCENARIOS!$B$4:$D$11, MATCH("DSO_PRIVADO_DEFAULT", 02B_ESCENARIOS!$A$4:$A$11, 0), MATCH("Agresivo", 02B_ESCENARIOS!$B$3:$D$3, 0)), IF(VLOOKUP(A283,04_PROYECTOS!$A:$N,4,FALSE)="Publico_&lt;10M",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VLOOKUP(A283,04_PROYECTOS!$A:$N,10,FALSE))</f>
        <v/>
      </c>
      <c r="I283">
        <f>ROUNDUP(H283/30,0)</f>
        <v/>
      </c>
      <c r="J283">
        <f>EDATE(C283,I283)</f>
        <v/>
      </c>
      <c r="K283">
        <f>G283</f>
        <v/>
      </c>
    </row>
    <row r="284">
      <c r="E284">
        <f>D284*VLOOKUP(A284,04_PROYECTOS!$A:$N,5,FALSE)*(INDEX(02B_ESCENARIOS!$B$4:$D$11, MATCH("MULT_PRECIO", 02B_ESCENARIOS!$A$4:$A$11, 0), MATCH("Agresivo", 02B_ESCENARIOS!$B$3:$D$3, 0)))*INDEX(02B_ESCENARIOS!$B$15:$D$19, MATCH(VLOOKUP(A284,04_PROYECTOS!$A:$N,9,FALSE), 02B_ESCENARIOS!$A$15:$A$19, 0), MATCH("Agresivo", 02B_ESCENARIOS!$B$14:$D$14, 0))</f>
        <v/>
      </c>
      <c r="F284">
        <f>E284*VLOOKUP(A284,04_PROYECTOS!$A:$N,6,FALSE)</f>
        <v/>
      </c>
      <c r="G284">
        <f>E284+F284</f>
        <v/>
      </c>
      <c r="H284">
        <f>IF(VLOOKUP(A284,04_PROYECTOS!$A:$N,10,FALSE)="", IF(VLOOKUP(A284,04_PROYECTOS!$A:$N,4,FALSE)="Privado", INDEX(02B_ESCENARIOS!$B$4:$D$11, MATCH("DSO_PRIVADO_DEFAULT", 02B_ESCENARIOS!$A$4:$A$11, 0), MATCH("Agresivo", 02B_ESCENARIOS!$B$3:$D$3, 0)), IF(VLOOKUP(A284,04_PROYECTOS!$A:$N,4,FALSE)="Publico_&lt;10M",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VLOOKUP(A284,04_PROYECTOS!$A:$N,10,FALSE))</f>
        <v/>
      </c>
      <c r="I284">
        <f>ROUNDUP(H284/30,0)</f>
        <v/>
      </c>
      <c r="J284">
        <f>EDATE(C284,I284)</f>
        <v/>
      </c>
      <c r="K284">
        <f>G284</f>
        <v/>
      </c>
    </row>
    <row r="285">
      <c r="E285">
        <f>D285*VLOOKUP(A285,04_PROYECTOS!$A:$N,5,FALSE)*(INDEX(02B_ESCENARIOS!$B$4:$D$11, MATCH("MULT_PRECIO", 02B_ESCENARIOS!$A$4:$A$11, 0), MATCH("Agresivo", 02B_ESCENARIOS!$B$3:$D$3, 0)))*INDEX(02B_ESCENARIOS!$B$15:$D$19, MATCH(VLOOKUP(A285,04_PROYECTOS!$A:$N,9,FALSE), 02B_ESCENARIOS!$A$15:$A$19, 0), MATCH("Agresivo", 02B_ESCENARIOS!$B$14:$D$14, 0))</f>
        <v/>
      </c>
      <c r="F285">
        <f>E285*VLOOKUP(A285,04_PROYECTOS!$A:$N,6,FALSE)</f>
        <v/>
      </c>
      <c r="G285">
        <f>E285+F285</f>
        <v/>
      </c>
      <c r="H285">
        <f>IF(VLOOKUP(A285,04_PROYECTOS!$A:$N,10,FALSE)="", IF(VLOOKUP(A285,04_PROYECTOS!$A:$N,4,FALSE)="Privado", INDEX(02B_ESCENARIOS!$B$4:$D$11, MATCH("DSO_PRIVADO_DEFAULT", 02B_ESCENARIOS!$A$4:$A$11, 0), MATCH("Agresivo", 02B_ESCENARIOS!$B$3:$D$3, 0)), IF(VLOOKUP(A285,04_PROYECTOS!$A:$N,4,FALSE)="Publico_&lt;10M",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VLOOKUP(A285,04_PROYECTOS!$A:$N,10,FALSE))</f>
        <v/>
      </c>
      <c r="I285">
        <f>ROUNDUP(H285/30,0)</f>
        <v/>
      </c>
      <c r="J285">
        <f>EDATE(C285,I285)</f>
        <v/>
      </c>
      <c r="K285">
        <f>G285</f>
        <v/>
      </c>
    </row>
    <row r="286">
      <c r="E286">
        <f>D286*VLOOKUP(A286,04_PROYECTOS!$A:$N,5,FALSE)*(INDEX(02B_ESCENARIOS!$B$4:$D$11, MATCH("MULT_PRECIO", 02B_ESCENARIOS!$A$4:$A$11, 0), MATCH("Agresivo", 02B_ESCENARIOS!$B$3:$D$3, 0)))*INDEX(02B_ESCENARIOS!$B$15:$D$19, MATCH(VLOOKUP(A286,04_PROYECTOS!$A:$N,9,FALSE), 02B_ESCENARIOS!$A$15:$A$19, 0), MATCH("Agresivo", 02B_ESCENARIOS!$B$14:$D$14, 0))</f>
        <v/>
      </c>
      <c r="F286">
        <f>E286*VLOOKUP(A286,04_PROYECTOS!$A:$N,6,FALSE)</f>
        <v/>
      </c>
      <c r="G286">
        <f>E286+F286</f>
        <v/>
      </c>
      <c r="H286">
        <f>IF(VLOOKUP(A286,04_PROYECTOS!$A:$N,10,FALSE)="", IF(VLOOKUP(A286,04_PROYECTOS!$A:$N,4,FALSE)="Privado", INDEX(02B_ESCENARIOS!$B$4:$D$11, MATCH("DSO_PRIVADO_DEFAULT", 02B_ESCENARIOS!$A$4:$A$11, 0), MATCH("Agresivo", 02B_ESCENARIOS!$B$3:$D$3, 0)), IF(VLOOKUP(A286,04_PROYECTOS!$A:$N,4,FALSE)="Publico_&lt;10M",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VLOOKUP(A286,04_PROYECTOS!$A:$N,10,FALSE))</f>
        <v/>
      </c>
      <c r="I286">
        <f>ROUNDUP(H286/30,0)</f>
        <v/>
      </c>
      <c r="J286">
        <f>EDATE(C286,I286)</f>
        <v/>
      </c>
      <c r="K286">
        <f>G286</f>
        <v/>
      </c>
    </row>
    <row r="287">
      <c r="E287">
        <f>D287*VLOOKUP(A287,04_PROYECTOS!$A:$N,5,FALSE)*(INDEX(02B_ESCENARIOS!$B$4:$D$11, MATCH("MULT_PRECIO", 02B_ESCENARIOS!$A$4:$A$11, 0), MATCH("Agresivo", 02B_ESCENARIOS!$B$3:$D$3, 0)))*INDEX(02B_ESCENARIOS!$B$15:$D$19, MATCH(VLOOKUP(A287,04_PROYECTOS!$A:$N,9,FALSE), 02B_ESCENARIOS!$A$15:$A$19, 0), MATCH("Agresivo", 02B_ESCENARIOS!$B$14:$D$14, 0))</f>
        <v/>
      </c>
      <c r="F287">
        <f>E287*VLOOKUP(A287,04_PROYECTOS!$A:$N,6,FALSE)</f>
        <v/>
      </c>
      <c r="G287">
        <f>E287+F287</f>
        <v/>
      </c>
      <c r="H287">
        <f>IF(VLOOKUP(A287,04_PROYECTOS!$A:$N,10,FALSE)="", IF(VLOOKUP(A287,04_PROYECTOS!$A:$N,4,FALSE)="Privado", INDEX(02B_ESCENARIOS!$B$4:$D$11, MATCH("DSO_PRIVADO_DEFAULT", 02B_ESCENARIOS!$A$4:$A$11, 0), MATCH("Agresivo", 02B_ESCENARIOS!$B$3:$D$3, 0)), IF(VLOOKUP(A287,04_PROYECTOS!$A:$N,4,FALSE)="Publico_&lt;10M",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VLOOKUP(A287,04_PROYECTOS!$A:$N,10,FALSE))</f>
        <v/>
      </c>
      <c r="I287">
        <f>ROUNDUP(H287/30,0)</f>
        <v/>
      </c>
      <c r="J287">
        <f>EDATE(C287,I287)</f>
        <v/>
      </c>
      <c r="K287">
        <f>G287</f>
        <v/>
      </c>
    </row>
    <row r="288">
      <c r="E288">
        <f>D288*VLOOKUP(A288,04_PROYECTOS!$A:$N,5,FALSE)*(INDEX(02B_ESCENARIOS!$B$4:$D$11, MATCH("MULT_PRECIO", 02B_ESCENARIOS!$A$4:$A$11, 0), MATCH("Agresivo", 02B_ESCENARIOS!$B$3:$D$3, 0)))*INDEX(02B_ESCENARIOS!$B$15:$D$19, MATCH(VLOOKUP(A288,04_PROYECTOS!$A:$N,9,FALSE), 02B_ESCENARIOS!$A$15:$A$19, 0), MATCH("Agresivo", 02B_ESCENARIOS!$B$14:$D$14, 0))</f>
        <v/>
      </c>
      <c r="F288">
        <f>E288*VLOOKUP(A288,04_PROYECTOS!$A:$N,6,FALSE)</f>
        <v/>
      </c>
      <c r="G288">
        <f>E288+F288</f>
        <v/>
      </c>
      <c r="H288">
        <f>IF(VLOOKUP(A288,04_PROYECTOS!$A:$N,10,FALSE)="", IF(VLOOKUP(A288,04_PROYECTOS!$A:$N,4,FALSE)="Privado", INDEX(02B_ESCENARIOS!$B$4:$D$11, MATCH("DSO_PRIVADO_DEFAULT", 02B_ESCENARIOS!$A$4:$A$11, 0), MATCH("Agresivo", 02B_ESCENARIOS!$B$3:$D$3, 0)), IF(VLOOKUP(A288,04_PROYECTOS!$A:$N,4,FALSE)="Publico_&lt;10M",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VLOOKUP(A288,04_PROYECTOS!$A:$N,10,FALSE))</f>
        <v/>
      </c>
      <c r="I288">
        <f>ROUNDUP(H288/30,0)</f>
        <v/>
      </c>
      <c r="J288">
        <f>EDATE(C288,I288)</f>
        <v/>
      </c>
      <c r="K288">
        <f>G288</f>
        <v/>
      </c>
    </row>
    <row r="289">
      <c r="E289">
        <f>D289*VLOOKUP(A289,04_PROYECTOS!$A:$N,5,FALSE)*(INDEX(02B_ESCENARIOS!$B$4:$D$11, MATCH("MULT_PRECIO", 02B_ESCENARIOS!$A$4:$A$11, 0), MATCH("Agresivo", 02B_ESCENARIOS!$B$3:$D$3, 0)))*INDEX(02B_ESCENARIOS!$B$15:$D$19, MATCH(VLOOKUP(A289,04_PROYECTOS!$A:$N,9,FALSE), 02B_ESCENARIOS!$A$15:$A$19, 0), MATCH("Agresivo", 02B_ESCENARIOS!$B$14:$D$14, 0))</f>
        <v/>
      </c>
      <c r="F289">
        <f>E289*VLOOKUP(A289,04_PROYECTOS!$A:$N,6,FALSE)</f>
        <v/>
      </c>
      <c r="G289">
        <f>E289+F289</f>
        <v/>
      </c>
      <c r="H289">
        <f>IF(VLOOKUP(A289,04_PROYECTOS!$A:$N,10,FALSE)="", IF(VLOOKUP(A289,04_PROYECTOS!$A:$N,4,FALSE)="Privado", INDEX(02B_ESCENARIOS!$B$4:$D$11, MATCH("DSO_PRIVADO_DEFAULT", 02B_ESCENARIOS!$A$4:$A$11, 0), MATCH("Agresivo", 02B_ESCENARIOS!$B$3:$D$3, 0)), IF(VLOOKUP(A289,04_PROYECTOS!$A:$N,4,FALSE)="Publico_&lt;10M",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VLOOKUP(A289,04_PROYECTOS!$A:$N,10,FALSE))</f>
        <v/>
      </c>
      <c r="I289">
        <f>ROUNDUP(H289/30,0)</f>
        <v/>
      </c>
      <c r="J289">
        <f>EDATE(C289,I289)</f>
        <v/>
      </c>
      <c r="K289">
        <f>G289</f>
        <v/>
      </c>
    </row>
    <row r="290">
      <c r="E290">
        <f>D290*VLOOKUP(A290,04_PROYECTOS!$A:$N,5,FALSE)*(INDEX(02B_ESCENARIOS!$B$4:$D$11, MATCH("MULT_PRECIO", 02B_ESCENARIOS!$A$4:$A$11, 0), MATCH("Agresivo", 02B_ESCENARIOS!$B$3:$D$3, 0)))*INDEX(02B_ESCENARIOS!$B$15:$D$19, MATCH(VLOOKUP(A290,04_PROYECTOS!$A:$N,9,FALSE), 02B_ESCENARIOS!$A$15:$A$19, 0), MATCH("Agresivo", 02B_ESCENARIOS!$B$14:$D$14, 0))</f>
        <v/>
      </c>
      <c r="F290">
        <f>E290*VLOOKUP(A290,04_PROYECTOS!$A:$N,6,FALSE)</f>
        <v/>
      </c>
      <c r="G290">
        <f>E290+F290</f>
        <v/>
      </c>
      <c r="H290">
        <f>IF(VLOOKUP(A290,04_PROYECTOS!$A:$N,10,FALSE)="", IF(VLOOKUP(A290,04_PROYECTOS!$A:$N,4,FALSE)="Privado", INDEX(02B_ESCENARIOS!$B$4:$D$11, MATCH("DSO_PRIVADO_DEFAULT", 02B_ESCENARIOS!$A$4:$A$11, 0), MATCH("Agresivo", 02B_ESCENARIOS!$B$3:$D$3, 0)), IF(VLOOKUP(A290,04_PROYECTOS!$A:$N,4,FALSE)="Publico_&lt;10M",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VLOOKUP(A290,04_PROYECTOS!$A:$N,10,FALSE))</f>
        <v/>
      </c>
      <c r="I290">
        <f>ROUNDUP(H290/30,0)</f>
        <v/>
      </c>
      <c r="J290">
        <f>EDATE(C290,I290)</f>
        <v/>
      </c>
      <c r="K290">
        <f>G290</f>
        <v/>
      </c>
    </row>
    <row r="291">
      <c r="E291">
        <f>D291*VLOOKUP(A291,04_PROYECTOS!$A:$N,5,FALSE)*(INDEX(02B_ESCENARIOS!$B$4:$D$11, MATCH("MULT_PRECIO", 02B_ESCENARIOS!$A$4:$A$11, 0), MATCH("Agresivo", 02B_ESCENARIOS!$B$3:$D$3, 0)))*INDEX(02B_ESCENARIOS!$B$15:$D$19, MATCH(VLOOKUP(A291,04_PROYECTOS!$A:$N,9,FALSE), 02B_ESCENARIOS!$A$15:$A$19, 0), MATCH("Agresivo", 02B_ESCENARIOS!$B$14:$D$14, 0))</f>
        <v/>
      </c>
      <c r="F291">
        <f>E291*VLOOKUP(A291,04_PROYECTOS!$A:$N,6,FALSE)</f>
        <v/>
      </c>
      <c r="G291">
        <f>E291+F291</f>
        <v/>
      </c>
      <c r="H291">
        <f>IF(VLOOKUP(A291,04_PROYECTOS!$A:$N,10,FALSE)="", IF(VLOOKUP(A291,04_PROYECTOS!$A:$N,4,FALSE)="Privado", INDEX(02B_ESCENARIOS!$B$4:$D$11, MATCH("DSO_PRIVADO_DEFAULT", 02B_ESCENARIOS!$A$4:$A$11, 0), MATCH("Agresivo", 02B_ESCENARIOS!$B$3:$D$3, 0)), IF(VLOOKUP(A291,04_PROYECTOS!$A:$N,4,FALSE)="Publico_&lt;10M",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VLOOKUP(A291,04_PROYECTOS!$A:$N,10,FALSE))</f>
        <v/>
      </c>
      <c r="I291">
        <f>ROUNDUP(H291/30,0)</f>
        <v/>
      </c>
      <c r="J291">
        <f>EDATE(C291,I291)</f>
        <v/>
      </c>
      <c r="K291">
        <f>G291</f>
        <v/>
      </c>
    </row>
    <row r="292">
      <c r="E292">
        <f>D292*VLOOKUP(A292,04_PROYECTOS!$A:$N,5,FALSE)*(INDEX(02B_ESCENARIOS!$B$4:$D$11, MATCH("MULT_PRECIO", 02B_ESCENARIOS!$A$4:$A$11, 0), MATCH("Agresivo", 02B_ESCENARIOS!$B$3:$D$3, 0)))*INDEX(02B_ESCENARIOS!$B$15:$D$19, MATCH(VLOOKUP(A292,04_PROYECTOS!$A:$N,9,FALSE), 02B_ESCENARIOS!$A$15:$A$19, 0), MATCH("Agresivo", 02B_ESCENARIOS!$B$14:$D$14, 0))</f>
        <v/>
      </c>
      <c r="F292">
        <f>E292*VLOOKUP(A292,04_PROYECTOS!$A:$N,6,FALSE)</f>
        <v/>
      </c>
      <c r="G292">
        <f>E292+F292</f>
        <v/>
      </c>
      <c r="H292">
        <f>IF(VLOOKUP(A292,04_PROYECTOS!$A:$N,10,FALSE)="", IF(VLOOKUP(A292,04_PROYECTOS!$A:$N,4,FALSE)="Privado", INDEX(02B_ESCENARIOS!$B$4:$D$11, MATCH("DSO_PRIVADO_DEFAULT", 02B_ESCENARIOS!$A$4:$A$11, 0), MATCH("Agresivo", 02B_ESCENARIOS!$B$3:$D$3, 0)), IF(VLOOKUP(A292,04_PROYECTOS!$A:$N,4,FALSE)="Publico_&lt;10M",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VLOOKUP(A292,04_PROYECTOS!$A:$N,10,FALSE))</f>
        <v/>
      </c>
      <c r="I292">
        <f>ROUNDUP(H292/30,0)</f>
        <v/>
      </c>
      <c r="J292">
        <f>EDATE(C292,I292)</f>
        <v/>
      </c>
      <c r="K292">
        <f>G292</f>
        <v/>
      </c>
    </row>
    <row r="293">
      <c r="E293">
        <f>D293*VLOOKUP(A293,04_PROYECTOS!$A:$N,5,FALSE)*(INDEX(02B_ESCENARIOS!$B$4:$D$11, MATCH("MULT_PRECIO", 02B_ESCENARIOS!$A$4:$A$11, 0), MATCH("Agresivo", 02B_ESCENARIOS!$B$3:$D$3, 0)))*INDEX(02B_ESCENARIOS!$B$15:$D$19, MATCH(VLOOKUP(A293,04_PROYECTOS!$A:$N,9,FALSE), 02B_ESCENARIOS!$A$15:$A$19, 0), MATCH("Agresivo", 02B_ESCENARIOS!$B$14:$D$14, 0))</f>
        <v/>
      </c>
      <c r="F293">
        <f>E293*VLOOKUP(A293,04_PROYECTOS!$A:$N,6,FALSE)</f>
        <v/>
      </c>
      <c r="G293">
        <f>E293+F293</f>
        <v/>
      </c>
      <c r="H293">
        <f>IF(VLOOKUP(A293,04_PROYECTOS!$A:$N,10,FALSE)="", IF(VLOOKUP(A293,04_PROYECTOS!$A:$N,4,FALSE)="Privado", INDEX(02B_ESCENARIOS!$B$4:$D$11, MATCH("DSO_PRIVADO_DEFAULT", 02B_ESCENARIOS!$A$4:$A$11, 0), MATCH("Agresivo", 02B_ESCENARIOS!$B$3:$D$3, 0)), IF(VLOOKUP(A293,04_PROYECTOS!$A:$N,4,FALSE)="Publico_&lt;10M",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VLOOKUP(A293,04_PROYECTOS!$A:$N,10,FALSE))</f>
        <v/>
      </c>
      <c r="I293">
        <f>ROUNDUP(H293/30,0)</f>
        <v/>
      </c>
      <c r="J293">
        <f>EDATE(C293,I293)</f>
        <v/>
      </c>
      <c r="K293">
        <f>G293</f>
        <v/>
      </c>
    </row>
    <row r="294">
      <c r="E294">
        <f>D294*VLOOKUP(A294,04_PROYECTOS!$A:$N,5,FALSE)*(INDEX(02B_ESCENARIOS!$B$4:$D$11, MATCH("MULT_PRECIO", 02B_ESCENARIOS!$A$4:$A$11, 0), MATCH("Agresivo", 02B_ESCENARIOS!$B$3:$D$3, 0)))*INDEX(02B_ESCENARIOS!$B$15:$D$19, MATCH(VLOOKUP(A294,04_PROYECTOS!$A:$N,9,FALSE), 02B_ESCENARIOS!$A$15:$A$19, 0), MATCH("Agresivo", 02B_ESCENARIOS!$B$14:$D$14, 0))</f>
        <v/>
      </c>
      <c r="F294">
        <f>E294*VLOOKUP(A294,04_PROYECTOS!$A:$N,6,FALSE)</f>
        <v/>
      </c>
      <c r="G294">
        <f>E294+F294</f>
        <v/>
      </c>
      <c r="H294">
        <f>IF(VLOOKUP(A294,04_PROYECTOS!$A:$N,10,FALSE)="", IF(VLOOKUP(A294,04_PROYECTOS!$A:$N,4,FALSE)="Privado", INDEX(02B_ESCENARIOS!$B$4:$D$11, MATCH("DSO_PRIVADO_DEFAULT", 02B_ESCENARIOS!$A$4:$A$11, 0), MATCH("Agresivo", 02B_ESCENARIOS!$B$3:$D$3, 0)), IF(VLOOKUP(A294,04_PROYECTOS!$A:$N,4,FALSE)="Publico_&lt;10M",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VLOOKUP(A294,04_PROYECTOS!$A:$N,10,FALSE))</f>
        <v/>
      </c>
      <c r="I294">
        <f>ROUNDUP(H294/30,0)</f>
        <v/>
      </c>
      <c r="J294">
        <f>EDATE(C294,I294)</f>
        <v/>
      </c>
      <c r="K294">
        <f>G294</f>
        <v/>
      </c>
    </row>
    <row r="295">
      <c r="E295">
        <f>D295*VLOOKUP(A295,04_PROYECTOS!$A:$N,5,FALSE)*(INDEX(02B_ESCENARIOS!$B$4:$D$11, MATCH("MULT_PRECIO", 02B_ESCENARIOS!$A$4:$A$11, 0), MATCH("Agresivo", 02B_ESCENARIOS!$B$3:$D$3, 0)))*INDEX(02B_ESCENARIOS!$B$15:$D$19, MATCH(VLOOKUP(A295,04_PROYECTOS!$A:$N,9,FALSE), 02B_ESCENARIOS!$A$15:$A$19, 0), MATCH("Agresivo", 02B_ESCENARIOS!$B$14:$D$14, 0))</f>
        <v/>
      </c>
      <c r="F295">
        <f>E295*VLOOKUP(A295,04_PROYECTOS!$A:$N,6,FALSE)</f>
        <v/>
      </c>
      <c r="G295">
        <f>E295+F295</f>
        <v/>
      </c>
      <c r="H295">
        <f>IF(VLOOKUP(A295,04_PROYECTOS!$A:$N,10,FALSE)="", IF(VLOOKUP(A295,04_PROYECTOS!$A:$N,4,FALSE)="Privado", INDEX(02B_ESCENARIOS!$B$4:$D$11, MATCH("DSO_PRIVADO_DEFAULT", 02B_ESCENARIOS!$A$4:$A$11, 0), MATCH("Agresivo", 02B_ESCENARIOS!$B$3:$D$3, 0)), IF(VLOOKUP(A295,04_PROYECTOS!$A:$N,4,FALSE)="Publico_&lt;10M",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VLOOKUP(A295,04_PROYECTOS!$A:$N,10,FALSE))</f>
        <v/>
      </c>
      <c r="I295">
        <f>ROUNDUP(H295/30,0)</f>
        <v/>
      </c>
      <c r="J295">
        <f>EDATE(C295,I295)</f>
        <v/>
      </c>
      <c r="K295">
        <f>G295</f>
        <v/>
      </c>
    </row>
    <row r="296">
      <c r="E296">
        <f>D296*VLOOKUP(A296,04_PROYECTOS!$A:$N,5,FALSE)*(INDEX(02B_ESCENARIOS!$B$4:$D$11, MATCH("MULT_PRECIO", 02B_ESCENARIOS!$A$4:$A$11, 0), MATCH("Agresivo", 02B_ESCENARIOS!$B$3:$D$3, 0)))*INDEX(02B_ESCENARIOS!$B$15:$D$19, MATCH(VLOOKUP(A296,04_PROYECTOS!$A:$N,9,FALSE), 02B_ESCENARIOS!$A$15:$A$19, 0), MATCH("Agresivo", 02B_ESCENARIOS!$B$14:$D$14, 0))</f>
        <v/>
      </c>
      <c r="F296">
        <f>E296*VLOOKUP(A296,04_PROYECTOS!$A:$N,6,FALSE)</f>
        <v/>
      </c>
      <c r="G296">
        <f>E296+F296</f>
        <v/>
      </c>
      <c r="H296">
        <f>IF(VLOOKUP(A296,04_PROYECTOS!$A:$N,10,FALSE)="", IF(VLOOKUP(A296,04_PROYECTOS!$A:$N,4,FALSE)="Privado", INDEX(02B_ESCENARIOS!$B$4:$D$11, MATCH("DSO_PRIVADO_DEFAULT", 02B_ESCENARIOS!$A$4:$A$11, 0), MATCH("Agresivo", 02B_ESCENARIOS!$B$3:$D$3, 0)), IF(VLOOKUP(A296,04_PROYECTOS!$A:$N,4,FALSE)="Publico_&lt;10M",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VLOOKUP(A296,04_PROYECTOS!$A:$N,10,FALSE))</f>
        <v/>
      </c>
      <c r="I296">
        <f>ROUNDUP(H296/30,0)</f>
        <v/>
      </c>
      <c r="J296">
        <f>EDATE(C296,I296)</f>
        <v/>
      </c>
      <c r="K296">
        <f>G296</f>
        <v/>
      </c>
    </row>
    <row r="297">
      <c r="E297">
        <f>D297*VLOOKUP(A297,04_PROYECTOS!$A:$N,5,FALSE)*(INDEX(02B_ESCENARIOS!$B$4:$D$11, MATCH("MULT_PRECIO", 02B_ESCENARIOS!$A$4:$A$11, 0), MATCH("Agresivo", 02B_ESCENARIOS!$B$3:$D$3, 0)))*INDEX(02B_ESCENARIOS!$B$15:$D$19, MATCH(VLOOKUP(A297,04_PROYECTOS!$A:$N,9,FALSE), 02B_ESCENARIOS!$A$15:$A$19, 0), MATCH("Agresivo", 02B_ESCENARIOS!$B$14:$D$14, 0))</f>
        <v/>
      </c>
      <c r="F297">
        <f>E297*VLOOKUP(A297,04_PROYECTOS!$A:$N,6,FALSE)</f>
        <v/>
      </c>
      <c r="G297">
        <f>E297+F297</f>
        <v/>
      </c>
      <c r="H297">
        <f>IF(VLOOKUP(A297,04_PROYECTOS!$A:$N,10,FALSE)="", IF(VLOOKUP(A297,04_PROYECTOS!$A:$N,4,FALSE)="Privado", INDEX(02B_ESCENARIOS!$B$4:$D$11, MATCH("DSO_PRIVADO_DEFAULT", 02B_ESCENARIOS!$A$4:$A$11, 0), MATCH("Agresivo", 02B_ESCENARIOS!$B$3:$D$3, 0)), IF(VLOOKUP(A297,04_PROYECTOS!$A:$N,4,FALSE)="Publico_&lt;10M",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VLOOKUP(A297,04_PROYECTOS!$A:$N,10,FALSE))</f>
        <v/>
      </c>
      <c r="I297">
        <f>ROUNDUP(H297/30,0)</f>
        <v/>
      </c>
      <c r="J297">
        <f>EDATE(C297,I297)</f>
        <v/>
      </c>
      <c r="K297">
        <f>G297</f>
        <v/>
      </c>
    </row>
    <row r="298">
      <c r="E298">
        <f>D298*VLOOKUP(A298,04_PROYECTOS!$A:$N,5,FALSE)*(INDEX(02B_ESCENARIOS!$B$4:$D$11, MATCH("MULT_PRECIO", 02B_ESCENARIOS!$A$4:$A$11, 0), MATCH("Agresivo", 02B_ESCENARIOS!$B$3:$D$3, 0)))*INDEX(02B_ESCENARIOS!$B$15:$D$19, MATCH(VLOOKUP(A298,04_PROYECTOS!$A:$N,9,FALSE), 02B_ESCENARIOS!$A$15:$A$19, 0), MATCH("Agresivo", 02B_ESCENARIOS!$B$14:$D$14, 0))</f>
        <v/>
      </c>
      <c r="F298">
        <f>E298*VLOOKUP(A298,04_PROYECTOS!$A:$N,6,FALSE)</f>
        <v/>
      </c>
      <c r="G298">
        <f>E298+F298</f>
        <v/>
      </c>
      <c r="H298">
        <f>IF(VLOOKUP(A298,04_PROYECTOS!$A:$N,10,FALSE)="", IF(VLOOKUP(A298,04_PROYECTOS!$A:$N,4,FALSE)="Privado", INDEX(02B_ESCENARIOS!$B$4:$D$11, MATCH("DSO_PRIVADO_DEFAULT", 02B_ESCENARIOS!$A$4:$A$11, 0), MATCH("Agresivo", 02B_ESCENARIOS!$B$3:$D$3, 0)), IF(VLOOKUP(A298,04_PROYECTOS!$A:$N,4,FALSE)="Publico_&lt;10M",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VLOOKUP(A298,04_PROYECTOS!$A:$N,10,FALSE))</f>
        <v/>
      </c>
      <c r="I298">
        <f>ROUNDUP(H298/30,0)</f>
        <v/>
      </c>
      <c r="J298">
        <f>EDATE(C298,I298)</f>
        <v/>
      </c>
      <c r="K298">
        <f>G298</f>
        <v/>
      </c>
    </row>
    <row r="299">
      <c r="E299">
        <f>D299*VLOOKUP(A299,04_PROYECTOS!$A:$N,5,FALSE)*(INDEX(02B_ESCENARIOS!$B$4:$D$11, MATCH("MULT_PRECIO", 02B_ESCENARIOS!$A$4:$A$11, 0), MATCH("Agresivo", 02B_ESCENARIOS!$B$3:$D$3, 0)))*INDEX(02B_ESCENARIOS!$B$15:$D$19, MATCH(VLOOKUP(A299,04_PROYECTOS!$A:$N,9,FALSE), 02B_ESCENARIOS!$A$15:$A$19, 0), MATCH("Agresivo", 02B_ESCENARIOS!$B$14:$D$14, 0))</f>
        <v/>
      </c>
      <c r="F299">
        <f>E299*VLOOKUP(A299,04_PROYECTOS!$A:$N,6,FALSE)</f>
        <v/>
      </c>
      <c r="G299">
        <f>E299+F299</f>
        <v/>
      </c>
      <c r="H299">
        <f>IF(VLOOKUP(A299,04_PROYECTOS!$A:$N,10,FALSE)="", IF(VLOOKUP(A299,04_PROYECTOS!$A:$N,4,FALSE)="Privado", INDEX(02B_ESCENARIOS!$B$4:$D$11, MATCH("DSO_PRIVADO_DEFAULT", 02B_ESCENARIOS!$A$4:$A$11, 0), MATCH("Agresivo", 02B_ESCENARIOS!$B$3:$D$3, 0)), IF(VLOOKUP(A299,04_PROYECTOS!$A:$N,4,FALSE)="Publico_&lt;10M",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VLOOKUP(A299,04_PROYECTOS!$A:$N,10,FALSE))</f>
        <v/>
      </c>
      <c r="I299">
        <f>ROUNDUP(H299/30,0)</f>
        <v/>
      </c>
      <c r="J299">
        <f>EDATE(C299,I299)</f>
        <v/>
      </c>
      <c r="K299">
        <f>G299</f>
        <v/>
      </c>
    </row>
    <row r="300">
      <c r="E300">
        <f>D300*VLOOKUP(A300,04_PROYECTOS!$A:$N,5,FALSE)*(INDEX(02B_ESCENARIOS!$B$4:$D$11, MATCH("MULT_PRECIO", 02B_ESCENARIOS!$A$4:$A$11, 0), MATCH("Agresivo", 02B_ESCENARIOS!$B$3:$D$3, 0)))*INDEX(02B_ESCENARIOS!$B$15:$D$19, MATCH(VLOOKUP(A300,04_PROYECTOS!$A:$N,9,FALSE), 02B_ESCENARIOS!$A$15:$A$19, 0), MATCH("Agresivo", 02B_ESCENARIOS!$B$14:$D$14, 0))</f>
        <v/>
      </c>
      <c r="F300">
        <f>E300*VLOOKUP(A300,04_PROYECTOS!$A:$N,6,FALSE)</f>
        <v/>
      </c>
      <c r="G300">
        <f>E300+F300</f>
        <v/>
      </c>
      <c r="H300">
        <f>IF(VLOOKUP(A300,04_PROYECTOS!$A:$N,10,FALSE)="", IF(VLOOKUP(A300,04_PROYECTOS!$A:$N,4,FALSE)="Privado", INDEX(02B_ESCENARIOS!$B$4:$D$11, MATCH("DSO_PRIVADO_DEFAULT", 02B_ESCENARIOS!$A$4:$A$11, 0), MATCH("Agresivo", 02B_ESCENARIOS!$B$3:$D$3, 0)), IF(VLOOKUP(A300,04_PROYECTOS!$A:$N,4,FALSE)="Publico_&lt;10M",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VLOOKUP(A300,04_PROYECTOS!$A:$N,10,FALSE))</f>
        <v/>
      </c>
      <c r="I300">
        <f>ROUNDUP(H300/30,0)</f>
        <v/>
      </c>
      <c r="J300">
        <f>EDATE(C300,I300)</f>
        <v/>
      </c>
      <c r="K300">
        <f>G300</f>
        <v/>
      </c>
    </row>
    <row r="301">
      <c r="E301">
        <f>D301*VLOOKUP(A301,04_PROYECTOS!$A:$N,5,FALSE)*(INDEX(02B_ESCENARIOS!$B$4:$D$11, MATCH("MULT_PRECIO", 02B_ESCENARIOS!$A$4:$A$11, 0), MATCH("Agresivo", 02B_ESCENARIOS!$B$3:$D$3, 0)))*INDEX(02B_ESCENARIOS!$B$15:$D$19, MATCH(VLOOKUP(A301,04_PROYECTOS!$A:$N,9,FALSE), 02B_ESCENARIOS!$A$15:$A$19, 0), MATCH("Agresivo", 02B_ESCENARIOS!$B$14:$D$14, 0))</f>
        <v/>
      </c>
      <c r="F301">
        <f>E301*VLOOKUP(A301,04_PROYECTOS!$A:$N,6,FALSE)</f>
        <v/>
      </c>
      <c r="G301">
        <f>E301+F301</f>
        <v/>
      </c>
      <c r="H301">
        <f>IF(VLOOKUP(A301,04_PROYECTOS!$A:$N,10,FALSE)="", IF(VLOOKUP(A301,04_PROYECTOS!$A:$N,4,FALSE)="Privado", INDEX(02B_ESCENARIOS!$B$4:$D$11, MATCH("DSO_PRIVADO_DEFAULT", 02B_ESCENARIOS!$A$4:$A$11, 0), MATCH("Agresivo", 02B_ESCENARIOS!$B$3:$D$3, 0)), IF(VLOOKUP(A301,04_PROYECTOS!$A:$N,4,FALSE)="Publico_&lt;10M",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VLOOKUP(A301,04_PROYECTOS!$A:$N,10,FALSE))</f>
        <v/>
      </c>
      <c r="I301">
        <f>ROUNDUP(H301/30,0)</f>
        <v/>
      </c>
      <c r="J301">
        <f>EDATE(C301,I301)</f>
        <v/>
      </c>
      <c r="K301">
        <f>G301</f>
        <v/>
      </c>
    </row>
    <row r="302">
      <c r="E302">
        <f>D302*VLOOKUP(A302,04_PROYECTOS!$A:$N,5,FALSE)*(INDEX(02B_ESCENARIOS!$B$4:$D$11, MATCH("MULT_PRECIO", 02B_ESCENARIOS!$A$4:$A$11, 0), MATCH("Agresivo", 02B_ESCENARIOS!$B$3:$D$3, 0)))*INDEX(02B_ESCENARIOS!$B$15:$D$19, MATCH(VLOOKUP(A302,04_PROYECTOS!$A:$N,9,FALSE), 02B_ESCENARIOS!$A$15:$A$19, 0), MATCH("Agresivo", 02B_ESCENARIOS!$B$14:$D$14, 0))</f>
        <v/>
      </c>
      <c r="F302">
        <f>E302*VLOOKUP(A302,04_PROYECTOS!$A:$N,6,FALSE)</f>
        <v/>
      </c>
      <c r="G302">
        <f>E302+F302</f>
        <v/>
      </c>
      <c r="H302">
        <f>IF(VLOOKUP(A302,04_PROYECTOS!$A:$N,10,FALSE)="", IF(VLOOKUP(A302,04_PROYECTOS!$A:$N,4,FALSE)="Privado", INDEX(02B_ESCENARIOS!$B$4:$D$11, MATCH("DSO_PRIVADO_DEFAULT", 02B_ESCENARIOS!$A$4:$A$11, 0), MATCH("Agresivo", 02B_ESCENARIOS!$B$3:$D$3, 0)), IF(VLOOKUP(A302,04_PROYECTOS!$A:$N,4,FALSE)="Publico_&lt;10M",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VLOOKUP(A302,04_PROYECTOS!$A:$N,10,FALSE))</f>
        <v/>
      </c>
      <c r="I302">
        <f>ROUNDUP(H302/30,0)</f>
        <v/>
      </c>
      <c r="J302">
        <f>EDATE(C302,I302)</f>
        <v/>
      </c>
      <c r="K302">
        <f>G302</f>
        <v/>
      </c>
    </row>
    <row r="303">
      <c r="E303">
        <f>D303*VLOOKUP(A303,04_PROYECTOS!$A:$N,5,FALSE)*(INDEX(02B_ESCENARIOS!$B$4:$D$11, MATCH("MULT_PRECIO", 02B_ESCENARIOS!$A$4:$A$11, 0), MATCH("Agresivo", 02B_ESCENARIOS!$B$3:$D$3, 0)))*INDEX(02B_ESCENARIOS!$B$15:$D$19, MATCH(VLOOKUP(A303,04_PROYECTOS!$A:$N,9,FALSE), 02B_ESCENARIOS!$A$15:$A$19, 0), MATCH("Agresivo", 02B_ESCENARIOS!$B$14:$D$14, 0))</f>
        <v/>
      </c>
      <c r="F303">
        <f>E303*VLOOKUP(A303,04_PROYECTOS!$A:$N,6,FALSE)</f>
        <v/>
      </c>
      <c r="G303">
        <f>E303+F303</f>
        <v/>
      </c>
      <c r="H303">
        <f>IF(VLOOKUP(A303,04_PROYECTOS!$A:$N,10,FALSE)="", IF(VLOOKUP(A303,04_PROYECTOS!$A:$N,4,FALSE)="Privado", INDEX(02B_ESCENARIOS!$B$4:$D$11, MATCH("DSO_PRIVADO_DEFAULT", 02B_ESCENARIOS!$A$4:$A$11, 0), MATCH("Agresivo", 02B_ESCENARIOS!$B$3:$D$3, 0)), IF(VLOOKUP(A303,04_PROYECTOS!$A:$N,4,FALSE)="Publico_&lt;10M",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VLOOKUP(A303,04_PROYECTOS!$A:$N,10,FALSE))</f>
        <v/>
      </c>
      <c r="I303">
        <f>ROUNDUP(H303/30,0)</f>
        <v/>
      </c>
      <c r="J303">
        <f>EDATE(C303,I303)</f>
        <v/>
      </c>
      <c r="K303">
        <f>G303</f>
        <v/>
      </c>
    </row>
    <row r="304">
      <c r="E304">
        <f>D304*VLOOKUP(A304,04_PROYECTOS!$A:$N,5,FALSE)*(INDEX(02B_ESCENARIOS!$B$4:$D$11, MATCH("MULT_PRECIO", 02B_ESCENARIOS!$A$4:$A$11, 0), MATCH("Agresivo", 02B_ESCENARIOS!$B$3:$D$3, 0)))*INDEX(02B_ESCENARIOS!$B$15:$D$19, MATCH(VLOOKUP(A304,04_PROYECTOS!$A:$N,9,FALSE), 02B_ESCENARIOS!$A$15:$A$19, 0), MATCH("Agresivo", 02B_ESCENARIOS!$B$14:$D$14, 0))</f>
        <v/>
      </c>
      <c r="F304">
        <f>E304*VLOOKUP(A304,04_PROYECTOS!$A:$N,6,FALSE)</f>
        <v/>
      </c>
      <c r="G304">
        <f>E304+F304</f>
        <v/>
      </c>
      <c r="H304">
        <f>IF(VLOOKUP(A304,04_PROYECTOS!$A:$N,10,FALSE)="", IF(VLOOKUP(A304,04_PROYECTOS!$A:$N,4,FALSE)="Privado", INDEX(02B_ESCENARIOS!$B$4:$D$11, MATCH("DSO_PRIVADO_DEFAULT", 02B_ESCENARIOS!$A$4:$A$11, 0), MATCH("Agresivo", 02B_ESCENARIOS!$B$3:$D$3, 0)), IF(VLOOKUP(A304,04_PROYECTOS!$A:$N,4,FALSE)="Publico_&lt;10M",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VLOOKUP(A304,04_PROYECTOS!$A:$N,10,FALSE))</f>
        <v/>
      </c>
      <c r="I304">
        <f>ROUNDUP(H304/30,0)</f>
        <v/>
      </c>
      <c r="J304">
        <f>EDATE(C304,I304)</f>
        <v/>
      </c>
      <c r="K304">
        <f>G304</f>
        <v/>
      </c>
    </row>
    <row r="305">
      <c r="E305">
        <f>D305*VLOOKUP(A305,04_PROYECTOS!$A:$N,5,FALSE)*(INDEX(02B_ESCENARIOS!$B$4:$D$11, MATCH("MULT_PRECIO", 02B_ESCENARIOS!$A$4:$A$11, 0), MATCH("Agresivo", 02B_ESCENARIOS!$B$3:$D$3, 0)))*INDEX(02B_ESCENARIOS!$B$15:$D$19, MATCH(VLOOKUP(A305,04_PROYECTOS!$A:$N,9,FALSE), 02B_ESCENARIOS!$A$15:$A$19, 0), MATCH("Agresivo", 02B_ESCENARIOS!$B$14:$D$14, 0))</f>
        <v/>
      </c>
      <c r="F305">
        <f>E305*VLOOKUP(A305,04_PROYECTOS!$A:$N,6,FALSE)</f>
        <v/>
      </c>
      <c r="G305">
        <f>E305+F305</f>
        <v/>
      </c>
      <c r="H305">
        <f>IF(VLOOKUP(A305,04_PROYECTOS!$A:$N,10,FALSE)="", IF(VLOOKUP(A305,04_PROYECTOS!$A:$N,4,FALSE)="Privado", INDEX(02B_ESCENARIOS!$B$4:$D$11, MATCH("DSO_PRIVADO_DEFAULT", 02B_ESCENARIOS!$A$4:$A$11, 0), MATCH("Agresivo", 02B_ESCENARIOS!$B$3:$D$3, 0)), IF(VLOOKUP(A305,04_PROYECTOS!$A:$N,4,FALSE)="Publico_&lt;10M",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VLOOKUP(A305,04_PROYECTOS!$A:$N,10,FALSE))</f>
        <v/>
      </c>
      <c r="I305">
        <f>ROUNDUP(H305/30,0)</f>
        <v/>
      </c>
      <c r="J305">
        <f>EDATE(C305,I305)</f>
        <v/>
      </c>
      <c r="K305">
        <f>G305</f>
        <v/>
      </c>
    </row>
    <row r="306">
      <c r="E306">
        <f>D306*VLOOKUP(A306,04_PROYECTOS!$A:$N,5,FALSE)*(INDEX(02B_ESCENARIOS!$B$4:$D$11, MATCH("MULT_PRECIO", 02B_ESCENARIOS!$A$4:$A$11, 0), MATCH("Agresivo", 02B_ESCENARIOS!$B$3:$D$3, 0)))*INDEX(02B_ESCENARIOS!$B$15:$D$19, MATCH(VLOOKUP(A306,04_PROYECTOS!$A:$N,9,FALSE), 02B_ESCENARIOS!$A$15:$A$19, 0), MATCH("Agresivo", 02B_ESCENARIOS!$B$14:$D$14, 0))</f>
        <v/>
      </c>
      <c r="F306">
        <f>E306*VLOOKUP(A306,04_PROYECTOS!$A:$N,6,FALSE)</f>
        <v/>
      </c>
      <c r="G306">
        <f>E306+F306</f>
        <v/>
      </c>
      <c r="H306">
        <f>IF(VLOOKUP(A306,04_PROYECTOS!$A:$N,10,FALSE)="", IF(VLOOKUP(A306,04_PROYECTOS!$A:$N,4,FALSE)="Privado", INDEX(02B_ESCENARIOS!$B$4:$D$11, MATCH("DSO_PRIVADO_DEFAULT", 02B_ESCENARIOS!$A$4:$A$11, 0), MATCH("Agresivo", 02B_ESCENARIOS!$B$3:$D$3, 0)), IF(VLOOKUP(A306,04_PROYECTOS!$A:$N,4,FALSE)="Publico_&lt;10M",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VLOOKUP(A306,04_PROYECTOS!$A:$N,10,FALSE))</f>
        <v/>
      </c>
      <c r="I306">
        <f>ROUNDUP(H306/30,0)</f>
        <v/>
      </c>
      <c r="J306">
        <f>EDATE(C306,I306)</f>
        <v/>
      </c>
      <c r="K306">
        <f>G306</f>
        <v/>
      </c>
    </row>
    <row r="307">
      <c r="E307">
        <f>D307*VLOOKUP(A307,04_PROYECTOS!$A:$N,5,FALSE)*(INDEX(02B_ESCENARIOS!$B$4:$D$11, MATCH("MULT_PRECIO", 02B_ESCENARIOS!$A$4:$A$11, 0), MATCH("Agresivo", 02B_ESCENARIOS!$B$3:$D$3, 0)))*INDEX(02B_ESCENARIOS!$B$15:$D$19, MATCH(VLOOKUP(A307,04_PROYECTOS!$A:$N,9,FALSE), 02B_ESCENARIOS!$A$15:$A$19, 0), MATCH("Agresivo", 02B_ESCENARIOS!$B$14:$D$14, 0))</f>
        <v/>
      </c>
      <c r="F307">
        <f>E307*VLOOKUP(A307,04_PROYECTOS!$A:$N,6,FALSE)</f>
        <v/>
      </c>
      <c r="G307">
        <f>E307+F307</f>
        <v/>
      </c>
      <c r="H307">
        <f>IF(VLOOKUP(A307,04_PROYECTOS!$A:$N,10,FALSE)="", IF(VLOOKUP(A307,04_PROYECTOS!$A:$N,4,FALSE)="Privado", INDEX(02B_ESCENARIOS!$B$4:$D$11, MATCH("DSO_PRIVADO_DEFAULT", 02B_ESCENARIOS!$A$4:$A$11, 0), MATCH("Agresivo", 02B_ESCENARIOS!$B$3:$D$3, 0)), IF(VLOOKUP(A307,04_PROYECTOS!$A:$N,4,FALSE)="Publico_&lt;10M",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VLOOKUP(A307,04_PROYECTOS!$A:$N,10,FALSE))</f>
        <v/>
      </c>
      <c r="I307">
        <f>ROUNDUP(H307/30,0)</f>
        <v/>
      </c>
      <c r="J307">
        <f>EDATE(C307,I307)</f>
        <v/>
      </c>
      <c r="K307">
        <f>G307</f>
        <v/>
      </c>
    </row>
    <row r="308">
      <c r="E308">
        <f>D308*VLOOKUP(A308,04_PROYECTOS!$A:$N,5,FALSE)*(INDEX(02B_ESCENARIOS!$B$4:$D$11, MATCH("MULT_PRECIO", 02B_ESCENARIOS!$A$4:$A$11, 0), MATCH("Agresivo", 02B_ESCENARIOS!$B$3:$D$3, 0)))*INDEX(02B_ESCENARIOS!$B$15:$D$19, MATCH(VLOOKUP(A308,04_PROYECTOS!$A:$N,9,FALSE), 02B_ESCENARIOS!$A$15:$A$19, 0), MATCH("Agresivo", 02B_ESCENARIOS!$B$14:$D$14, 0))</f>
        <v/>
      </c>
      <c r="F308">
        <f>E308*VLOOKUP(A308,04_PROYECTOS!$A:$N,6,FALSE)</f>
        <v/>
      </c>
      <c r="G308">
        <f>E308+F308</f>
        <v/>
      </c>
      <c r="H308">
        <f>IF(VLOOKUP(A308,04_PROYECTOS!$A:$N,10,FALSE)="", IF(VLOOKUP(A308,04_PROYECTOS!$A:$N,4,FALSE)="Privado", INDEX(02B_ESCENARIOS!$B$4:$D$11, MATCH("DSO_PRIVADO_DEFAULT", 02B_ESCENARIOS!$A$4:$A$11, 0), MATCH("Agresivo", 02B_ESCENARIOS!$B$3:$D$3, 0)), IF(VLOOKUP(A308,04_PROYECTOS!$A:$N,4,FALSE)="Publico_&lt;10M",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VLOOKUP(A308,04_PROYECTOS!$A:$N,10,FALSE))</f>
        <v/>
      </c>
      <c r="I308">
        <f>ROUNDUP(H308/30,0)</f>
        <v/>
      </c>
      <c r="J308">
        <f>EDATE(C308,I308)</f>
        <v/>
      </c>
      <c r="K308">
        <f>G308</f>
        <v/>
      </c>
    </row>
    <row r="309">
      <c r="E309">
        <f>D309*VLOOKUP(A309,04_PROYECTOS!$A:$N,5,FALSE)*(INDEX(02B_ESCENARIOS!$B$4:$D$11, MATCH("MULT_PRECIO", 02B_ESCENARIOS!$A$4:$A$11, 0), MATCH("Agresivo", 02B_ESCENARIOS!$B$3:$D$3, 0)))*INDEX(02B_ESCENARIOS!$B$15:$D$19, MATCH(VLOOKUP(A309,04_PROYECTOS!$A:$N,9,FALSE), 02B_ESCENARIOS!$A$15:$A$19, 0), MATCH("Agresivo", 02B_ESCENARIOS!$B$14:$D$14, 0))</f>
        <v/>
      </c>
      <c r="F309">
        <f>E309*VLOOKUP(A309,04_PROYECTOS!$A:$N,6,FALSE)</f>
        <v/>
      </c>
      <c r="G309">
        <f>E309+F309</f>
        <v/>
      </c>
      <c r="H309">
        <f>IF(VLOOKUP(A309,04_PROYECTOS!$A:$N,10,FALSE)="", IF(VLOOKUP(A309,04_PROYECTOS!$A:$N,4,FALSE)="Privado", INDEX(02B_ESCENARIOS!$B$4:$D$11, MATCH("DSO_PRIVADO_DEFAULT", 02B_ESCENARIOS!$A$4:$A$11, 0), MATCH("Agresivo", 02B_ESCENARIOS!$B$3:$D$3, 0)), IF(VLOOKUP(A309,04_PROYECTOS!$A:$N,4,FALSE)="Publico_&lt;10M",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VLOOKUP(A309,04_PROYECTOS!$A:$N,10,FALSE))</f>
        <v/>
      </c>
      <c r="I309">
        <f>ROUNDUP(H309/30,0)</f>
        <v/>
      </c>
      <c r="J309">
        <f>EDATE(C309,I309)</f>
        <v/>
      </c>
      <c r="K309">
        <f>G309</f>
        <v/>
      </c>
    </row>
    <row r="310">
      <c r="E310">
        <f>D310*VLOOKUP(A310,04_PROYECTOS!$A:$N,5,FALSE)*(INDEX(02B_ESCENARIOS!$B$4:$D$11, MATCH("MULT_PRECIO", 02B_ESCENARIOS!$A$4:$A$11, 0), MATCH("Agresivo", 02B_ESCENARIOS!$B$3:$D$3, 0)))*INDEX(02B_ESCENARIOS!$B$15:$D$19, MATCH(VLOOKUP(A310,04_PROYECTOS!$A:$N,9,FALSE), 02B_ESCENARIOS!$A$15:$A$19, 0), MATCH("Agresivo", 02B_ESCENARIOS!$B$14:$D$14, 0))</f>
        <v/>
      </c>
      <c r="F310">
        <f>E310*VLOOKUP(A310,04_PROYECTOS!$A:$N,6,FALSE)</f>
        <v/>
      </c>
      <c r="G310">
        <f>E310+F310</f>
        <v/>
      </c>
      <c r="H310">
        <f>IF(VLOOKUP(A310,04_PROYECTOS!$A:$N,10,FALSE)="", IF(VLOOKUP(A310,04_PROYECTOS!$A:$N,4,FALSE)="Privado", INDEX(02B_ESCENARIOS!$B$4:$D$11, MATCH("DSO_PRIVADO_DEFAULT", 02B_ESCENARIOS!$A$4:$A$11, 0), MATCH("Agresivo", 02B_ESCENARIOS!$B$3:$D$3, 0)), IF(VLOOKUP(A310,04_PROYECTOS!$A:$N,4,FALSE)="Publico_&lt;10M",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VLOOKUP(A310,04_PROYECTOS!$A:$N,10,FALSE))</f>
        <v/>
      </c>
      <c r="I310">
        <f>ROUNDUP(H310/30,0)</f>
        <v/>
      </c>
      <c r="J310">
        <f>EDATE(C310,I310)</f>
        <v/>
      </c>
      <c r="K310">
        <f>G310</f>
        <v/>
      </c>
    </row>
    <row r="311">
      <c r="E311">
        <f>D311*VLOOKUP(A311,04_PROYECTOS!$A:$N,5,FALSE)*(INDEX(02B_ESCENARIOS!$B$4:$D$11, MATCH("MULT_PRECIO", 02B_ESCENARIOS!$A$4:$A$11, 0), MATCH("Agresivo", 02B_ESCENARIOS!$B$3:$D$3, 0)))*INDEX(02B_ESCENARIOS!$B$15:$D$19, MATCH(VLOOKUP(A311,04_PROYECTOS!$A:$N,9,FALSE), 02B_ESCENARIOS!$A$15:$A$19, 0), MATCH("Agresivo", 02B_ESCENARIOS!$B$14:$D$14, 0))</f>
        <v/>
      </c>
      <c r="F311">
        <f>E311*VLOOKUP(A311,04_PROYECTOS!$A:$N,6,FALSE)</f>
        <v/>
      </c>
      <c r="G311">
        <f>E311+F311</f>
        <v/>
      </c>
      <c r="H311">
        <f>IF(VLOOKUP(A311,04_PROYECTOS!$A:$N,10,FALSE)="", IF(VLOOKUP(A311,04_PROYECTOS!$A:$N,4,FALSE)="Privado", INDEX(02B_ESCENARIOS!$B$4:$D$11, MATCH("DSO_PRIVADO_DEFAULT", 02B_ESCENARIOS!$A$4:$A$11, 0), MATCH("Agresivo", 02B_ESCENARIOS!$B$3:$D$3, 0)), IF(VLOOKUP(A311,04_PROYECTOS!$A:$N,4,FALSE)="Publico_&lt;10M",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VLOOKUP(A311,04_PROYECTOS!$A:$N,10,FALSE))</f>
        <v/>
      </c>
      <c r="I311">
        <f>ROUNDUP(H311/30,0)</f>
        <v/>
      </c>
      <c r="J311">
        <f>EDATE(C311,I311)</f>
        <v/>
      </c>
      <c r="K311">
        <f>G311</f>
        <v/>
      </c>
    </row>
    <row r="312">
      <c r="E312">
        <f>D312*VLOOKUP(A312,04_PROYECTOS!$A:$N,5,FALSE)*(INDEX(02B_ESCENARIOS!$B$4:$D$11, MATCH("MULT_PRECIO", 02B_ESCENARIOS!$A$4:$A$11, 0), MATCH("Agresivo", 02B_ESCENARIOS!$B$3:$D$3, 0)))*INDEX(02B_ESCENARIOS!$B$15:$D$19, MATCH(VLOOKUP(A312,04_PROYECTOS!$A:$N,9,FALSE), 02B_ESCENARIOS!$A$15:$A$19, 0), MATCH("Agresivo", 02B_ESCENARIOS!$B$14:$D$14, 0))</f>
        <v/>
      </c>
      <c r="F312">
        <f>E312*VLOOKUP(A312,04_PROYECTOS!$A:$N,6,FALSE)</f>
        <v/>
      </c>
      <c r="G312">
        <f>E312+F312</f>
        <v/>
      </c>
      <c r="H312">
        <f>IF(VLOOKUP(A312,04_PROYECTOS!$A:$N,10,FALSE)="", IF(VLOOKUP(A312,04_PROYECTOS!$A:$N,4,FALSE)="Privado", INDEX(02B_ESCENARIOS!$B$4:$D$11, MATCH("DSO_PRIVADO_DEFAULT", 02B_ESCENARIOS!$A$4:$A$11, 0), MATCH("Agresivo", 02B_ESCENARIOS!$B$3:$D$3, 0)), IF(VLOOKUP(A312,04_PROYECTOS!$A:$N,4,FALSE)="Publico_&lt;10M",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VLOOKUP(A312,04_PROYECTOS!$A:$N,10,FALSE))</f>
        <v/>
      </c>
      <c r="I312">
        <f>ROUNDUP(H312/30,0)</f>
        <v/>
      </c>
      <c r="J312">
        <f>EDATE(C312,I312)</f>
        <v/>
      </c>
      <c r="K312">
        <f>G312</f>
        <v/>
      </c>
    </row>
    <row r="313">
      <c r="E313">
        <f>D313*VLOOKUP(A313,04_PROYECTOS!$A:$N,5,FALSE)*(INDEX(02B_ESCENARIOS!$B$4:$D$11, MATCH("MULT_PRECIO", 02B_ESCENARIOS!$A$4:$A$11, 0), MATCH("Agresivo", 02B_ESCENARIOS!$B$3:$D$3, 0)))*INDEX(02B_ESCENARIOS!$B$15:$D$19, MATCH(VLOOKUP(A313,04_PROYECTOS!$A:$N,9,FALSE), 02B_ESCENARIOS!$A$15:$A$19, 0), MATCH("Agresivo", 02B_ESCENARIOS!$B$14:$D$14, 0))</f>
        <v/>
      </c>
      <c r="F313">
        <f>E313*VLOOKUP(A313,04_PROYECTOS!$A:$N,6,FALSE)</f>
        <v/>
      </c>
      <c r="G313">
        <f>E313+F313</f>
        <v/>
      </c>
      <c r="H313">
        <f>IF(VLOOKUP(A313,04_PROYECTOS!$A:$N,10,FALSE)="", IF(VLOOKUP(A313,04_PROYECTOS!$A:$N,4,FALSE)="Privado", INDEX(02B_ESCENARIOS!$B$4:$D$11, MATCH("DSO_PRIVADO_DEFAULT", 02B_ESCENARIOS!$A$4:$A$11, 0), MATCH("Agresivo", 02B_ESCENARIOS!$B$3:$D$3, 0)), IF(VLOOKUP(A313,04_PROYECTOS!$A:$N,4,FALSE)="Publico_&lt;10M",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VLOOKUP(A313,04_PROYECTOS!$A:$N,10,FALSE))</f>
        <v/>
      </c>
      <c r="I313">
        <f>ROUNDUP(H313/30,0)</f>
        <v/>
      </c>
      <c r="J313">
        <f>EDATE(C313,I313)</f>
        <v/>
      </c>
      <c r="K313">
        <f>G313</f>
        <v/>
      </c>
    </row>
    <row r="314">
      <c r="E314">
        <f>D314*VLOOKUP(A314,04_PROYECTOS!$A:$N,5,FALSE)*(INDEX(02B_ESCENARIOS!$B$4:$D$11, MATCH("MULT_PRECIO", 02B_ESCENARIOS!$A$4:$A$11, 0), MATCH("Agresivo", 02B_ESCENARIOS!$B$3:$D$3, 0)))*INDEX(02B_ESCENARIOS!$B$15:$D$19, MATCH(VLOOKUP(A314,04_PROYECTOS!$A:$N,9,FALSE), 02B_ESCENARIOS!$A$15:$A$19, 0), MATCH("Agresivo", 02B_ESCENARIOS!$B$14:$D$14, 0))</f>
        <v/>
      </c>
      <c r="F314">
        <f>E314*VLOOKUP(A314,04_PROYECTOS!$A:$N,6,FALSE)</f>
        <v/>
      </c>
      <c r="G314">
        <f>E314+F314</f>
        <v/>
      </c>
      <c r="H314">
        <f>IF(VLOOKUP(A314,04_PROYECTOS!$A:$N,10,FALSE)="", IF(VLOOKUP(A314,04_PROYECTOS!$A:$N,4,FALSE)="Privado", INDEX(02B_ESCENARIOS!$B$4:$D$11, MATCH("DSO_PRIVADO_DEFAULT", 02B_ESCENARIOS!$A$4:$A$11, 0), MATCH("Agresivo", 02B_ESCENARIOS!$B$3:$D$3, 0)), IF(VLOOKUP(A314,04_PROYECTOS!$A:$N,4,FALSE)="Publico_&lt;10M",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VLOOKUP(A314,04_PROYECTOS!$A:$N,10,FALSE))</f>
        <v/>
      </c>
      <c r="I314">
        <f>ROUNDUP(H314/30,0)</f>
        <v/>
      </c>
      <c r="J314">
        <f>EDATE(C314,I314)</f>
        <v/>
      </c>
      <c r="K314">
        <f>G314</f>
        <v/>
      </c>
    </row>
    <row r="315">
      <c r="E315">
        <f>D315*VLOOKUP(A315,04_PROYECTOS!$A:$N,5,FALSE)*(INDEX(02B_ESCENARIOS!$B$4:$D$11, MATCH("MULT_PRECIO", 02B_ESCENARIOS!$A$4:$A$11, 0), MATCH("Agresivo", 02B_ESCENARIOS!$B$3:$D$3, 0)))*INDEX(02B_ESCENARIOS!$B$15:$D$19, MATCH(VLOOKUP(A315,04_PROYECTOS!$A:$N,9,FALSE), 02B_ESCENARIOS!$A$15:$A$19, 0), MATCH("Agresivo", 02B_ESCENARIOS!$B$14:$D$14, 0))</f>
        <v/>
      </c>
      <c r="F315">
        <f>E315*VLOOKUP(A315,04_PROYECTOS!$A:$N,6,FALSE)</f>
        <v/>
      </c>
      <c r="G315">
        <f>E315+F315</f>
        <v/>
      </c>
      <c r="H315">
        <f>IF(VLOOKUP(A315,04_PROYECTOS!$A:$N,10,FALSE)="", IF(VLOOKUP(A315,04_PROYECTOS!$A:$N,4,FALSE)="Privado", INDEX(02B_ESCENARIOS!$B$4:$D$11, MATCH("DSO_PRIVADO_DEFAULT", 02B_ESCENARIOS!$A$4:$A$11, 0), MATCH("Agresivo", 02B_ESCENARIOS!$B$3:$D$3, 0)), IF(VLOOKUP(A315,04_PROYECTOS!$A:$N,4,FALSE)="Publico_&lt;10M",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VLOOKUP(A315,04_PROYECTOS!$A:$N,10,FALSE))</f>
        <v/>
      </c>
      <c r="I315">
        <f>ROUNDUP(H315/30,0)</f>
        <v/>
      </c>
      <c r="J315">
        <f>EDATE(C315,I315)</f>
        <v/>
      </c>
      <c r="K315">
        <f>G315</f>
        <v/>
      </c>
    </row>
    <row r="316">
      <c r="E316">
        <f>D316*VLOOKUP(A316,04_PROYECTOS!$A:$N,5,FALSE)*(INDEX(02B_ESCENARIOS!$B$4:$D$11, MATCH("MULT_PRECIO", 02B_ESCENARIOS!$A$4:$A$11, 0), MATCH("Agresivo", 02B_ESCENARIOS!$B$3:$D$3, 0)))*INDEX(02B_ESCENARIOS!$B$15:$D$19, MATCH(VLOOKUP(A316,04_PROYECTOS!$A:$N,9,FALSE), 02B_ESCENARIOS!$A$15:$A$19, 0), MATCH("Agresivo", 02B_ESCENARIOS!$B$14:$D$14, 0))</f>
        <v/>
      </c>
      <c r="F316">
        <f>E316*VLOOKUP(A316,04_PROYECTOS!$A:$N,6,FALSE)</f>
        <v/>
      </c>
      <c r="G316">
        <f>E316+F316</f>
        <v/>
      </c>
      <c r="H316">
        <f>IF(VLOOKUP(A316,04_PROYECTOS!$A:$N,10,FALSE)="", IF(VLOOKUP(A316,04_PROYECTOS!$A:$N,4,FALSE)="Privado", INDEX(02B_ESCENARIOS!$B$4:$D$11, MATCH("DSO_PRIVADO_DEFAULT", 02B_ESCENARIOS!$A$4:$A$11, 0), MATCH("Agresivo", 02B_ESCENARIOS!$B$3:$D$3, 0)), IF(VLOOKUP(A316,04_PROYECTOS!$A:$N,4,FALSE)="Publico_&lt;10M",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VLOOKUP(A316,04_PROYECTOS!$A:$N,10,FALSE))</f>
        <v/>
      </c>
      <c r="I316">
        <f>ROUNDUP(H316/30,0)</f>
        <v/>
      </c>
      <c r="J316">
        <f>EDATE(C316,I316)</f>
        <v/>
      </c>
      <c r="K316">
        <f>G316</f>
        <v/>
      </c>
    </row>
    <row r="317">
      <c r="E317">
        <f>D317*VLOOKUP(A317,04_PROYECTOS!$A:$N,5,FALSE)*(INDEX(02B_ESCENARIOS!$B$4:$D$11, MATCH("MULT_PRECIO", 02B_ESCENARIOS!$A$4:$A$11, 0), MATCH("Agresivo", 02B_ESCENARIOS!$B$3:$D$3, 0)))*INDEX(02B_ESCENARIOS!$B$15:$D$19, MATCH(VLOOKUP(A317,04_PROYECTOS!$A:$N,9,FALSE), 02B_ESCENARIOS!$A$15:$A$19, 0), MATCH("Agresivo", 02B_ESCENARIOS!$B$14:$D$14, 0))</f>
        <v/>
      </c>
      <c r="F317">
        <f>E317*VLOOKUP(A317,04_PROYECTOS!$A:$N,6,FALSE)</f>
        <v/>
      </c>
      <c r="G317">
        <f>E317+F317</f>
        <v/>
      </c>
      <c r="H317">
        <f>IF(VLOOKUP(A317,04_PROYECTOS!$A:$N,10,FALSE)="", IF(VLOOKUP(A317,04_PROYECTOS!$A:$N,4,FALSE)="Privado", INDEX(02B_ESCENARIOS!$B$4:$D$11, MATCH("DSO_PRIVADO_DEFAULT", 02B_ESCENARIOS!$A$4:$A$11, 0), MATCH("Agresivo", 02B_ESCENARIOS!$B$3:$D$3, 0)), IF(VLOOKUP(A317,04_PROYECTOS!$A:$N,4,FALSE)="Publico_&lt;10M",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VLOOKUP(A317,04_PROYECTOS!$A:$N,10,FALSE))</f>
        <v/>
      </c>
      <c r="I317">
        <f>ROUNDUP(H317/30,0)</f>
        <v/>
      </c>
      <c r="J317">
        <f>EDATE(C317,I317)</f>
        <v/>
      </c>
      <c r="K317">
        <f>G317</f>
        <v/>
      </c>
    </row>
    <row r="318">
      <c r="E318">
        <f>D318*VLOOKUP(A318,04_PROYECTOS!$A:$N,5,FALSE)*(INDEX(02B_ESCENARIOS!$B$4:$D$11, MATCH("MULT_PRECIO", 02B_ESCENARIOS!$A$4:$A$11, 0), MATCH("Agresivo", 02B_ESCENARIOS!$B$3:$D$3, 0)))*INDEX(02B_ESCENARIOS!$B$15:$D$19, MATCH(VLOOKUP(A318,04_PROYECTOS!$A:$N,9,FALSE), 02B_ESCENARIOS!$A$15:$A$19, 0), MATCH("Agresivo", 02B_ESCENARIOS!$B$14:$D$14, 0))</f>
        <v/>
      </c>
      <c r="F318">
        <f>E318*VLOOKUP(A318,04_PROYECTOS!$A:$N,6,FALSE)</f>
        <v/>
      </c>
      <c r="G318">
        <f>E318+F318</f>
        <v/>
      </c>
      <c r="H318">
        <f>IF(VLOOKUP(A318,04_PROYECTOS!$A:$N,10,FALSE)="", IF(VLOOKUP(A318,04_PROYECTOS!$A:$N,4,FALSE)="Privado", INDEX(02B_ESCENARIOS!$B$4:$D$11, MATCH("DSO_PRIVADO_DEFAULT", 02B_ESCENARIOS!$A$4:$A$11, 0), MATCH("Agresivo", 02B_ESCENARIOS!$B$3:$D$3, 0)), IF(VLOOKUP(A318,04_PROYECTOS!$A:$N,4,FALSE)="Publico_&lt;10M",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VLOOKUP(A318,04_PROYECTOS!$A:$N,10,FALSE))</f>
        <v/>
      </c>
      <c r="I318">
        <f>ROUNDUP(H318/30,0)</f>
        <v/>
      </c>
      <c r="J318">
        <f>EDATE(C318,I318)</f>
        <v/>
      </c>
      <c r="K318">
        <f>G318</f>
        <v/>
      </c>
    </row>
    <row r="319">
      <c r="E319">
        <f>D319*VLOOKUP(A319,04_PROYECTOS!$A:$N,5,FALSE)*(INDEX(02B_ESCENARIOS!$B$4:$D$11, MATCH("MULT_PRECIO", 02B_ESCENARIOS!$A$4:$A$11, 0), MATCH("Agresivo", 02B_ESCENARIOS!$B$3:$D$3, 0)))*INDEX(02B_ESCENARIOS!$B$15:$D$19, MATCH(VLOOKUP(A319,04_PROYECTOS!$A:$N,9,FALSE), 02B_ESCENARIOS!$A$15:$A$19, 0), MATCH("Agresivo", 02B_ESCENARIOS!$B$14:$D$14, 0))</f>
        <v/>
      </c>
      <c r="F319">
        <f>E319*VLOOKUP(A319,04_PROYECTOS!$A:$N,6,FALSE)</f>
        <v/>
      </c>
      <c r="G319">
        <f>E319+F319</f>
        <v/>
      </c>
      <c r="H319">
        <f>IF(VLOOKUP(A319,04_PROYECTOS!$A:$N,10,FALSE)="", IF(VLOOKUP(A319,04_PROYECTOS!$A:$N,4,FALSE)="Privado", INDEX(02B_ESCENARIOS!$B$4:$D$11, MATCH("DSO_PRIVADO_DEFAULT", 02B_ESCENARIOS!$A$4:$A$11, 0), MATCH("Agresivo", 02B_ESCENARIOS!$B$3:$D$3, 0)), IF(VLOOKUP(A319,04_PROYECTOS!$A:$N,4,FALSE)="Publico_&lt;10M",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VLOOKUP(A319,04_PROYECTOS!$A:$N,10,FALSE))</f>
        <v/>
      </c>
      <c r="I319">
        <f>ROUNDUP(H319/30,0)</f>
        <v/>
      </c>
      <c r="J319">
        <f>EDATE(C319,I319)</f>
        <v/>
      </c>
      <c r="K319">
        <f>G319</f>
        <v/>
      </c>
    </row>
    <row r="320">
      <c r="E320">
        <f>D320*VLOOKUP(A320,04_PROYECTOS!$A:$N,5,FALSE)*(INDEX(02B_ESCENARIOS!$B$4:$D$11, MATCH("MULT_PRECIO", 02B_ESCENARIOS!$A$4:$A$11, 0), MATCH("Agresivo", 02B_ESCENARIOS!$B$3:$D$3, 0)))*INDEX(02B_ESCENARIOS!$B$15:$D$19, MATCH(VLOOKUP(A320,04_PROYECTOS!$A:$N,9,FALSE), 02B_ESCENARIOS!$A$15:$A$19, 0), MATCH("Agresivo", 02B_ESCENARIOS!$B$14:$D$14, 0))</f>
        <v/>
      </c>
      <c r="F320">
        <f>E320*VLOOKUP(A320,04_PROYECTOS!$A:$N,6,FALSE)</f>
        <v/>
      </c>
      <c r="G320">
        <f>E320+F320</f>
        <v/>
      </c>
      <c r="H320">
        <f>IF(VLOOKUP(A320,04_PROYECTOS!$A:$N,10,FALSE)="", IF(VLOOKUP(A320,04_PROYECTOS!$A:$N,4,FALSE)="Privado", INDEX(02B_ESCENARIOS!$B$4:$D$11, MATCH("DSO_PRIVADO_DEFAULT", 02B_ESCENARIOS!$A$4:$A$11, 0), MATCH("Agresivo", 02B_ESCENARIOS!$B$3:$D$3, 0)), IF(VLOOKUP(A320,04_PROYECTOS!$A:$N,4,FALSE)="Publico_&lt;10M",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VLOOKUP(A320,04_PROYECTOS!$A:$N,10,FALSE))</f>
        <v/>
      </c>
      <c r="I320">
        <f>ROUNDUP(H320/30,0)</f>
        <v/>
      </c>
      <c r="J320">
        <f>EDATE(C320,I320)</f>
        <v/>
      </c>
      <c r="K320">
        <f>G320</f>
        <v/>
      </c>
    </row>
    <row r="321">
      <c r="E321">
        <f>D321*VLOOKUP(A321,04_PROYECTOS!$A:$N,5,FALSE)*(INDEX(02B_ESCENARIOS!$B$4:$D$11, MATCH("MULT_PRECIO", 02B_ESCENARIOS!$A$4:$A$11, 0), MATCH("Agresivo", 02B_ESCENARIOS!$B$3:$D$3, 0)))*INDEX(02B_ESCENARIOS!$B$15:$D$19, MATCH(VLOOKUP(A321,04_PROYECTOS!$A:$N,9,FALSE), 02B_ESCENARIOS!$A$15:$A$19, 0), MATCH("Agresivo", 02B_ESCENARIOS!$B$14:$D$14, 0))</f>
        <v/>
      </c>
      <c r="F321">
        <f>E321*VLOOKUP(A321,04_PROYECTOS!$A:$N,6,FALSE)</f>
        <v/>
      </c>
      <c r="G321">
        <f>E321+F321</f>
        <v/>
      </c>
      <c r="H321">
        <f>IF(VLOOKUP(A321,04_PROYECTOS!$A:$N,10,FALSE)="", IF(VLOOKUP(A321,04_PROYECTOS!$A:$N,4,FALSE)="Privado", INDEX(02B_ESCENARIOS!$B$4:$D$11, MATCH("DSO_PRIVADO_DEFAULT", 02B_ESCENARIOS!$A$4:$A$11, 0), MATCH("Agresivo", 02B_ESCENARIOS!$B$3:$D$3, 0)), IF(VLOOKUP(A321,04_PROYECTOS!$A:$N,4,FALSE)="Publico_&lt;10M",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VLOOKUP(A321,04_PROYECTOS!$A:$N,10,FALSE))</f>
        <v/>
      </c>
      <c r="I321">
        <f>ROUNDUP(H321/30,0)</f>
        <v/>
      </c>
      <c r="J321">
        <f>EDATE(C321,I321)</f>
        <v/>
      </c>
      <c r="K321">
        <f>G321</f>
        <v/>
      </c>
    </row>
    <row r="322">
      <c r="E322">
        <f>D322*VLOOKUP(A322,04_PROYECTOS!$A:$N,5,FALSE)*(INDEX(02B_ESCENARIOS!$B$4:$D$11, MATCH("MULT_PRECIO", 02B_ESCENARIOS!$A$4:$A$11, 0), MATCH("Agresivo", 02B_ESCENARIOS!$B$3:$D$3, 0)))*INDEX(02B_ESCENARIOS!$B$15:$D$19, MATCH(VLOOKUP(A322,04_PROYECTOS!$A:$N,9,FALSE), 02B_ESCENARIOS!$A$15:$A$19, 0), MATCH("Agresivo", 02B_ESCENARIOS!$B$14:$D$14, 0))</f>
        <v/>
      </c>
      <c r="F322">
        <f>E322*VLOOKUP(A322,04_PROYECTOS!$A:$N,6,FALSE)</f>
        <v/>
      </c>
      <c r="G322">
        <f>E322+F322</f>
        <v/>
      </c>
      <c r="H322">
        <f>IF(VLOOKUP(A322,04_PROYECTOS!$A:$N,10,FALSE)="", IF(VLOOKUP(A322,04_PROYECTOS!$A:$N,4,FALSE)="Privado", INDEX(02B_ESCENARIOS!$B$4:$D$11, MATCH("DSO_PRIVADO_DEFAULT", 02B_ESCENARIOS!$A$4:$A$11, 0), MATCH("Agresivo", 02B_ESCENARIOS!$B$3:$D$3, 0)), IF(VLOOKUP(A322,04_PROYECTOS!$A:$N,4,FALSE)="Publico_&lt;10M",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VLOOKUP(A322,04_PROYECTOS!$A:$N,10,FALSE))</f>
        <v/>
      </c>
      <c r="I322">
        <f>ROUNDUP(H322/30,0)</f>
        <v/>
      </c>
      <c r="J322">
        <f>EDATE(C322,I322)</f>
        <v/>
      </c>
      <c r="K322">
        <f>G322</f>
        <v/>
      </c>
    </row>
    <row r="323">
      <c r="E323">
        <f>D323*VLOOKUP(A323,04_PROYECTOS!$A:$N,5,FALSE)*(INDEX(02B_ESCENARIOS!$B$4:$D$11, MATCH("MULT_PRECIO", 02B_ESCENARIOS!$A$4:$A$11, 0), MATCH("Agresivo", 02B_ESCENARIOS!$B$3:$D$3, 0)))*INDEX(02B_ESCENARIOS!$B$15:$D$19, MATCH(VLOOKUP(A323,04_PROYECTOS!$A:$N,9,FALSE), 02B_ESCENARIOS!$A$15:$A$19, 0), MATCH("Agresivo", 02B_ESCENARIOS!$B$14:$D$14, 0))</f>
        <v/>
      </c>
      <c r="F323">
        <f>E323*VLOOKUP(A323,04_PROYECTOS!$A:$N,6,FALSE)</f>
        <v/>
      </c>
      <c r="G323">
        <f>E323+F323</f>
        <v/>
      </c>
      <c r="H323">
        <f>IF(VLOOKUP(A323,04_PROYECTOS!$A:$N,10,FALSE)="", IF(VLOOKUP(A323,04_PROYECTOS!$A:$N,4,FALSE)="Privado", INDEX(02B_ESCENARIOS!$B$4:$D$11, MATCH("DSO_PRIVADO_DEFAULT", 02B_ESCENARIOS!$A$4:$A$11, 0), MATCH("Agresivo", 02B_ESCENARIOS!$B$3:$D$3, 0)), IF(VLOOKUP(A323,04_PROYECTOS!$A:$N,4,FALSE)="Publico_&lt;10M",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VLOOKUP(A323,04_PROYECTOS!$A:$N,10,FALSE))</f>
        <v/>
      </c>
      <c r="I323">
        <f>ROUNDUP(H323/30,0)</f>
        <v/>
      </c>
      <c r="J323">
        <f>EDATE(C323,I323)</f>
        <v/>
      </c>
      <c r="K323">
        <f>G323</f>
        <v/>
      </c>
    </row>
    <row r="324">
      <c r="E324">
        <f>D324*VLOOKUP(A324,04_PROYECTOS!$A:$N,5,FALSE)*(INDEX(02B_ESCENARIOS!$B$4:$D$11, MATCH("MULT_PRECIO", 02B_ESCENARIOS!$A$4:$A$11, 0), MATCH("Agresivo", 02B_ESCENARIOS!$B$3:$D$3, 0)))*INDEX(02B_ESCENARIOS!$B$15:$D$19, MATCH(VLOOKUP(A324,04_PROYECTOS!$A:$N,9,FALSE), 02B_ESCENARIOS!$A$15:$A$19, 0), MATCH("Agresivo", 02B_ESCENARIOS!$B$14:$D$14, 0))</f>
        <v/>
      </c>
      <c r="F324">
        <f>E324*VLOOKUP(A324,04_PROYECTOS!$A:$N,6,FALSE)</f>
        <v/>
      </c>
      <c r="G324">
        <f>E324+F324</f>
        <v/>
      </c>
      <c r="H324">
        <f>IF(VLOOKUP(A324,04_PROYECTOS!$A:$N,10,FALSE)="", IF(VLOOKUP(A324,04_PROYECTOS!$A:$N,4,FALSE)="Privado", INDEX(02B_ESCENARIOS!$B$4:$D$11, MATCH("DSO_PRIVADO_DEFAULT", 02B_ESCENARIOS!$A$4:$A$11, 0), MATCH("Agresivo", 02B_ESCENARIOS!$B$3:$D$3, 0)), IF(VLOOKUP(A324,04_PROYECTOS!$A:$N,4,FALSE)="Publico_&lt;10M",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VLOOKUP(A324,04_PROYECTOS!$A:$N,10,FALSE))</f>
        <v/>
      </c>
      <c r="I324">
        <f>ROUNDUP(H324/30,0)</f>
        <v/>
      </c>
      <c r="J324">
        <f>EDATE(C324,I324)</f>
        <v/>
      </c>
      <c r="K324">
        <f>G324</f>
        <v/>
      </c>
    </row>
    <row r="325">
      <c r="E325">
        <f>D325*VLOOKUP(A325,04_PROYECTOS!$A:$N,5,FALSE)*(INDEX(02B_ESCENARIOS!$B$4:$D$11, MATCH("MULT_PRECIO", 02B_ESCENARIOS!$A$4:$A$11, 0), MATCH("Agresivo", 02B_ESCENARIOS!$B$3:$D$3, 0)))*INDEX(02B_ESCENARIOS!$B$15:$D$19, MATCH(VLOOKUP(A325,04_PROYECTOS!$A:$N,9,FALSE), 02B_ESCENARIOS!$A$15:$A$19, 0), MATCH("Agresivo", 02B_ESCENARIOS!$B$14:$D$14, 0))</f>
        <v/>
      </c>
      <c r="F325">
        <f>E325*VLOOKUP(A325,04_PROYECTOS!$A:$N,6,FALSE)</f>
        <v/>
      </c>
      <c r="G325">
        <f>E325+F325</f>
        <v/>
      </c>
      <c r="H325">
        <f>IF(VLOOKUP(A325,04_PROYECTOS!$A:$N,10,FALSE)="", IF(VLOOKUP(A325,04_PROYECTOS!$A:$N,4,FALSE)="Privado", INDEX(02B_ESCENARIOS!$B$4:$D$11, MATCH("DSO_PRIVADO_DEFAULT", 02B_ESCENARIOS!$A$4:$A$11, 0), MATCH("Agresivo", 02B_ESCENARIOS!$B$3:$D$3, 0)), IF(VLOOKUP(A325,04_PROYECTOS!$A:$N,4,FALSE)="Publico_&lt;10M",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VLOOKUP(A325,04_PROYECTOS!$A:$N,10,FALSE))</f>
        <v/>
      </c>
      <c r="I325">
        <f>ROUNDUP(H325/30,0)</f>
        <v/>
      </c>
      <c r="J325">
        <f>EDATE(C325,I325)</f>
        <v/>
      </c>
      <c r="K325">
        <f>G325</f>
        <v/>
      </c>
    </row>
    <row r="326">
      <c r="E326">
        <f>D326*VLOOKUP(A326,04_PROYECTOS!$A:$N,5,FALSE)*(INDEX(02B_ESCENARIOS!$B$4:$D$11, MATCH("MULT_PRECIO", 02B_ESCENARIOS!$A$4:$A$11, 0), MATCH("Agresivo", 02B_ESCENARIOS!$B$3:$D$3, 0)))*INDEX(02B_ESCENARIOS!$B$15:$D$19, MATCH(VLOOKUP(A326,04_PROYECTOS!$A:$N,9,FALSE), 02B_ESCENARIOS!$A$15:$A$19, 0), MATCH("Agresivo", 02B_ESCENARIOS!$B$14:$D$14, 0))</f>
        <v/>
      </c>
      <c r="F326">
        <f>E326*VLOOKUP(A326,04_PROYECTOS!$A:$N,6,FALSE)</f>
        <v/>
      </c>
      <c r="G326">
        <f>E326+F326</f>
        <v/>
      </c>
      <c r="H326">
        <f>IF(VLOOKUP(A326,04_PROYECTOS!$A:$N,10,FALSE)="", IF(VLOOKUP(A326,04_PROYECTOS!$A:$N,4,FALSE)="Privado", INDEX(02B_ESCENARIOS!$B$4:$D$11, MATCH("DSO_PRIVADO_DEFAULT", 02B_ESCENARIOS!$A$4:$A$11, 0), MATCH("Agresivo", 02B_ESCENARIOS!$B$3:$D$3, 0)), IF(VLOOKUP(A326,04_PROYECTOS!$A:$N,4,FALSE)="Publico_&lt;10M",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VLOOKUP(A326,04_PROYECTOS!$A:$N,10,FALSE))</f>
        <v/>
      </c>
      <c r="I326">
        <f>ROUNDUP(H326/30,0)</f>
        <v/>
      </c>
      <c r="J326">
        <f>EDATE(C326,I326)</f>
        <v/>
      </c>
      <c r="K326">
        <f>G326</f>
        <v/>
      </c>
    </row>
    <row r="327">
      <c r="E327">
        <f>D327*VLOOKUP(A327,04_PROYECTOS!$A:$N,5,FALSE)*(INDEX(02B_ESCENARIOS!$B$4:$D$11, MATCH("MULT_PRECIO", 02B_ESCENARIOS!$A$4:$A$11, 0), MATCH("Agresivo", 02B_ESCENARIOS!$B$3:$D$3, 0)))*INDEX(02B_ESCENARIOS!$B$15:$D$19, MATCH(VLOOKUP(A327,04_PROYECTOS!$A:$N,9,FALSE), 02B_ESCENARIOS!$A$15:$A$19, 0), MATCH("Agresivo", 02B_ESCENARIOS!$B$14:$D$14, 0))</f>
        <v/>
      </c>
      <c r="F327">
        <f>E327*VLOOKUP(A327,04_PROYECTOS!$A:$N,6,FALSE)</f>
        <v/>
      </c>
      <c r="G327">
        <f>E327+F327</f>
        <v/>
      </c>
      <c r="H327">
        <f>IF(VLOOKUP(A327,04_PROYECTOS!$A:$N,10,FALSE)="", IF(VLOOKUP(A327,04_PROYECTOS!$A:$N,4,FALSE)="Privado", INDEX(02B_ESCENARIOS!$B$4:$D$11, MATCH("DSO_PRIVADO_DEFAULT", 02B_ESCENARIOS!$A$4:$A$11, 0), MATCH("Agresivo", 02B_ESCENARIOS!$B$3:$D$3, 0)), IF(VLOOKUP(A327,04_PROYECTOS!$A:$N,4,FALSE)="Publico_&lt;10M",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VLOOKUP(A327,04_PROYECTOS!$A:$N,10,FALSE))</f>
        <v/>
      </c>
      <c r="I327">
        <f>ROUNDUP(H327/30,0)</f>
        <v/>
      </c>
      <c r="J327">
        <f>EDATE(C327,I327)</f>
        <v/>
      </c>
      <c r="K327">
        <f>G327</f>
        <v/>
      </c>
    </row>
    <row r="328">
      <c r="E328">
        <f>D328*VLOOKUP(A328,04_PROYECTOS!$A:$N,5,FALSE)*(INDEX(02B_ESCENARIOS!$B$4:$D$11, MATCH("MULT_PRECIO", 02B_ESCENARIOS!$A$4:$A$11, 0), MATCH("Agresivo", 02B_ESCENARIOS!$B$3:$D$3, 0)))*INDEX(02B_ESCENARIOS!$B$15:$D$19, MATCH(VLOOKUP(A328,04_PROYECTOS!$A:$N,9,FALSE), 02B_ESCENARIOS!$A$15:$A$19, 0), MATCH("Agresivo", 02B_ESCENARIOS!$B$14:$D$14, 0))</f>
        <v/>
      </c>
      <c r="F328">
        <f>E328*VLOOKUP(A328,04_PROYECTOS!$A:$N,6,FALSE)</f>
        <v/>
      </c>
      <c r="G328">
        <f>E328+F328</f>
        <v/>
      </c>
      <c r="H328">
        <f>IF(VLOOKUP(A328,04_PROYECTOS!$A:$N,10,FALSE)="", IF(VLOOKUP(A328,04_PROYECTOS!$A:$N,4,FALSE)="Privado", INDEX(02B_ESCENARIOS!$B$4:$D$11, MATCH("DSO_PRIVADO_DEFAULT", 02B_ESCENARIOS!$A$4:$A$11, 0), MATCH("Agresivo", 02B_ESCENARIOS!$B$3:$D$3, 0)), IF(VLOOKUP(A328,04_PROYECTOS!$A:$N,4,FALSE)="Publico_&lt;10M",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VLOOKUP(A328,04_PROYECTOS!$A:$N,10,FALSE))</f>
        <v/>
      </c>
      <c r="I328">
        <f>ROUNDUP(H328/30,0)</f>
        <v/>
      </c>
      <c r="J328">
        <f>EDATE(C328,I328)</f>
        <v/>
      </c>
      <c r="K328">
        <f>G328</f>
        <v/>
      </c>
    </row>
    <row r="329">
      <c r="E329">
        <f>D329*VLOOKUP(A329,04_PROYECTOS!$A:$N,5,FALSE)*(INDEX(02B_ESCENARIOS!$B$4:$D$11, MATCH("MULT_PRECIO", 02B_ESCENARIOS!$A$4:$A$11, 0), MATCH("Agresivo", 02B_ESCENARIOS!$B$3:$D$3, 0)))*INDEX(02B_ESCENARIOS!$B$15:$D$19, MATCH(VLOOKUP(A329,04_PROYECTOS!$A:$N,9,FALSE), 02B_ESCENARIOS!$A$15:$A$19, 0), MATCH("Agresivo", 02B_ESCENARIOS!$B$14:$D$14, 0))</f>
        <v/>
      </c>
      <c r="F329">
        <f>E329*VLOOKUP(A329,04_PROYECTOS!$A:$N,6,FALSE)</f>
        <v/>
      </c>
      <c r="G329">
        <f>E329+F329</f>
        <v/>
      </c>
      <c r="H329">
        <f>IF(VLOOKUP(A329,04_PROYECTOS!$A:$N,10,FALSE)="", IF(VLOOKUP(A329,04_PROYECTOS!$A:$N,4,FALSE)="Privado", INDEX(02B_ESCENARIOS!$B$4:$D$11, MATCH("DSO_PRIVADO_DEFAULT", 02B_ESCENARIOS!$A$4:$A$11, 0), MATCH("Agresivo", 02B_ESCENARIOS!$B$3:$D$3, 0)), IF(VLOOKUP(A329,04_PROYECTOS!$A:$N,4,FALSE)="Publico_&lt;10M",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VLOOKUP(A329,04_PROYECTOS!$A:$N,10,FALSE))</f>
        <v/>
      </c>
      <c r="I329">
        <f>ROUNDUP(H329/30,0)</f>
        <v/>
      </c>
      <c r="J329">
        <f>EDATE(C329,I329)</f>
        <v/>
      </c>
      <c r="K329">
        <f>G329</f>
        <v/>
      </c>
    </row>
    <row r="330">
      <c r="E330">
        <f>D330*VLOOKUP(A330,04_PROYECTOS!$A:$N,5,FALSE)*(INDEX(02B_ESCENARIOS!$B$4:$D$11, MATCH("MULT_PRECIO", 02B_ESCENARIOS!$A$4:$A$11, 0), MATCH("Agresivo", 02B_ESCENARIOS!$B$3:$D$3, 0)))*INDEX(02B_ESCENARIOS!$B$15:$D$19, MATCH(VLOOKUP(A330,04_PROYECTOS!$A:$N,9,FALSE), 02B_ESCENARIOS!$A$15:$A$19, 0), MATCH("Agresivo", 02B_ESCENARIOS!$B$14:$D$14, 0))</f>
        <v/>
      </c>
      <c r="F330">
        <f>E330*VLOOKUP(A330,04_PROYECTOS!$A:$N,6,FALSE)</f>
        <v/>
      </c>
      <c r="G330">
        <f>E330+F330</f>
        <v/>
      </c>
      <c r="H330">
        <f>IF(VLOOKUP(A330,04_PROYECTOS!$A:$N,10,FALSE)="", IF(VLOOKUP(A330,04_PROYECTOS!$A:$N,4,FALSE)="Privado", INDEX(02B_ESCENARIOS!$B$4:$D$11, MATCH("DSO_PRIVADO_DEFAULT", 02B_ESCENARIOS!$A$4:$A$11, 0), MATCH("Agresivo", 02B_ESCENARIOS!$B$3:$D$3, 0)), IF(VLOOKUP(A330,04_PROYECTOS!$A:$N,4,FALSE)="Publico_&lt;10M",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VLOOKUP(A330,04_PROYECTOS!$A:$N,10,FALSE))</f>
        <v/>
      </c>
      <c r="I330">
        <f>ROUNDUP(H330/30,0)</f>
        <v/>
      </c>
      <c r="J330">
        <f>EDATE(C330,I330)</f>
        <v/>
      </c>
      <c r="K330">
        <f>G330</f>
        <v/>
      </c>
    </row>
    <row r="331">
      <c r="E331">
        <f>D331*VLOOKUP(A331,04_PROYECTOS!$A:$N,5,FALSE)*(INDEX(02B_ESCENARIOS!$B$4:$D$11, MATCH("MULT_PRECIO", 02B_ESCENARIOS!$A$4:$A$11, 0), MATCH("Agresivo", 02B_ESCENARIOS!$B$3:$D$3, 0)))*INDEX(02B_ESCENARIOS!$B$15:$D$19, MATCH(VLOOKUP(A331,04_PROYECTOS!$A:$N,9,FALSE), 02B_ESCENARIOS!$A$15:$A$19, 0), MATCH("Agresivo", 02B_ESCENARIOS!$B$14:$D$14, 0))</f>
        <v/>
      </c>
      <c r="F331">
        <f>E331*VLOOKUP(A331,04_PROYECTOS!$A:$N,6,FALSE)</f>
        <v/>
      </c>
      <c r="G331">
        <f>E331+F331</f>
        <v/>
      </c>
      <c r="H331">
        <f>IF(VLOOKUP(A331,04_PROYECTOS!$A:$N,10,FALSE)="", IF(VLOOKUP(A331,04_PROYECTOS!$A:$N,4,FALSE)="Privado", INDEX(02B_ESCENARIOS!$B$4:$D$11, MATCH("DSO_PRIVADO_DEFAULT", 02B_ESCENARIOS!$A$4:$A$11, 0), MATCH("Agresivo", 02B_ESCENARIOS!$B$3:$D$3, 0)), IF(VLOOKUP(A331,04_PROYECTOS!$A:$N,4,FALSE)="Publico_&lt;10M",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VLOOKUP(A331,04_PROYECTOS!$A:$N,10,FALSE))</f>
        <v/>
      </c>
      <c r="I331">
        <f>ROUNDUP(H331/30,0)</f>
        <v/>
      </c>
      <c r="J331">
        <f>EDATE(C331,I331)</f>
        <v/>
      </c>
      <c r="K331">
        <f>G331</f>
        <v/>
      </c>
    </row>
    <row r="332">
      <c r="E332">
        <f>D332*VLOOKUP(A332,04_PROYECTOS!$A:$N,5,FALSE)*(INDEX(02B_ESCENARIOS!$B$4:$D$11, MATCH("MULT_PRECIO", 02B_ESCENARIOS!$A$4:$A$11, 0), MATCH("Agresivo", 02B_ESCENARIOS!$B$3:$D$3, 0)))*INDEX(02B_ESCENARIOS!$B$15:$D$19, MATCH(VLOOKUP(A332,04_PROYECTOS!$A:$N,9,FALSE), 02B_ESCENARIOS!$A$15:$A$19, 0), MATCH("Agresivo", 02B_ESCENARIOS!$B$14:$D$14, 0))</f>
        <v/>
      </c>
      <c r="F332">
        <f>E332*VLOOKUP(A332,04_PROYECTOS!$A:$N,6,FALSE)</f>
        <v/>
      </c>
      <c r="G332">
        <f>E332+F332</f>
        <v/>
      </c>
      <c r="H332">
        <f>IF(VLOOKUP(A332,04_PROYECTOS!$A:$N,10,FALSE)="", IF(VLOOKUP(A332,04_PROYECTOS!$A:$N,4,FALSE)="Privado", INDEX(02B_ESCENARIOS!$B$4:$D$11, MATCH("DSO_PRIVADO_DEFAULT", 02B_ESCENARIOS!$A$4:$A$11, 0), MATCH("Agresivo", 02B_ESCENARIOS!$B$3:$D$3, 0)), IF(VLOOKUP(A332,04_PROYECTOS!$A:$N,4,FALSE)="Publico_&lt;10M",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VLOOKUP(A332,04_PROYECTOS!$A:$N,10,FALSE))</f>
        <v/>
      </c>
      <c r="I332">
        <f>ROUNDUP(H332/30,0)</f>
        <v/>
      </c>
      <c r="J332">
        <f>EDATE(C332,I332)</f>
        <v/>
      </c>
      <c r="K332">
        <f>G332</f>
        <v/>
      </c>
    </row>
    <row r="333">
      <c r="E333">
        <f>D333*VLOOKUP(A333,04_PROYECTOS!$A:$N,5,FALSE)*(INDEX(02B_ESCENARIOS!$B$4:$D$11, MATCH("MULT_PRECIO", 02B_ESCENARIOS!$A$4:$A$11, 0), MATCH("Agresivo", 02B_ESCENARIOS!$B$3:$D$3, 0)))*INDEX(02B_ESCENARIOS!$B$15:$D$19, MATCH(VLOOKUP(A333,04_PROYECTOS!$A:$N,9,FALSE), 02B_ESCENARIOS!$A$15:$A$19, 0), MATCH("Agresivo", 02B_ESCENARIOS!$B$14:$D$14, 0))</f>
        <v/>
      </c>
      <c r="F333">
        <f>E333*VLOOKUP(A333,04_PROYECTOS!$A:$N,6,FALSE)</f>
        <v/>
      </c>
      <c r="G333">
        <f>E333+F333</f>
        <v/>
      </c>
      <c r="H333">
        <f>IF(VLOOKUP(A333,04_PROYECTOS!$A:$N,10,FALSE)="", IF(VLOOKUP(A333,04_PROYECTOS!$A:$N,4,FALSE)="Privado", INDEX(02B_ESCENARIOS!$B$4:$D$11, MATCH("DSO_PRIVADO_DEFAULT", 02B_ESCENARIOS!$A$4:$A$11, 0), MATCH("Agresivo", 02B_ESCENARIOS!$B$3:$D$3, 0)), IF(VLOOKUP(A333,04_PROYECTOS!$A:$N,4,FALSE)="Publico_&lt;10M",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VLOOKUP(A333,04_PROYECTOS!$A:$N,10,FALSE))</f>
        <v/>
      </c>
      <c r="I333">
        <f>ROUNDUP(H333/30,0)</f>
        <v/>
      </c>
      <c r="J333">
        <f>EDATE(C333,I333)</f>
        <v/>
      </c>
      <c r="K333">
        <f>G333</f>
        <v/>
      </c>
    </row>
    <row r="334">
      <c r="E334">
        <f>D334*VLOOKUP(A334,04_PROYECTOS!$A:$N,5,FALSE)*(INDEX(02B_ESCENARIOS!$B$4:$D$11, MATCH("MULT_PRECIO", 02B_ESCENARIOS!$A$4:$A$11, 0), MATCH("Agresivo", 02B_ESCENARIOS!$B$3:$D$3, 0)))*INDEX(02B_ESCENARIOS!$B$15:$D$19, MATCH(VLOOKUP(A334,04_PROYECTOS!$A:$N,9,FALSE), 02B_ESCENARIOS!$A$15:$A$19, 0), MATCH("Agresivo", 02B_ESCENARIOS!$B$14:$D$14, 0))</f>
        <v/>
      </c>
      <c r="F334">
        <f>E334*VLOOKUP(A334,04_PROYECTOS!$A:$N,6,FALSE)</f>
        <v/>
      </c>
      <c r="G334">
        <f>E334+F334</f>
        <v/>
      </c>
      <c r="H334">
        <f>IF(VLOOKUP(A334,04_PROYECTOS!$A:$N,10,FALSE)="", IF(VLOOKUP(A334,04_PROYECTOS!$A:$N,4,FALSE)="Privado", INDEX(02B_ESCENARIOS!$B$4:$D$11, MATCH("DSO_PRIVADO_DEFAULT", 02B_ESCENARIOS!$A$4:$A$11, 0), MATCH("Agresivo", 02B_ESCENARIOS!$B$3:$D$3, 0)), IF(VLOOKUP(A334,04_PROYECTOS!$A:$N,4,FALSE)="Publico_&lt;10M",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VLOOKUP(A334,04_PROYECTOS!$A:$N,10,FALSE))</f>
        <v/>
      </c>
      <c r="I334">
        <f>ROUNDUP(H334/30,0)</f>
        <v/>
      </c>
      <c r="J334">
        <f>EDATE(C334,I334)</f>
        <v/>
      </c>
      <c r="K334">
        <f>G334</f>
        <v/>
      </c>
    </row>
    <row r="335">
      <c r="E335">
        <f>D335*VLOOKUP(A335,04_PROYECTOS!$A:$N,5,FALSE)*(INDEX(02B_ESCENARIOS!$B$4:$D$11, MATCH("MULT_PRECIO", 02B_ESCENARIOS!$A$4:$A$11, 0), MATCH("Agresivo", 02B_ESCENARIOS!$B$3:$D$3, 0)))*INDEX(02B_ESCENARIOS!$B$15:$D$19, MATCH(VLOOKUP(A335,04_PROYECTOS!$A:$N,9,FALSE), 02B_ESCENARIOS!$A$15:$A$19, 0), MATCH("Agresivo", 02B_ESCENARIOS!$B$14:$D$14, 0))</f>
        <v/>
      </c>
      <c r="F335">
        <f>E335*VLOOKUP(A335,04_PROYECTOS!$A:$N,6,FALSE)</f>
        <v/>
      </c>
      <c r="G335">
        <f>E335+F335</f>
        <v/>
      </c>
      <c r="H335">
        <f>IF(VLOOKUP(A335,04_PROYECTOS!$A:$N,10,FALSE)="", IF(VLOOKUP(A335,04_PROYECTOS!$A:$N,4,FALSE)="Privado", INDEX(02B_ESCENARIOS!$B$4:$D$11, MATCH("DSO_PRIVADO_DEFAULT", 02B_ESCENARIOS!$A$4:$A$11, 0), MATCH("Agresivo", 02B_ESCENARIOS!$B$3:$D$3, 0)), IF(VLOOKUP(A335,04_PROYECTOS!$A:$N,4,FALSE)="Publico_&lt;10M",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VLOOKUP(A335,04_PROYECTOS!$A:$N,10,FALSE))</f>
        <v/>
      </c>
      <c r="I335">
        <f>ROUNDUP(H335/30,0)</f>
        <v/>
      </c>
      <c r="J335">
        <f>EDATE(C335,I335)</f>
        <v/>
      </c>
      <c r="K335">
        <f>G335</f>
        <v/>
      </c>
    </row>
    <row r="336">
      <c r="E336">
        <f>D336*VLOOKUP(A336,04_PROYECTOS!$A:$N,5,FALSE)*(INDEX(02B_ESCENARIOS!$B$4:$D$11, MATCH("MULT_PRECIO", 02B_ESCENARIOS!$A$4:$A$11, 0), MATCH("Agresivo", 02B_ESCENARIOS!$B$3:$D$3, 0)))*INDEX(02B_ESCENARIOS!$B$15:$D$19, MATCH(VLOOKUP(A336,04_PROYECTOS!$A:$N,9,FALSE), 02B_ESCENARIOS!$A$15:$A$19, 0), MATCH("Agresivo", 02B_ESCENARIOS!$B$14:$D$14, 0))</f>
        <v/>
      </c>
      <c r="F336">
        <f>E336*VLOOKUP(A336,04_PROYECTOS!$A:$N,6,FALSE)</f>
        <v/>
      </c>
      <c r="G336">
        <f>E336+F336</f>
        <v/>
      </c>
      <c r="H336">
        <f>IF(VLOOKUP(A336,04_PROYECTOS!$A:$N,10,FALSE)="", IF(VLOOKUP(A336,04_PROYECTOS!$A:$N,4,FALSE)="Privado", INDEX(02B_ESCENARIOS!$B$4:$D$11, MATCH("DSO_PRIVADO_DEFAULT", 02B_ESCENARIOS!$A$4:$A$11, 0), MATCH("Agresivo", 02B_ESCENARIOS!$B$3:$D$3, 0)), IF(VLOOKUP(A336,04_PROYECTOS!$A:$N,4,FALSE)="Publico_&lt;10M",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VLOOKUP(A336,04_PROYECTOS!$A:$N,10,FALSE))</f>
        <v/>
      </c>
      <c r="I336">
        <f>ROUNDUP(H336/30,0)</f>
        <v/>
      </c>
      <c r="J336">
        <f>EDATE(C336,I336)</f>
        <v/>
      </c>
      <c r="K336">
        <f>G336</f>
        <v/>
      </c>
    </row>
    <row r="337">
      <c r="E337">
        <f>D337*VLOOKUP(A337,04_PROYECTOS!$A:$N,5,FALSE)*(INDEX(02B_ESCENARIOS!$B$4:$D$11, MATCH("MULT_PRECIO", 02B_ESCENARIOS!$A$4:$A$11, 0), MATCH("Agresivo", 02B_ESCENARIOS!$B$3:$D$3, 0)))*INDEX(02B_ESCENARIOS!$B$15:$D$19, MATCH(VLOOKUP(A337,04_PROYECTOS!$A:$N,9,FALSE), 02B_ESCENARIOS!$A$15:$A$19, 0), MATCH("Agresivo", 02B_ESCENARIOS!$B$14:$D$14, 0))</f>
        <v/>
      </c>
      <c r="F337">
        <f>E337*VLOOKUP(A337,04_PROYECTOS!$A:$N,6,FALSE)</f>
        <v/>
      </c>
      <c r="G337">
        <f>E337+F337</f>
        <v/>
      </c>
      <c r="H337">
        <f>IF(VLOOKUP(A337,04_PROYECTOS!$A:$N,10,FALSE)="", IF(VLOOKUP(A337,04_PROYECTOS!$A:$N,4,FALSE)="Privado", INDEX(02B_ESCENARIOS!$B$4:$D$11, MATCH("DSO_PRIVADO_DEFAULT", 02B_ESCENARIOS!$A$4:$A$11, 0), MATCH("Agresivo", 02B_ESCENARIOS!$B$3:$D$3, 0)), IF(VLOOKUP(A337,04_PROYECTOS!$A:$N,4,FALSE)="Publico_&lt;10M",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VLOOKUP(A337,04_PROYECTOS!$A:$N,10,FALSE))</f>
        <v/>
      </c>
      <c r="I337">
        <f>ROUNDUP(H337/30,0)</f>
        <v/>
      </c>
      <c r="J337">
        <f>EDATE(C337,I337)</f>
        <v/>
      </c>
      <c r="K337">
        <f>G337</f>
        <v/>
      </c>
    </row>
    <row r="338">
      <c r="E338">
        <f>D338*VLOOKUP(A338,04_PROYECTOS!$A:$N,5,FALSE)*(INDEX(02B_ESCENARIOS!$B$4:$D$11, MATCH("MULT_PRECIO", 02B_ESCENARIOS!$A$4:$A$11, 0), MATCH("Agresivo", 02B_ESCENARIOS!$B$3:$D$3, 0)))*INDEX(02B_ESCENARIOS!$B$15:$D$19, MATCH(VLOOKUP(A338,04_PROYECTOS!$A:$N,9,FALSE), 02B_ESCENARIOS!$A$15:$A$19, 0), MATCH("Agresivo", 02B_ESCENARIOS!$B$14:$D$14, 0))</f>
        <v/>
      </c>
      <c r="F338">
        <f>E338*VLOOKUP(A338,04_PROYECTOS!$A:$N,6,FALSE)</f>
        <v/>
      </c>
      <c r="G338">
        <f>E338+F338</f>
        <v/>
      </c>
      <c r="H338">
        <f>IF(VLOOKUP(A338,04_PROYECTOS!$A:$N,10,FALSE)="", IF(VLOOKUP(A338,04_PROYECTOS!$A:$N,4,FALSE)="Privado", INDEX(02B_ESCENARIOS!$B$4:$D$11, MATCH("DSO_PRIVADO_DEFAULT", 02B_ESCENARIOS!$A$4:$A$11, 0), MATCH("Agresivo", 02B_ESCENARIOS!$B$3:$D$3, 0)), IF(VLOOKUP(A338,04_PROYECTOS!$A:$N,4,FALSE)="Publico_&lt;10M",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VLOOKUP(A338,04_PROYECTOS!$A:$N,10,FALSE))</f>
        <v/>
      </c>
      <c r="I338">
        <f>ROUNDUP(H338/30,0)</f>
        <v/>
      </c>
      <c r="J338">
        <f>EDATE(C338,I338)</f>
        <v/>
      </c>
      <c r="K338">
        <f>G338</f>
        <v/>
      </c>
    </row>
    <row r="339">
      <c r="E339">
        <f>D339*VLOOKUP(A339,04_PROYECTOS!$A:$N,5,FALSE)*(INDEX(02B_ESCENARIOS!$B$4:$D$11, MATCH("MULT_PRECIO", 02B_ESCENARIOS!$A$4:$A$11, 0), MATCH("Agresivo", 02B_ESCENARIOS!$B$3:$D$3, 0)))*INDEX(02B_ESCENARIOS!$B$15:$D$19, MATCH(VLOOKUP(A339,04_PROYECTOS!$A:$N,9,FALSE), 02B_ESCENARIOS!$A$15:$A$19, 0), MATCH("Agresivo", 02B_ESCENARIOS!$B$14:$D$14, 0))</f>
        <v/>
      </c>
      <c r="F339">
        <f>E339*VLOOKUP(A339,04_PROYECTOS!$A:$N,6,FALSE)</f>
        <v/>
      </c>
      <c r="G339">
        <f>E339+F339</f>
        <v/>
      </c>
      <c r="H339">
        <f>IF(VLOOKUP(A339,04_PROYECTOS!$A:$N,10,FALSE)="", IF(VLOOKUP(A339,04_PROYECTOS!$A:$N,4,FALSE)="Privado", INDEX(02B_ESCENARIOS!$B$4:$D$11, MATCH("DSO_PRIVADO_DEFAULT", 02B_ESCENARIOS!$A$4:$A$11, 0), MATCH("Agresivo", 02B_ESCENARIOS!$B$3:$D$3, 0)), IF(VLOOKUP(A339,04_PROYECTOS!$A:$N,4,FALSE)="Publico_&lt;10M",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VLOOKUP(A339,04_PROYECTOS!$A:$N,10,FALSE))</f>
        <v/>
      </c>
      <c r="I339">
        <f>ROUNDUP(H339/30,0)</f>
        <v/>
      </c>
      <c r="J339">
        <f>EDATE(C339,I339)</f>
        <v/>
      </c>
      <c r="K339">
        <f>G339</f>
        <v/>
      </c>
    </row>
    <row r="340">
      <c r="E340">
        <f>D340*VLOOKUP(A340,04_PROYECTOS!$A:$N,5,FALSE)*(INDEX(02B_ESCENARIOS!$B$4:$D$11, MATCH("MULT_PRECIO", 02B_ESCENARIOS!$A$4:$A$11, 0), MATCH("Agresivo", 02B_ESCENARIOS!$B$3:$D$3, 0)))*INDEX(02B_ESCENARIOS!$B$15:$D$19, MATCH(VLOOKUP(A340,04_PROYECTOS!$A:$N,9,FALSE), 02B_ESCENARIOS!$A$15:$A$19, 0), MATCH("Agresivo", 02B_ESCENARIOS!$B$14:$D$14, 0))</f>
        <v/>
      </c>
      <c r="F340">
        <f>E340*VLOOKUP(A340,04_PROYECTOS!$A:$N,6,FALSE)</f>
        <v/>
      </c>
      <c r="G340">
        <f>E340+F340</f>
        <v/>
      </c>
      <c r="H340">
        <f>IF(VLOOKUP(A340,04_PROYECTOS!$A:$N,10,FALSE)="", IF(VLOOKUP(A340,04_PROYECTOS!$A:$N,4,FALSE)="Privado", INDEX(02B_ESCENARIOS!$B$4:$D$11, MATCH("DSO_PRIVADO_DEFAULT", 02B_ESCENARIOS!$A$4:$A$11, 0), MATCH("Agresivo", 02B_ESCENARIOS!$B$3:$D$3, 0)), IF(VLOOKUP(A340,04_PROYECTOS!$A:$N,4,FALSE)="Publico_&lt;10M",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VLOOKUP(A340,04_PROYECTOS!$A:$N,10,FALSE))</f>
        <v/>
      </c>
      <c r="I340">
        <f>ROUNDUP(H340/30,0)</f>
        <v/>
      </c>
      <c r="J340">
        <f>EDATE(C340,I340)</f>
        <v/>
      </c>
      <c r="K340">
        <f>G340</f>
        <v/>
      </c>
    </row>
    <row r="341">
      <c r="E341">
        <f>D341*VLOOKUP(A341,04_PROYECTOS!$A:$N,5,FALSE)*(INDEX(02B_ESCENARIOS!$B$4:$D$11, MATCH("MULT_PRECIO", 02B_ESCENARIOS!$A$4:$A$11, 0), MATCH("Agresivo", 02B_ESCENARIOS!$B$3:$D$3, 0)))*INDEX(02B_ESCENARIOS!$B$15:$D$19, MATCH(VLOOKUP(A341,04_PROYECTOS!$A:$N,9,FALSE), 02B_ESCENARIOS!$A$15:$A$19, 0), MATCH("Agresivo", 02B_ESCENARIOS!$B$14:$D$14, 0))</f>
        <v/>
      </c>
      <c r="F341">
        <f>E341*VLOOKUP(A341,04_PROYECTOS!$A:$N,6,FALSE)</f>
        <v/>
      </c>
      <c r="G341">
        <f>E341+F341</f>
        <v/>
      </c>
      <c r="H341">
        <f>IF(VLOOKUP(A341,04_PROYECTOS!$A:$N,10,FALSE)="", IF(VLOOKUP(A341,04_PROYECTOS!$A:$N,4,FALSE)="Privado", INDEX(02B_ESCENARIOS!$B$4:$D$11, MATCH("DSO_PRIVADO_DEFAULT", 02B_ESCENARIOS!$A$4:$A$11, 0), MATCH("Agresivo", 02B_ESCENARIOS!$B$3:$D$3, 0)), IF(VLOOKUP(A341,04_PROYECTOS!$A:$N,4,FALSE)="Publico_&lt;10M",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VLOOKUP(A341,04_PROYECTOS!$A:$N,10,FALSE))</f>
        <v/>
      </c>
      <c r="I341">
        <f>ROUNDUP(H341/30,0)</f>
        <v/>
      </c>
      <c r="J341">
        <f>EDATE(C341,I341)</f>
        <v/>
      </c>
      <c r="K341">
        <f>G341</f>
        <v/>
      </c>
    </row>
    <row r="342">
      <c r="E342">
        <f>D342*VLOOKUP(A342,04_PROYECTOS!$A:$N,5,FALSE)*(INDEX(02B_ESCENARIOS!$B$4:$D$11, MATCH("MULT_PRECIO", 02B_ESCENARIOS!$A$4:$A$11, 0), MATCH("Agresivo", 02B_ESCENARIOS!$B$3:$D$3, 0)))*INDEX(02B_ESCENARIOS!$B$15:$D$19, MATCH(VLOOKUP(A342,04_PROYECTOS!$A:$N,9,FALSE), 02B_ESCENARIOS!$A$15:$A$19, 0), MATCH("Agresivo", 02B_ESCENARIOS!$B$14:$D$14, 0))</f>
        <v/>
      </c>
      <c r="F342">
        <f>E342*VLOOKUP(A342,04_PROYECTOS!$A:$N,6,FALSE)</f>
        <v/>
      </c>
      <c r="G342">
        <f>E342+F342</f>
        <v/>
      </c>
      <c r="H342">
        <f>IF(VLOOKUP(A342,04_PROYECTOS!$A:$N,10,FALSE)="", IF(VLOOKUP(A342,04_PROYECTOS!$A:$N,4,FALSE)="Privado", INDEX(02B_ESCENARIOS!$B$4:$D$11, MATCH("DSO_PRIVADO_DEFAULT", 02B_ESCENARIOS!$A$4:$A$11, 0), MATCH("Agresivo", 02B_ESCENARIOS!$B$3:$D$3, 0)), IF(VLOOKUP(A342,04_PROYECTOS!$A:$N,4,FALSE)="Publico_&lt;10M",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VLOOKUP(A342,04_PROYECTOS!$A:$N,10,FALSE))</f>
        <v/>
      </c>
      <c r="I342">
        <f>ROUNDUP(H342/30,0)</f>
        <v/>
      </c>
      <c r="J342">
        <f>EDATE(C342,I342)</f>
        <v/>
      </c>
      <c r="K342">
        <f>G342</f>
        <v/>
      </c>
    </row>
    <row r="343">
      <c r="E343">
        <f>D343*VLOOKUP(A343,04_PROYECTOS!$A:$N,5,FALSE)*(INDEX(02B_ESCENARIOS!$B$4:$D$11, MATCH("MULT_PRECIO", 02B_ESCENARIOS!$A$4:$A$11, 0), MATCH("Agresivo", 02B_ESCENARIOS!$B$3:$D$3, 0)))*INDEX(02B_ESCENARIOS!$B$15:$D$19, MATCH(VLOOKUP(A343,04_PROYECTOS!$A:$N,9,FALSE), 02B_ESCENARIOS!$A$15:$A$19, 0), MATCH("Agresivo", 02B_ESCENARIOS!$B$14:$D$14, 0))</f>
        <v/>
      </c>
      <c r="F343">
        <f>E343*VLOOKUP(A343,04_PROYECTOS!$A:$N,6,FALSE)</f>
        <v/>
      </c>
      <c r="G343">
        <f>E343+F343</f>
        <v/>
      </c>
      <c r="H343">
        <f>IF(VLOOKUP(A343,04_PROYECTOS!$A:$N,10,FALSE)="", IF(VLOOKUP(A343,04_PROYECTOS!$A:$N,4,FALSE)="Privado", INDEX(02B_ESCENARIOS!$B$4:$D$11, MATCH("DSO_PRIVADO_DEFAULT", 02B_ESCENARIOS!$A$4:$A$11, 0), MATCH("Agresivo", 02B_ESCENARIOS!$B$3:$D$3, 0)), IF(VLOOKUP(A343,04_PROYECTOS!$A:$N,4,FALSE)="Publico_&lt;10M",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VLOOKUP(A343,04_PROYECTOS!$A:$N,10,FALSE))</f>
        <v/>
      </c>
      <c r="I343">
        <f>ROUNDUP(H343/30,0)</f>
        <v/>
      </c>
      <c r="J343">
        <f>EDATE(C343,I343)</f>
        <v/>
      </c>
      <c r="K343">
        <f>G343</f>
        <v/>
      </c>
    </row>
    <row r="344">
      <c r="E344">
        <f>D344*VLOOKUP(A344,04_PROYECTOS!$A:$N,5,FALSE)*(INDEX(02B_ESCENARIOS!$B$4:$D$11, MATCH("MULT_PRECIO", 02B_ESCENARIOS!$A$4:$A$11, 0), MATCH("Agresivo", 02B_ESCENARIOS!$B$3:$D$3, 0)))*INDEX(02B_ESCENARIOS!$B$15:$D$19, MATCH(VLOOKUP(A344,04_PROYECTOS!$A:$N,9,FALSE), 02B_ESCENARIOS!$A$15:$A$19, 0), MATCH("Agresivo", 02B_ESCENARIOS!$B$14:$D$14, 0))</f>
        <v/>
      </c>
      <c r="F344">
        <f>E344*VLOOKUP(A344,04_PROYECTOS!$A:$N,6,FALSE)</f>
        <v/>
      </c>
      <c r="G344">
        <f>E344+F344</f>
        <v/>
      </c>
      <c r="H344">
        <f>IF(VLOOKUP(A344,04_PROYECTOS!$A:$N,10,FALSE)="", IF(VLOOKUP(A344,04_PROYECTOS!$A:$N,4,FALSE)="Privado", INDEX(02B_ESCENARIOS!$B$4:$D$11, MATCH("DSO_PRIVADO_DEFAULT", 02B_ESCENARIOS!$A$4:$A$11, 0), MATCH("Agresivo", 02B_ESCENARIOS!$B$3:$D$3, 0)), IF(VLOOKUP(A344,04_PROYECTOS!$A:$N,4,FALSE)="Publico_&lt;10M",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VLOOKUP(A344,04_PROYECTOS!$A:$N,10,FALSE))</f>
        <v/>
      </c>
      <c r="I344">
        <f>ROUNDUP(H344/30,0)</f>
        <v/>
      </c>
      <c r="J344">
        <f>EDATE(C344,I344)</f>
        <v/>
      </c>
      <c r="K344">
        <f>G344</f>
        <v/>
      </c>
    </row>
    <row r="345">
      <c r="E345">
        <f>D345*VLOOKUP(A345,04_PROYECTOS!$A:$N,5,FALSE)*(INDEX(02B_ESCENARIOS!$B$4:$D$11, MATCH("MULT_PRECIO", 02B_ESCENARIOS!$A$4:$A$11, 0), MATCH("Agresivo", 02B_ESCENARIOS!$B$3:$D$3, 0)))*INDEX(02B_ESCENARIOS!$B$15:$D$19, MATCH(VLOOKUP(A345,04_PROYECTOS!$A:$N,9,FALSE), 02B_ESCENARIOS!$A$15:$A$19, 0), MATCH("Agresivo", 02B_ESCENARIOS!$B$14:$D$14, 0))</f>
        <v/>
      </c>
      <c r="F345">
        <f>E345*VLOOKUP(A345,04_PROYECTOS!$A:$N,6,FALSE)</f>
        <v/>
      </c>
      <c r="G345">
        <f>E345+F345</f>
        <v/>
      </c>
      <c r="H345">
        <f>IF(VLOOKUP(A345,04_PROYECTOS!$A:$N,10,FALSE)="", IF(VLOOKUP(A345,04_PROYECTOS!$A:$N,4,FALSE)="Privado", INDEX(02B_ESCENARIOS!$B$4:$D$11, MATCH("DSO_PRIVADO_DEFAULT", 02B_ESCENARIOS!$A$4:$A$11, 0), MATCH("Agresivo", 02B_ESCENARIOS!$B$3:$D$3, 0)), IF(VLOOKUP(A345,04_PROYECTOS!$A:$N,4,FALSE)="Publico_&lt;10M",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VLOOKUP(A345,04_PROYECTOS!$A:$N,10,FALSE))</f>
        <v/>
      </c>
      <c r="I345">
        <f>ROUNDUP(H345/30,0)</f>
        <v/>
      </c>
      <c r="J345">
        <f>EDATE(C345,I345)</f>
        <v/>
      </c>
      <c r="K345">
        <f>G345</f>
        <v/>
      </c>
    </row>
    <row r="346">
      <c r="E346">
        <f>D346*VLOOKUP(A346,04_PROYECTOS!$A:$N,5,FALSE)*(INDEX(02B_ESCENARIOS!$B$4:$D$11, MATCH("MULT_PRECIO", 02B_ESCENARIOS!$A$4:$A$11, 0), MATCH("Agresivo", 02B_ESCENARIOS!$B$3:$D$3, 0)))*INDEX(02B_ESCENARIOS!$B$15:$D$19, MATCH(VLOOKUP(A346,04_PROYECTOS!$A:$N,9,FALSE), 02B_ESCENARIOS!$A$15:$A$19, 0), MATCH("Agresivo", 02B_ESCENARIOS!$B$14:$D$14, 0))</f>
        <v/>
      </c>
      <c r="F346">
        <f>E346*VLOOKUP(A346,04_PROYECTOS!$A:$N,6,FALSE)</f>
        <v/>
      </c>
      <c r="G346">
        <f>E346+F346</f>
        <v/>
      </c>
      <c r="H346">
        <f>IF(VLOOKUP(A346,04_PROYECTOS!$A:$N,10,FALSE)="", IF(VLOOKUP(A346,04_PROYECTOS!$A:$N,4,FALSE)="Privado", INDEX(02B_ESCENARIOS!$B$4:$D$11, MATCH("DSO_PRIVADO_DEFAULT", 02B_ESCENARIOS!$A$4:$A$11, 0), MATCH("Agresivo", 02B_ESCENARIOS!$B$3:$D$3, 0)), IF(VLOOKUP(A346,04_PROYECTOS!$A:$N,4,FALSE)="Publico_&lt;10M",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VLOOKUP(A346,04_PROYECTOS!$A:$N,10,FALSE))</f>
        <v/>
      </c>
      <c r="I346">
        <f>ROUNDUP(H346/30,0)</f>
        <v/>
      </c>
      <c r="J346">
        <f>EDATE(C346,I346)</f>
        <v/>
      </c>
      <c r="K346">
        <f>G346</f>
        <v/>
      </c>
    </row>
    <row r="347">
      <c r="E347">
        <f>D347*VLOOKUP(A347,04_PROYECTOS!$A:$N,5,FALSE)*(INDEX(02B_ESCENARIOS!$B$4:$D$11, MATCH("MULT_PRECIO", 02B_ESCENARIOS!$A$4:$A$11, 0), MATCH("Agresivo", 02B_ESCENARIOS!$B$3:$D$3, 0)))*INDEX(02B_ESCENARIOS!$B$15:$D$19, MATCH(VLOOKUP(A347,04_PROYECTOS!$A:$N,9,FALSE), 02B_ESCENARIOS!$A$15:$A$19, 0), MATCH("Agresivo", 02B_ESCENARIOS!$B$14:$D$14, 0))</f>
        <v/>
      </c>
      <c r="F347">
        <f>E347*VLOOKUP(A347,04_PROYECTOS!$A:$N,6,FALSE)</f>
        <v/>
      </c>
      <c r="G347">
        <f>E347+F347</f>
        <v/>
      </c>
      <c r="H347">
        <f>IF(VLOOKUP(A347,04_PROYECTOS!$A:$N,10,FALSE)="", IF(VLOOKUP(A347,04_PROYECTOS!$A:$N,4,FALSE)="Privado", INDEX(02B_ESCENARIOS!$B$4:$D$11, MATCH("DSO_PRIVADO_DEFAULT", 02B_ESCENARIOS!$A$4:$A$11, 0), MATCH("Agresivo", 02B_ESCENARIOS!$B$3:$D$3, 0)), IF(VLOOKUP(A347,04_PROYECTOS!$A:$N,4,FALSE)="Publico_&lt;10M",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VLOOKUP(A347,04_PROYECTOS!$A:$N,10,FALSE))</f>
        <v/>
      </c>
      <c r="I347">
        <f>ROUNDUP(H347/30,0)</f>
        <v/>
      </c>
      <c r="J347">
        <f>EDATE(C347,I347)</f>
        <v/>
      </c>
      <c r="K347">
        <f>G347</f>
        <v/>
      </c>
    </row>
    <row r="348">
      <c r="E348">
        <f>D348*VLOOKUP(A348,04_PROYECTOS!$A:$N,5,FALSE)*(INDEX(02B_ESCENARIOS!$B$4:$D$11, MATCH("MULT_PRECIO", 02B_ESCENARIOS!$A$4:$A$11, 0), MATCH("Agresivo", 02B_ESCENARIOS!$B$3:$D$3, 0)))*INDEX(02B_ESCENARIOS!$B$15:$D$19, MATCH(VLOOKUP(A348,04_PROYECTOS!$A:$N,9,FALSE), 02B_ESCENARIOS!$A$15:$A$19, 0), MATCH("Agresivo", 02B_ESCENARIOS!$B$14:$D$14, 0))</f>
        <v/>
      </c>
      <c r="F348">
        <f>E348*VLOOKUP(A348,04_PROYECTOS!$A:$N,6,FALSE)</f>
        <v/>
      </c>
      <c r="G348">
        <f>E348+F348</f>
        <v/>
      </c>
      <c r="H348">
        <f>IF(VLOOKUP(A348,04_PROYECTOS!$A:$N,10,FALSE)="", IF(VLOOKUP(A348,04_PROYECTOS!$A:$N,4,FALSE)="Privado", INDEX(02B_ESCENARIOS!$B$4:$D$11, MATCH("DSO_PRIVADO_DEFAULT", 02B_ESCENARIOS!$A$4:$A$11, 0), MATCH("Agresivo", 02B_ESCENARIOS!$B$3:$D$3, 0)), IF(VLOOKUP(A348,04_PROYECTOS!$A:$N,4,FALSE)="Publico_&lt;10M",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VLOOKUP(A348,04_PROYECTOS!$A:$N,10,FALSE))</f>
        <v/>
      </c>
      <c r="I348">
        <f>ROUNDUP(H348/30,0)</f>
        <v/>
      </c>
      <c r="J348">
        <f>EDATE(C348,I348)</f>
        <v/>
      </c>
      <c r="K348">
        <f>G348</f>
        <v/>
      </c>
    </row>
    <row r="349">
      <c r="E349">
        <f>D349*VLOOKUP(A349,04_PROYECTOS!$A:$N,5,FALSE)*(INDEX(02B_ESCENARIOS!$B$4:$D$11, MATCH("MULT_PRECIO", 02B_ESCENARIOS!$A$4:$A$11, 0), MATCH("Agresivo", 02B_ESCENARIOS!$B$3:$D$3, 0)))*INDEX(02B_ESCENARIOS!$B$15:$D$19, MATCH(VLOOKUP(A349,04_PROYECTOS!$A:$N,9,FALSE), 02B_ESCENARIOS!$A$15:$A$19, 0), MATCH("Agresivo", 02B_ESCENARIOS!$B$14:$D$14, 0))</f>
        <v/>
      </c>
      <c r="F349">
        <f>E349*VLOOKUP(A349,04_PROYECTOS!$A:$N,6,FALSE)</f>
        <v/>
      </c>
      <c r="G349">
        <f>E349+F349</f>
        <v/>
      </c>
      <c r="H349">
        <f>IF(VLOOKUP(A349,04_PROYECTOS!$A:$N,10,FALSE)="", IF(VLOOKUP(A349,04_PROYECTOS!$A:$N,4,FALSE)="Privado", INDEX(02B_ESCENARIOS!$B$4:$D$11, MATCH("DSO_PRIVADO_DEFAULT", 02B_ESCENARIOS!$A$4:$A$11, 0), MATCH("Agresivo", 02B_ESCENARIOS!$B$3:$D$3, 0)), IF(VLOOKUP(A349,04_PROYECTOS!$A:$N,4,FALSE)="Publico_&lt;10M",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VLOOKUP(A349,04_PROYECTOS!$A:$N,10,FALSE))</f>
        <v/>
      </c>
      <c r="I349">
        <f>ROUNDUP(H349/30,0)</f>
        <v/>
      </c>
      <c r="J349">
        <f>EDATE(C349,I349)</f>
        <v/>
      </c>
      <c r="K349">
        <f>G349</f>
        <v/>
      </c>
    </row>
    <row r="350">
      <c r="E350">
        <f>D350*VLOOKUP(A350,04_PROYECTOS!$A:$N,5,FALSE)*(INDEX(02B_ESCENARIOS!$B$4:$D$11, MATCH("MULT_PRECIO", 02B_ESCENARIOS!$A$4:$A$11, 0), MATCH("Agresivo", 02B_ESCENARIOS!$B$3:$D$3, 0)))*INDEX(02B_ESCENARIOS!$B$15:$D$19, MATCH(VLOOKUP(A350,04_PROYECTOS!$A:$N,9,FALSE), 02B_ESCENARIOS!$A$15:$A$19, 0), MATCH("Agresivo", 02B_ESCENARIOS!$B$14:$D$14, 0))</f>
        <v/>
      </c>
      <c r="F350">
        <f>E350*VLOOKUP(A350,04_PROYECTOS!$A:$N,6,FALSE)</f>
        <v/>
      </c>
      <c r="G350">
        <f>E350+F350</f>
        <v/>
      </c>
      <c r="H350">
        <f>IF(VLOOKUP(A350,04_PROYECTOS!$A:$N,10,FALSE)="", IF(VLOOKUP(A350,04_PROYECTOS!$A:$N,4,FALSE)="Privado", INDEX(02B_ESCENARIOS!$B$4:$D$11, MATCH("DSO_PRIVADO_DEFAULT", 02B_ESCENARIOS!$A$4:$A$11, 0), MATCH("Agresivo", 02B_ESCENARIOS!$B$3:$D$3, 0)), IF(VLOOKUP(A350,04_PROYECTOS!$A:$N,4,FALSE)="Publico_&lt;10M",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VLOOKUP(A350,04_PROYECTOS!$A:$N,10,FALSE))</f>
        <v/>
      </c>
      <c r="I350">
        <f>ROUNDUP(H350/30,0)</f>
        <v/>
      </c>
      <c r="J350">
        <f>EDATE(C350,I350)</f>
        <v/>
      </c>
      <c r="K350">
        <f>G350</f>
        <v/>
      </c>
    </row>
    <row r="351">
      <c r="E351">
        <f>D351*VLOOKUP(A351,04_PROYECTOS!$A:$N,5,FALSE)*(INDEX(02B_ESCENARIOS!$B$4:$D$11, MATCH("MULT_PRECIO", 02B_ESCENARIOS!$A$4:$A$11, 0), MATCH("Agresivo", 02B_ESCENARIOS!$B$3:$D$3, 0)))*INDEX(02B_ESCENARIOS!$B$15:$D$19, MATCH(VLOOKUP(A351,04_PROYECTOS!$A:$N,9,FALSE), 02B_ESCENARIOS!$A$15:$A$19, 0), MATCH("Agresivo", 02B_ESCENARIOS!$B$14:$D$14, 0))</f>
        <v/>
      </c>
      <c r="F351">
        <f>E351*VLOOKUP(A351,04_PROYECTOS!$A:$N,6,FALSE)</f>
        <v/>
      </c>
      <c r="G351">
        <f>E351+F351</f>
        <v/>
      </c>
      <c r="H351">
        <f>IF(VLOOKUP(A351,04_PROYECTOS!$A:$N,10,FALSE)="", IF(VLOOKUP(A351,04_PROYECTOS!$A:$N,4,FALSE)="Privado", INDEX(02B_ESCENARIOS!$B$4:$D$11, MATCH("DSO_PRIVADO_DEFAULT", 02B_ESCENARIOS!$A$4:$A$11, 0), MATCH("Agresivo", 02B_ESCENARIOS!$B$3:$D$3, 0)), IF(VLOOKUP(A351,04_PROYECTOS!$A:$N,4,FALSE)="Publico_&lt;10M",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VLOOKUP(A351,04_PROYECTOS!$A:$N,10,FALSE))</f>
        <v/>
      </c>
      <c r="I351">
        <f>ROUNDUP(H351/30,0)</f>
        <v/>
      </c>
      <c r="J351">
        <f>EDATE(C351,I351)</f>
        <v/>
      </c>
      <c r="K351">
        <f>G351</f>
        <v/>
      </c>
    </row>
    <row r="352">
      <c r="E352">
        <f>D352*VLOOKUP(A352,04_PROYECTOS!$A:$N,5,FALSE)*(INDEX(02B_ESCENARIOS!$B$4:$D$11, MATCH("MULT_PRECIO", 02B_ESCENARIOS!$A$4:$A$11, 0), MATCH("Agresivo", 02B_ESCENARIOS!$B$3:$D$3, 0)))*INDEX(02B_ESCENARIOS!$B$15:$D$19, MATCH(VLOOKUP(A352,04_PROYECTOS!$A:$N,9,FALSE), 02B_ESCENARIOS!$A$15:$A$19, 0), MATCH("Agresivo", 02B_ESCENARIOS!$B$14:$D$14, 0))</f>
        <v/>
      </c>
      <c r="F352">
        <f>E352*VLOOKUP(A352,04_PROYECTOS!$A:$N,6,FALSE)</f>
        <v/>
      </c>
      <c r="G352">
        <f>E352+F352</f>
        <v/>
      </c>
      <c r="H352">
        <f>IF(VLOOKUP(A352,04_PROYECTOS!$A:$N,10,FALSE)="", IF(VLOOKUP(A352,04_PROYECTOS!$A:$N,4,FALSE)="Privado", INDEX(02B_ESCENARIOS!$B$4:$D$11, MATCH("DSO_PRIVADO_DEFAULT", 02B_ESCENARIOS!$A$4:$A$11, 0), MATCH("Agresivo", 02B_ESCENARIOS!$B$3:$D$3, 0)), IF(VLOOKUP(A352,04_PROYECTOS!$A:$N,4,FALSE)="Publico_&lt;10M",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VLOOKUP(A352,04_PROYECTOS!$A:$N,10,FALSE))</f>
        <v/>
      </c>
      <c r="I352">
        <f>ROUNDUP(H352/30,0)</f>
        <v/>
      </c>
      <c r="J352">
        <f>EDATE(C352,I352)</f>
        <v/>
      </c>
      <c r="K352">
        <f>G352</f>
        <v/>
      </c>
    </row>
    <row r="353">
      <c r="E353">
        <f>D353*VLOOKUP(A353,04_PROYECTOS!$A:$N,5,FALSE)*(INDEX(02B_ESCENARIOS!$B$4:$D$11, MATCH("MULT_PRECIO", 02B_ESCENARIOS!$A$4:$A$11, 0), MATCH("Agresivo", 02B_ESCENARIOS!$B$3:$D$3, 0)))*INDEX(02B_ESCENARIOS!$B$15:$D$19, MATCH(VLOOKUP(A353,04_PROYECTOS!$A:$N,9,FALSE), 02B_ESCENARIOS!$A$15:$A$19, 0), MATCH("Agresivo", 02B_ESCENARIOS!$B$14:$D$14, 0))</f>
        <v/>
      </c>
      <c r="F353">
        <f>E353*VLOOKUP(A353,04_PROYECTOS!$A:$N,6,FALSE)</f>
        <v/>
      </c>
      <c r="G353">
        <f>E353+F353</f>
        <v/>
      </c>
      <c r="H353">
        <f>IF(VLOOKUP(A353,04_PROYECTOS!$A:$N,10,FALSE)="", IF(VLOOKUP(A353,04_PROYECTOS!$A:$N,4,FALSE)="Privado", INDEX(02B_ESCENARIOS!$B$4:$D$11, MATCH("DSO_PRIVADO_DEFAULT", 02B_ESCENARIOS!$A$4:$A$11, 0), MATCH("Agresivo", 02B_ESCENARIOS!$B$3:$D$3, 0)), IF(VLOOKUP(A353,04_PROYECTOS!$A:$N,4,FALSE)="Publico_&lt;10M",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VLOOKUP(A353,04_PROYECTOS!$A:$N,10,FALSE))</f>
        <v/>
      </c>
      <c r="I353">
        <f>ROUNDUP(H353/30,0)</f>
        <v/>
      </c>
      <c r="J353">
        <f>EDATE(C353,I353)</f>
        <v/>
      </c>
      <c r="K353">
        <f>G353</f>
        <v/>
      </c>
    </row>
    <row r="354">
      <c r="E354">
        <f>D354*VLOOKUP(A354,04_PROYECTOS!$A:$N,5,FALSE)*(INDEX(02B_ESCENARIOS!$B$4:$D$11, MATCH("MULT_PRECIO", 02B_ESCENARIOS!$A$4:$A$11, 0), MATCH("Agresivo", 02B_ESCENARIOS!$B$3:$D$3, 0)))*INDEX(02B_ESCENARIOS!$B$15:$D$19, MATCH(VLOOKUP(A354,04_PROYECTOS!$A:$N,9,FALSE), 02B_ESCENARIOS!$A$15:$A$19, 0), MATCH("Agresivo", 02B_ESCENARIOS!$B$14:$D$14, 0))</f>
        <v/>
      </c>
      <c r="F354">
        <f>E354*VLOOKUP(A354,04_PROYECTOS!$A:$N,6,FALSE)</f>
        <v/>
      </c>
      <c r="G354">
        <f>E354+F354</f>
        <v/>
      </c>
      <c r="H354">
        <f>IF(VLOOKUP(A354,04_PROYECTOS!$A:$N,10,FALSE)="", IF(VLOOKUP(A354,04_PROYECTOS!$A:$N,4,FALSE)="Privado", INDEX(02B_ESCENARIOS!$B$4:$D$11, MATCH("DSO_PRIVADO_DEFAULT", 02B_ESCENARIOS!$A$4:$A$11, 0), MATCH("Agresivo", 02B_ESCENARIOS!$B$3:$D$3, 0)), IF(VLOOKUP(A354,04_PROYECTOS!$A:$N,4,FALSE)="Publico_&lt;10M",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VLOOKUP(A354,04_PROYECTOS!$A:$N,10,FALSE))</f>
        <v/>
      </c>
      <c r="I354">
        <f>ROUNDUP(H354/30,0)</f>
        <v/>
      </c>
      <c r="J354">
        <f>EDATE(C354,I354)</f>
        <v/>
      </c>
      <c r="K354">
        <f>G354</f>
        <v/>
      </c>
    </row>
    <row r="355">
      <c r="E355">
        <f>D355*VLOOKUP(A355,04_PROYECTOS!$A:$N,5,FALSE)*(INDEX(02B_ESCENARIOS!$B$4:$D$11, MATCH("MULT_PRECIO", 02B_ESCENARIOS!$A$4:$A$11, 0), MATCH("Agresivo", 02B_ESCENARIOS!$B$3:$D$3, 0)))*INDEX(02B_ESCENARIOS!$B$15:$D$19, MATCH(VLOOKUP(A355,04_PROYECTOS!$A:$N,9,FALSE), 02B_ESCENARIOS!$A$15:$A$19, 0), MATCH("Agresivo", 02B_ESCENARIOS!$B$14:$D$14, 0))</f>
        <v/>
      </c>
      <c r="F355">
        <f>E355*VLOOKUP(A355,04_PROYECTOS!$A:$N,6,FALSE)</f>
        <v/>
      </c>
      <c r="G355">
        <f>E355+F355</f>
        <v/>
      </c>
      <c r="H355">
        <f>IF(VLOOKUP(A355,04_PROYECTOS!$A:$N,10,FALSE)="", IF(VLOOKUP(A355,04_PROYECTOS!$A:$N,4,FALSE)="Privado", INDEX(02B_ESCENARIOS!$B$4:$D$11, MATCH("DSO_PRIVADO_DEFAULT", 02B_ESCENARIOS!$A$4:$A$11, 0), MATCH("Agresivo", 02B_ESCENARIOS!$B$3:$D$3, 0)), IF(VLOOKUP(A355,04_PROYECTOS!$A:$N,4,FALSE)="Publico_&lt;10M",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VLOOKUP(A355,04_PROYECTOS!$A:$N,10,FALSE))</f>
        <v/>
      </c>
      <c r="I355">
        <f>ROUNDUP(H355/30,0)</f>
        <v/>
      </c>
      <c r="J355">
        <f>EDATE(C355,I355)</f>
        <v/>
      </c>
      <c r="K355">
        <f>G355</f>
        <v/>
      </c>
    </row>
    <row r="356">
      <c r="E356">
        <f>D356*VLOOKUP(A356,04_PROYECTOS!$A:$N,5,FALSE)*(INDEX(02B_ESCENARIOS!$B$4:$D$11, MATCH("MULT_PRECIO", 02B_ESCENARIOS!$A$4:$A$11, 0), MATCH("Agresivo", 02B_ESCENARIOS!$B$3:$D$3, 0)))*INDEX(02B_ESCENARIOS!$B$15:$D$19, MATCH(VLOOKUP(A356,04_PROYECTOS!$A:$N,9,FALSE), 02B_ESCENARIOS!$A$15:$A$19, 0), MATCH("Agresivo", 02B_ESCENARIOS!$B$14:$D$14, 0))</f>
        <v/>
      </c>
      <c r="F356">
        <f>E356*VLOOKUP(A356,04_PROYECTOS!$A:$N,6,FALSE)</f>
        <v/>
      </c>
      <c r="G356">
        <f>E356+F356</f>
        <v/>
      </c>
      <c r="H356">
        <f>IF(VLOOKUP(A356,04_PROYECTOS!$A:$N,10,FALSE)="", IF(VLOOKUP(A356,04_PROYECTOS!$A:$N,4,FALSE)="Privado", INDEX(02B_ESCENARIOS!$B$4:$D$11, MATCH("DSO_PRIVADO_DEFAULT", 02B_ESCENARIOS!$A$4:$A$11, 0), MATCH("Agresivo", 02B_ESCENARIOS!$B$3:$D$3, 0)), IF(VLOOKUP(A356,04_PROYECTOS!$A:$N,4,FALSE)="Publico_&lt;10M",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VLOOKUP(A356,04_PROYECTOS!$A:$N,10,FALSE))</f>
        <v/>
      </c>
      <c r="I356">
        <f>ROUNDUP(H356/30,0)</f>
        <v/>
      </c>
      <c r="J356">
        <f>EDATE(C356,I356)</f>
        <v/>
      </c>
      <c r="K356">
        <f>G356</f>
        <v/>
      </c>
    </row>
    <row r="357">
      <c r="E357">
        <f>D357*VLOOKUP(A357,04_PROYECTOS!$A:$N,5,FALSE)*(INDEX(02B_ESCENARIOS!$B$4:$D$11, MATCH("MULT_PRECIO", 02B_ESCENARIOS!$A$4:$A$11, 0), MATCH("Agresivo", 02B_ESCENARIOS!$B$3:$D$3, 0)))*INDEX(02B_ESCENARIOS!$B$15:$D$19, MATCH(VLOOKUP(A357,04_PROYECTOS!$A:$N,9,FALSE), 02B_ESCENARIOS!$A$15:$A$19, 0), MATCH("Agresivo", 02B_ESCENARIOS!$B$14:$D$14, 0))</f>
        <v/>
      </c>
      <c r="F357">
        <f>E357*VLOOKUP(A357,04_PROYECTOS!$A:$N,6,FALSE)</f>
        <v/>
      </c>
      <c r="G357">
        <f>E357+F357</f>
        <v/>
      </c>
      <c r="H357">
        <f>IF(VLOOKUP(A357,04_PROYECTOS!$A:$N,10,FALSE)="", IF(VLOOKUP(A357,04_PROYECTOS!$A:$N,4,FALSE)="Privado", INDEX(02B_ESCENARIOS!$B$4:$D$11, MATCH("DSO_PRIVADO_DEFAULT", 02B_ESCENARIOS!$A$4:$A$11, 0), MATCH("Agresivo", 02B_ESCENARIOS!$B$3:$D$3, 0)), IF(VLOOKUP(A357,04_PROYECTOS!$A:$N,4,FALSE)="Publico_&lt;10M",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VLOOKUP(A357,04_PROYECTOS!$A:$N,10,FALSE))</f>
        <v/>
      </c>
      <c r="I357">
        <f>ROUNDUP(H357/30,0)</f>
        <v/>
      </c>
      <c r="J357">
        <f>EDATE(C357,I357)</f>
        <v/>
      </c>
      <c r="K357">
        <f>G357</f>
        <v/>
      </c>
    </row>
    <row r="358">
      <c r="E358">
        <f>D358*VLOOKUP(A358,04_PROYECTOS!$A:$N,5,FALSE)*(INDEX(02B_ESCENARIOS!$B$4:$D$11, MATCH("MULT_PRECIO", 02B_ESCENARIOS!$A$4:$A$11, 0), MATCH("Agresivo", 02B_ESCENARIOS!$B$3:$D$3, 0)))*INDEX(02B_ESCENARIOS!$B$15:$D$19, MATCH(VLOOKUP(A358,04_PROYECTOS!$A:$N,9,FALSE), 02B_ESCENARIOS!$A$15:$A$19, 0), MATCH("Agresivo", 02B_ESCENARIOS!$B$14:$D$14, 0))</f>
        <v/>
      </c>
      <c r="F358">
        <f>E358*VLOOKUP(A358,04_PROYECTOS!$A:$N,6,FALSE)</f>
        <v/>
      </c>
      <c r="G358">
        <f>E358+F358</f>
        <v/>
      </c>
      <c r="H358">
        <f>IF(VLOOKUP(A358,04_PROYECTOS!$A:$N,10,FALSE)="", IF(VLOOKUP(A358,04_PROYECTOS!$A:$N,4,FALSE)="Privado", INDEX(02B_ESCENARIOS!$B$4:$D$11, MATCH("DSO_PRIVADO_DEFAULT", 02B_ESCENARIOS!$A$4:$A$11, 0), MATCH("Agresivo", 02B_ESCENARIOS!$B$3:$D$3, 0)), IF(VLOOKUP(A358,04_PROYECTOS!$A:$N,4,FALSE)="Publico_&lt;10M",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VLOOKUP(A358,04_PROYECTOS!$A:$N,10,FALSE))</f>
        <v/>
      </c>
      <c r="I358">
        <f>ROUNDUP(H358/30,0)</f>
        <v/>
      </c>
      <c r="J358">
        <f>EDATE(C358,I358)</f>
        <v/>
      </c>
      <c r="K358">
        <f>G358</f>
        <v/>
      </c>
    </row>
    <row r="359">
      <c r="E359">
        <f>D359*VLOOKUP(A359,04_PROYECTOS!$A:$N,5,FALSE)*(INDEX(02B_ESCENARIOS!$B$4:$D$11, MATCH("MULT_PRECIO", 02B_ESCENARIOS!$A$4:$A$11, 0), MATCH("Agresivo", 02B_ESCENARIOS!$B$3:$D$3, 0)))*INDEX(02B_ESCENARIOS!$B$15:$D$19, MATCH(VLOOKUP(A359,04_PROYECTOS!$A:$N,9,FALSE), 02B_ESCENARIOS!$A$15:$A$19, 0), MATCH("Agresivo", 02B_ESCENARIOS!$B$14:$D$14, 0))</f>
        <v/>
      </c>
      <c r="F359">
        <f>E359*VLOOKUP(A359,04_PROYECTOS!$A:$N,6,FALSE)</f>
        <v/>
      </c>
      <c r="G359">
        <f>E359+F359</f>
        <v/>
      </c>
      <c r="H359">
        <f>IF(VLOOKUP(A359,04_PROYECTOS!$A:$N,10,FALSE)="", IF(VLOOKUP(A359,04_PROYECTOS!$A:$N,4,FALSE)="Privado", INDEX(02B_ESCENARIOS!$B$4:$D$11, MATCH("DSO_PRIVADO_DEFAULT", 02B_ESCENARIOS!$A$4:$A$11, 0), MATCH("Agresivo", 02B_ESCENARIOS!$B$3:$D$3, 0)), IF(VLOOKUP(A359,04_PROYECTOS!$A:$N,4,FALSE)="Publico_&lt;10M",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VLOOKUP(A359,04_PROYECTOS!$A:$N,10,FALSE))</f>
        <v/>
      </c>
      <c r="I359">
        <f>ROUNDUP(H359/30,0)</f>
        <v/>
      </c>
      <c r="J359">
        <f>EDATE(C359,I359)</f>
        <v/>
      </c>
      <c r="K359">
        <f>G359</f>
        <v/>
      </c>
    </row>
    <row r="360">
      <c r="E360">
        <f>D360*VLOOKUP(A360,04_PROYECTOS!$A:$N,5,FALSE)*(INDEX(02B_ESCENARIOS!$B$4:$D$11, MATCH("MULT_PRECIO", 02B_ESCENARIOS!$A$4:$A$11, 0), MATCH("Agresivo", 02B_ESCENARIOS!$B$3:$D$3, 0)))*INDEX(02B_ESCENARIOS!$B$15:$D$19, MATCH(VLOOKUP(A360,04_PROYECTOS!$A:$N,9,FALSE), 02B_ESCENARIOS!$A$15:$A$19, 0), MATCH("Agresivo", 02B_ESCENARIOS!$B$14:$D$14, 0))</f>
        <v/>
      </c>
      <c r="F360">
        <f>E360*VLOOKUP(A360,04_PROYECTOS!$A:$N,6,FALSE)</f>
        <v/>
      </c>
      <c r="G360">
        <f>E360+F360</f>
        <v/>
      </c>
      <c r="H360">
        <f>IF(VLOOKUP(A360,04_PROYECTOS!$A:$N,10,FALSE)="", IF(VLOOKUP(A360,04_PROYECTOS!$A:$N,4,FALSE)="Privado", INDEX(02B_ESCENARIOS!$B$4:$D$11, MATCH("DSO_PRIVADO_DEFAULT", 02B_ESCENARIOS!$A$4:$A$11, 0), MATCH("Agresivo", 02B_ESCENARIOS!$B$3:$D$3, 0)), IF(VLOOKUP(A360,04_PROYECTOS!$A:$N,4,FALSE)="Publico_&lt;10M",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VLOOKUP(A360,04_PROYECTOS!$A:$N,10,FALSE))</f>
        <v/>
      </c>
      <c r="I360">
        <f>ROUNDUP(H360/30,0)</f>
        <v/>
      </c>
      <c r="J360">
        <f>EDATE(C360,I360)</f>
        <v/>
      </c>
      <c r="K360">
        <f>G360</f>
        <v/>
      </c>
    </row>
    <row r="361">
      <c r="E361">
        <f>D361*VLOOKUP(A361,04_PROYECTOS!$A:$N,5,FALSE)*(INDEX(02B_ESCENARIOS!$B$4:$D$11, MATCH("MULT_PRECIO", 02B_ESCENARIOS!$A$4:$A$11, 0), MATCH("Agresivo", 02B_ESCENARIOS!$B$3:$D$3, 0)))*INDEX(02B_ESCENARIOS!$B$15:$D$19, MATCH(VLOOKUP(A361,04_PROYECTOS!$A:$N,9,FALSE), 02B_ESCENARIOS!$A$15:$A$19, 0), MATCH("Agresivo", 02B_ESCENARIOS!$B$14:$D$14, 0))</f>
        <v/>
      </c>
      <c r="F361">
        <f>E361*VLOOKUP(A361,04_PROYECTOS!$A:$N,6,FALSE)</f>
        <v/>
      </c>
      <c r="G361">
        <f>E361+F361</f>
        <v/>
      </c>
      <c r="H361">
        <f>IF(VLOOKUP(A361,04_PROYECTOS!$A:$N,10,FALSE)="", IF(VLOOKUP(A361,04_PROYECTOS!$A:$N,4,FALSE)="Privado", INDEX(02B_ESCENARIOS!$B$4:$D$11, MATCH("DSO_PRIVADO_DEFAULT", 02B_ESCENARIOS!$A$4:$A$11, 0), MATCH("Agresivo", 02B_ESCENARIOS!$B$3:$D$3, 0)), IF(VLOOKUP(A361,04_PROYECTOS!$A:$N,4,FALSE)="Publico_&lt;10M",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VLOOKUP(A361,04_PROYECTOS!$A:$N,10,FALSE))</f>
        <v/>
      </c>
      <c r="I361">
        <f>ROUNDUP(H361/30,0)</f>
        <v/>
      </c>
      <c r="J361">
        <f>EDATE(C361,I361)</f>
        <v/>
      </c>
      <c r="K361">
        <f>G361</f>
        <v/>
      </c>
    </row>
    <row r="362">
      <c r="E362">
        <f>D362*VLOOKUP(A362,04_PROYECTOS!$A:$N,5,FALSE)*(INDEX(02B_ESCENARIOS!$B$4:$D$11, MATCH("MULT_PRECIO", 02B_ESCENARIOS!$A$4:$A$11, 0), MATCH("Agresivo", 02B_ESCENARIOS!$B$3:$D$3, 0)))*INDEX(02B_ESCENARIOS!$B$15:$D$19, MATCH(VLOOKUP(A362,04_PROYECTOS!$A:$N,9,FALSE), 02B_ESCENARIOS!$A$15:$A$19, 0), MATCH("Agresivo", 02B_ESCENARIOS!$B$14:$D$14, 0))</f>
        <v/>
      </c>
      <c r="F362">
        <f>E362*VLOOKUP(A362,04_PROYECTOS!$A:$N,6,FALSE)</f>
        <v/>
      </c>
      <c r="G362">
        <f>E362+F362</f>
        <v/>
      </c>
      <c r="H362">
        <f>IF(VLOOKUP(A362,04_PROYECTOS!$A:$N,10,FALSE)="", IF(VLOOKUP(A362,04_PROYECTOS!$A:$N,4,FALSE)="Privado", INDEX(02B_ESCENARIOS!$B$4:$D$11, MATCH("DSO_PRIVADO_DEFAULT", 02B_ESCENARIOS!$A$4:$A$11, 0), MATCH("Agresivo", 02B_ESCENARIOS!$B$3:$D$3, 0)), IF(VLOOKUP(A362,04_PROYECTOS!$A:$N,4,FALSE)="Publico_&lt;10M",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VLOOKUP(A362,04_PROYECTOS!$A:$N,10,FALSE))</f>
        <v/>
      </c>
      <c r="I362">
        <f>ROUNDUP(H362/30,0)</f>
        <v/>
      </c>
      <c r="J362">
        <f>EDATE(C362,I362)</f>
        <v/>
      </c>
      <c r="K362">
        <f>G362</f>
        <v/>
      </c>
    </row>
    <row r="363">
      <c r="E363">
        <f>D363*VLOOKUP(A363,04_PROYECTOS!$A:$N,5,FALSE)*(INDEX(02B_ESCENARIOS!$B$4:$D$11, MATCH("MULT_PRECIO", 02B_ESCENARIOS!$A$4:$A$11, 0), MATCH("Agresivo", 02B_ESCENARIOS!$B$3:$D$3, 0)))*INDEX(02B_ESCENARIOS!$B$15:$D$19, MATCH(VLOOKUP(A363,04_PROYECTOS!$A:$N,9,FALSE), 02B_ESCENARIOS!$A$15:$A$19, 0), MATCH("Agresivo", 02B_ESCENARIOS!$B$14:$D$14, 0))</f>
        <v/>
      </c>
      <c r="F363">
        <f>E363*VLOOKUP(A363,04_PROYECTOS!$A:$N,6,FALSE)</f>
        <v/>
      </c>
      <c r="G363">
        <f>E363+F363</f>
        <v/>
      </c>
      <c r="H363">
        <f>IF(VLOOKUP(A363,04_PROYECTOS!$A:$N,10,FALSE)="", IF(VLOOKUP(A363,04_PROYECTOS!$A:$N,4,FALSE)="Privado", INDEX(02B_ESCENARIOS!$B$4:$D$11, MATCH("DSO_PRIVADO_DEFAULT", 02B_ESCENARIOS!$A$4:$A$11, 0), MATCH("Agresivo", 02B_ESCENARIOS!$B$3:$D$3, 0)), IF(VLOOKUP(A363,04_PROYECTOS!$A:$N,4,FALSE)="Publico_&lt;10M",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VLOOKUP(A363,04_PROYECTOS!$A:$N,10,FALSE))</f>
        <v/>
      </c>
      <c r="I363">
        <f>ROUNDUP(H363/30,0)</f>
        <v/>
      </c>
      <c r="J363">
        <f>EDATE(C363,I363)</f>
        <v/>
      </c>
      <c r="K363">
        <f>G363</f>
        <v/>
      </c>
    </row>
    <row r="364">
      <c r="E364">
        <f>D364*VLOOKUP(A364,04_PROYECTOS!$A:$N,5,FALSE)*(INDEX(02B_ESCENARIOS!$B$4:$D$11, MATCH("MULT_PRECIO", 02B_ESCENARIOS!$A$4:$A$11, 0), MATCH("Agresivo", 02B_ESCENARIOS!$B$3:$D$3, 0)))*INDEX(02B_ESCENARIOS!$B$15:$D$19, MATCH(VLOOKUP(A364,04_PROYECTOS!$A:$N,9,FALSE), 02B_ESCENARIOS!$A$15:$A$19, 0), MATCH("Agresivo", 02B_ESCENARIOS!$B$14:$D$14, 0))</f>
        <v/>
      </c>
      <c r="F364">
        <f>E364*VLOOKUP(A364,04_PROYECTOS!$A:$N,6,FALSE)</f>
        <v/>
      </c>
      <c r="G364">
        <f>E364+F364</f>
        <v/>
      </c>
      <c r="H364">
        <f>IF(VLOOKUP(A364,04_PROYECTOS!$A:$N,10,FALSE)="", IF(VLOOKUP(A364,04_PROYECTOS!$A:$N,4,FALSE)="Privado", INDEX(02B_ESCENARIOS!$B$4:$D$11, MATCH("DSO_PRIVADO_DEFAULT", 02B_ESCENARIOS!$A$4:$A$11, 0), MATCH("Agresivo", 02B_ESCENARIOS!$B$3:$D$3, 0)), IF(VLOOKUP(A364,04_PROYECTOS!$A:$N,4,FALSE)="Publico_&lt;10M",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VLOOKUP(A364,04_PROYECTOS!$A:$N,10,FALSE))</f>
        <v/>
      </c>
      <c r="I364">
        <f>ROUNDUP(H364/30,0)</f>
        <v/>
      </c>
      <c r="J364">
        <f>EDATE(C364,I364)</f>
        <v/>
      </c>
      <c r="K364">
        <f>G364</f>
        <v/>
      </c>
    </row>
    <row r="365">
      <c r="E365">
        <f>D365*VLOOKUP(A365,04_PROYECTOS!$A:$N,5,FALSE)*(INDEX(02B_ESCENARIOS!$B$4:$D$11, MATCH("MULT_PRECIO", 02B_ESCENARIOS!$A$4:$A$11, 0), MATCH("Agresivo", 02B_ESCENARIOS!$B$3:$D$3, 0)))*INDEX(02B_ESCENARIOS!$B$15:$D$19, MATCH(VLOOKUP(A365,04_PROYECTOS!$A:$N,9,FALSE), 02B_ESCENARIOS!$A$15:$A$19, 0), MATCH("Agresivo", 02B_ESCENARIOS!$B$14:$D$14, 0))</f>
        <v/>
      </c>
      <c r="F365">
        <f>E365*VLOOKUP(A365,04_PROYECTOS!$A:$N,6,FALSE)</f>
        <v/>
      </c>
      <c r="G365">
        <f>E365+F365</f>
        <v/>
      </c>
      <c r="H365">
        <f>IF(VLOOKUP(A365,04_PROYECTOS!$A:$N,10,FALSE)="", IF(VLOOKUP(A365,04_PROYECTOS!$A:$N,4,FALSE)="Privado", INDEX(02B_ESCENARIOS!$B$4:$D$11, MATCH("DSO_PRIVADO_DEFAULT", 02B_ESCENARIOS!$A$4:$A$11, 0), MATCH("Agresivo", 02B_ESCENARIOS!$B$3:$D$3, 0)), IF(VLOOKUP(A365,04_PROYECTOS!$A:$N,4,FALSE)="Publico_&lt;10M",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VLOOKUP(A365,04_PROYECTOS!$A:$N,10,FALSE))</f>
        <v/>
      </c>
      <c r="I365">
        <f>ROUNDUP(H365/30,0)</f>
        <v/>
      </c>
      <c r="J365">
        <f>EDATE(C365,I365)</f>
        <v/>
      </c>
      <c r="K365">
        <f>G365</f>
        <v/>
      </c>
    </row>
    <row r="366">
      <c r="E366">
        <f>D366*VLOOKUP(A366,04_PROYECTOS!$A:$N,5,FALSE)*(INDEX(02B_ESCENARIOS!$B$4:$D$11, MATCH("MULT_PRECIO", 02B_ESCENARIOS!$A$4:$A$11, 0), MATCH("Agresivo", 02B_ESCENARIOS!$B$3:$D$3, 0)))*INDEX(02B_ESCENARIOS!$B$15:$D$19, MATCH(VLOOKUP(A366,04_PROYECTOS!$A:$N,9,FALSE), 02B_ESCENARIOS!$A$15:$A$19, 0), MATCH("Agresivo", 02B_ESCENARIOS!$B$14:$D$14, 0))</f>
        <v/>
      </c>
      <c r="F366">
        <f>E366*VLOOKUP(A366,04_PROYECTOS!$A:$N,6,FALSE)</f>
        <v/>
      </c>
      <c r="G366">
        <f>E366+F366</f>
        <v/>
      </c>
      <c r="H366">
        <f>IF(VLOOKUP(A366,04_PROYECTOS!$A:$N,10,FALSE)="", IF(VLOOKUP(A366,04_PROYECTOS!$A:$N,4,FALSE)="Privado", INDEX(02B_ESCENARIOS!$B$4:$D$11, MATCH("DSO_PRIVADO_DEFAULT", 02B_ESCENARIOS!$A$4:$A$11, 0), MATCH("Agresivo", 02B_ESCENARIOS!$B$3:$D$3, 0)), IF(VLOOKUP(A366,04_PROYECTOS!$A:$N,4,FALSE)="Publico_&lt;10M",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VLOOKUP(A366,04_PROYECTOS!$A:$N,10,FALSE))</f>
        <v/>
      </c>
      <c r="I366">
        <f>ROUNDUP(H366/30,0)</f>
        <v/>
      </c>
      <c r="J366">
        <f>EDATE(C366,I366)</f>
        <v/>
      </c>
      <c r="K366">
        <f>G366</f>
        <v/>
      </c>
    </row>
    <row r="367">
      <c r="E367">
        <f>D367*VLOOKUP(A367,04_PROYECTOS!$A:$N,5,FALSE)*(INDEX(02B_ESCENARIOS!$B$4:$D$11, MATCH("MULT_PRECIO", 02B_ESCENARIOS!$A$4:$A$11, 0), MATCH("Agresivo", 02B_ESCENARIOS!$B$3:$D$3, 0)))*INDEX(02B_ESCENARIOS!$B$15:$D$19, MATCH(VLOOKUP(A367,04_PROYECTOS!$A:$N,9,FALSE), 02B_ESCENARIOS!$A$15:$A$19, 0), MATCH("Agresivo", 02B_ESCENARIOS!$B$14:$D$14, 0))</f>
        <v/>
      </c>
      <c r="F367">
        <f>E367*VLOOKUP(A367,04_PROYECTOS!$A:$N,6,FALSE)</f>
        <v/>
      </c>
      <c r="G367">
        <f>E367+F367</f>
        <v/>
      </c>
      <c r="H367">
        <f>IF(VLOOKUP(A367,04_PROYECTOS!$A:$N,10,FALSE)="", IF(VLOOKUP(A367,04_PROYECTOS!$A:$N,4,FALSE)="Privado", INDEX(02B_ESCENARIOS!$B$4:$D$11, MATCH("DSO_PRIVADO_DEFAULT", 02B_ESCENARIOS!$A$4:$A$11, 0), MATCH("Agresivo", 02B_ESCENARIOS!$B$3:$D$3, 0)), IF(VLOOKUP(A367,04_PROYECTOS!$A:$N,4,FALSE)="Publico_&lt;10M",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VLOOKUP(A367,04_PROYECTOS!$A:$N,10,FALSE))</f>
        <v/>
      </c>
      <c r="I367">
        <f>ROUNDUP(H367/30,0)</f>
        <v/>
      </c>
      <c r="J367">
        <f>EDATE(C367,I367)</f>
        <v/>
      </c>
      <c r="K367">
        <f>G367</f>
        <v/>
      </c>
    </row>
    <row r="368">
      <c r="E368">
        <f>D368*VLOOKUP(A368,04_PROYECTOS!$A:$N,5,FALSE)*(INDEX(02B_ESCENARIOS!$B$4:$D$11, MATCH("MULT_PRECIO", 02B_ESCENARIOS!$A$4:$A$11, 0), MATCH("Agresivo", 02B_ESCENARIOS!$B$3:$D$3, 0)))*INDEX(02B_ESCENARIOS!$B$15:$D$19, MATCH(VLOOKUP(A368,04_PROYECTOS!$A:$N,9,FALSE), 02B_ESCENARIOS!$A$15:$A$19, 0), MATCH("Agresivo", 02B_ESCENARIOS!$B$14:$D$14, 0))</f>
        <v/>
      </c>
      <c r="F368">
        <f>E368*VLOOKUP(A368,04_PROYECTOS!$A:$N,6,FALSE)</f>
        <v/>
      </c>
      <c r="G368">
        <f>E368+F368</f>
        <v/>
      </c>
      <c r="H368">
        <f>IF(VLOOKUP(A368,04_PROYECTOS!$A:$N,10,FALSE)="", IF(VLOOKUP(A368,04_PROYECTOS!$A:$N,4,FALSE)="Privado", INDEX(02B_ESCENARIOS!$B$4:$D$11, MATCH("DSO_PRIVADO_DEFAULT", 02B_ESCENARIOS!$A$4:$A$11, 0), MATCH("Agresivo", 02B_ESCENARIOS!$B$3:$D$3, 0)), IF(VLOOKUP(A368,04_PROYECTOS!$A:$N,4,FALSE)="Publico_&lt;10M",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VLOOKUP(A368,04_PROYECTOS!$A:$N,10,FALSE))</f>
        <v/>
      </c>
      <c r="I368">
        <f>ROUNDUP(H368/30,0)</f>
        <v/>
      </c>
      <c r="J368">
        <f>EDATE(C368,I368)</f>
        <v/>
      </c>
      <c r="K368">
        <f>G368</f>
        <v/>
      </c>
    </row>
    <row r="369">
      <c r="E369">
        <f>D369*VLOOKUP(A369,04_PROYECTOS!$A:$N,5,FALSE)*(INDEX(02B_ESCENARIOS!$B$4:$D$11, MATCH("MULT_PRECIO", 02B_ESCENARIOS!$A$4:$A$11, 0), MATCH("Agresivo", 02B_ESCENARIOS!$B$3:$D$3, 0)))*INDEX(02B_ESCENARIOS!$B$15:$D$19, MATCH(VLOOKUP(A369,04_PROYECTOS!$A:$N,9,FALSE), 02B_ESCENARIOS!$A$15:$A$19, 0), MATCH("Agresivo", 02B_ESCENARIOS!$B$14:$D$14, 0))</f>
        <v/>
      </c>
      <c r="F369">
        <f>E369*VLOOKUP(A369,04_PROYECTOS!$A:$N,6,FALSE)</f>
        <v/>
      </c>
      <c r="G369">
        <f>E369+F369</f>
        <v/>
      </c>
      <c r="H369">
        <f>IF(VLOOKUP(A369,04_PROYECTOS!$A:$N,10,FALSE)="", IF(VLOOKUP(A369,04_PROYECTOS!$A:$N,4,FALSE)="Privado", INDEX(02B_ESCENARIOS!$B$4:$D$11, MATCH("DSO_PRIVADO_DEFAULT", 02B_ESCENARIOS!$A$4:$A$11, 0), MATCH("Agresivo", 02B_ESCENARIOS!$B$3:$D$3, 0)), IF(VLOOKUP(A369,04_PROYECTOS!$A:$N,4,FALSE)="Publico_&lt;10M",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VLOOKUP(A369,04_PROYECTOS!$A:$N,10,FALSE))</f>
        <v/>
      </c>
      <c r="I369">
        <f>ROUNDUP(H369/30,0)</f>
        <v/>
      </c>
      <c r="J369">
        <f>EDATE(C369,I369)</f>
        <v/>
      </c>
      <c r="K369">
        <f>G369</f>
        <v/>
      </c>
    </row>
    <row r="370">
      <c r="E370">
        <f>D370*VLOOKUP(A370,04_PROYECTOS!$A:$N,5,FALSE)*(INDEX(02B_ESCENARIOS!$B$4:$D$11, MATCH("MULT_PRECIO", 02B_ESCENARIOS!$A$4:$A$11, 0), MATCH("Agresivo", 02B_ESCENARIOS!$B$3:$D$3, 0)))*INDEX(02B_ESCENARIOS!$B$15:$D$19, MATCH(VLOOKUP(A370,04_PROYECTOS!$A:$N,9,FALSE), 02B_ESCENARIOS!$A$15:$A$19, 0), MATCH("Agresivo", 02B_ESCENARIOS!$B$14:$D$14, 0))</f>
        <v/>
      </c>
      <c r="F370">
        <f>E370*VLOOKUP(A370,04_PROYECTOS!$A:$N,6,FALSE)</f>
        <v/>
      </c>
      <c r="G370">
        <f>E370+F370</f>
        <v/>
      </c>
      <c r="H370">
        <f>IF(VLOOKUP(A370,04_PROYECTOS!$A:$N,10,FALSE)="", IF(VLOOKUP(A370,04_PROYECTOS!$A:$N,4,FALSE)="Privado", INDEX(02B_ESCENARIOS!$B$4:$D$11, MATCH("DSO_PRIVADO_DEFAULT", 02B_ESCENARIOS!$A$4:$A$11, 0), MATCH("Agresivo", 02B_ESCENARIOS!$B$3:$D$3, 0)), IF(VLOOKUP(A370,04_PROYECTOS!$A:$N,4,FALSE)="Publico_&lt;10M",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VLOOKUP(A370,04_PROYECTOS!$A:$N,10,FALSE))</f>
        <v/>
      </c>
      <c r="I370">
        <f>ROUNDUP(H370/30,0)</f>
        <v/>
      </c>
      <c r="J370">
        <f>EDATE(C370,I370)</f>
        <v/>
      </c>
      <c r="K370">
        <f>G370</f>
        <v/>
      </c>
    </row>
    <row r="371">
      <c r="E371">
        <f>D371*VLOOKUP(A371,04_PROYECTOS!$A:$N,5,FALSE)*(INDEX(02B_ESCENARIOS!$B$4:$D$11, MATCH("MULT_PRECIO", 02B_ESCENARIOS!$A$4:$A$11, 0), MATCH("Agresivo", 02B_ESCENARIOS!$B$3:$D$3, 0)))*INDEX(02B_ESCENARIOS!$B$15:$D$19, MATCH(VLOOKUP(A371,04_PROYECTOS!$A:$N,9,FALSE), 02B_ESCENARIOS!$A$15:$A$19, 0), MATCH("Agresivo", 02B_ESCENARIOS!$B$14:$D$14, 0))</f>
        <v/>
      </c>
      <c r="F371">
        <f>E371*VLOOKUP(A371,04_PROYECTOS!$A:$N,6,FALSE)</f>
        <v/>
      </c>
      <c r="G371">
        <f>E371+F371</f>
        <v/>
      </c>
      <c r="H371">
        <f>IF(VLOOKUP(A371,04_PROYECTOS!$A:$N,10,FALSE)="", IF(VLOOKUP(A371,04_PROYECTOS!$A:$N,4,FALSE)="Privado", INDEX(02B_ESCENARIOS!$B$4:$D$11, MATCH("DSO_PRIVADO_DEFAULT", 02B_ESCENARIOS!$A$4:$A$11, 0), MATCH("Agresivo", 02B_ESCENARIOS!$B$3:$D$3, 0)), IF(VLOOKUP(A371,04_PROYECTOS!$A:$N,4,FALSE)="Publico_&lt;10M",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VLOOKUP(A371,04_PROYECTOS!$A:$N,10,FALSE))</f>
        <v/>
      </c>
      <c r="I371">
        <f>ROUNDUP(H371/30,0)</f>
        <v/>
      </c>
      <c r="J371">
        <f>EDATE(C371,I371)</f>
        <v/>
      </c>
      <c r="K371">
        <f>G371</f>
        <v/>
      </c>
    </row>
    <row r="372">
      <c r="E372">
        <f>D372*VLOOKUP(A372,04_PROYECTOS!$A:$N,5,FALSE)*(INDEX(02B_ESCENARIOS!$B$4:$D$11, MATCH("MULT_PRECIO", 02B_ESCENARIOS!$A$4:$A$11, 0), MATCH("Agresivo", 02B_ESCENARIOS!$B$3:$D$3, 0)))*INDEX(02B_ESCENARIOS!$B$15:$D$19, MATCH(VLOOKUP(A372,04_PROYECTOS!$A:$N,9,FALSE), 02B_ESCENARIOS!$A$15:$A$19, 0), MATCH("Agresivo", 02B_ESCENARIOS!$B$14:$D$14, 0))</f>
        <v/>
      </c>
      <c r="F372">
        <f>E372*VLOOKUP(A372,04_PROYECTOS!$A:$N,6,FALSE)</f>
        <v/>
      </c>
      <c r="G372">
        <f>E372+F372</f>
        <v/>
      </c>
      <c r="H372">
        <f>IF(VLOOKUP(A372,04_PROYECTOS!$A:$N,10,FALSE)="", IF(VLOOKUP(A372,04_PROYECTOS!$A:$N,4,FALSE)="Privado", INDEX(02B_ESCENARIOS!$B$4:$D$11, MATCH("DSO_PRIVADO_DEFAULT", 02B_ESCENARIOS!$A$4:$A$11, 0), MATCH("Agresivo", 02B_ESCENARIOS!$B$3:$D$3, 0)), IF(VLOOKUP(A372,04_PROYECTOS!$A:$N,4,FALSE)="Publico_&lt;10M",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VLOOKUP(A372,04_PROYECTOS!$A:$N,10,FALSE))</f>
        <v/>
      </c>
      <c r="I372">
        <f>ROUNDUP(H372/30,0)</f>
        <v/>
      </c>
      <c r="J372">
        <f>EDATE(C372,I372)</f>
        <v/>
      </c>
      <c r="K372">
        <f>G372</f>
        <v/>
      </c>
    </row>
    <row r="373">
      <c r="E373">
        <f>D373*VLOOKUP(A373,04_PROYECTOS!$A:$N,5,FALSE)*(INDEX(02B_ESCENARIOS!$B$4:$D$11, MATCH("MULT_PRECIO", 02B_ESCENARIOS!$A$4:$A$11, 0), MATCH("Agresivo", 02B_ESCENARIOS!$B$3:$D$3, 0)))*INDEX(02B_ESCENARIOS!$B$15:$D$19, MATCH(VLOOKUP(A373,04_PROYECTOS!$A:$N,9,FALSE), 02B_ESCENARIOS!$A$15:$A$19, 0), MATCH("Agresivo", 02B_ESCENARIOS!$B$14:$D$14, 0))</f>
        <v/>
      </c>
      <c r="F373">
        <f>E373*VLOOKUP(A373,04_PROYECTOS!$A:$N,6,FALSE)</f>
        <v/>
      </c>
      <c r="G373">
        <f>E373+F373</f>
        <v/>
      </c>
      <c r="H373">
        <f>IF(VLOOKUP(A373,04_PROYECTOS!$A:$N,10,FALSE)="", IF(VLOOKUP(A373,04_PROYECTOS!$A:$N,4,FALSE)="Privado", INDEX(02B_ESCENARIOS!$B$4:$D$11, MATCH("DSO_PRIVADO_DEFAULT", 02B_ESCENARIOS!$A$4:$A$11, 0), MATCH("Agresivo", 02B_ESCENARIOS!$B$3:$D$3, 0)), IF(VLOOKUP(A373,04_PROYECTOS!$A:$N,4,FALSE)="Publico_&lt;10M",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VLOOKUP(A373,04_PROYECTOS!$A:$N,10,FALSE))</f>
        <v/>
      </c>
      <c r="I373">
        <f>ROUNDUP(H373/30,0)</f>
        <v/>
      </c>
      <c r="J373">
        <f>EDATE(C373,I373)</f>
        <v/>
      </c>
      <c r="K373">
        <f>G373</f>
        <v/>
      </c>
    </row>
    <row r="374">
      <c r="E374">
        <f>D374*VLOOKUP(A374,04_PROYECTOS!$A:$N,5,FALSE)*(INDEX(02B_ESCENARIOS!$B$4:$D$11, MATCH("MULT_PRECIO", 02B_ESCENARIOS!$A$4:$A$11, 0), MATCH("Agresivo", 02B_ESCENARIOS!$B$3:$D$3, 0)))*INDEX(02B_ESCENARIOS!$B$15:$D$19, MATCH(VLOOKUP(A374,04_PROYECTOS!$A:$N,9,FALSE), 02B_ESCENARIOS!$A$15:$A$19, 0), MATCH("Agresivo", 02B_ESCENARIOS!$B$14:$D$14, 0))</f>
        <v/>
      </c>
      <c r="F374">
        <f>E374*VLOOKUP(A374,04_PROYECTOS!$A:$N,6,FALSE)</f>
        <v/>
      </c>
      <c r="G374">
        <f>E374+F374</f>
        <v/>
      </c>
      <c r="H374">
        <f>IF(VLOOKUP(A374,04_PROYECTOS!$A:$N,10,FALSE)="", IF(VLOOKUP(A374,04_PROYECTOS!$A:$N,4,FALSE)="Privado", INDEX(02B_ESCENARIOS!$B$4:$D$11, MATCH("DSO_PRIVADO_DEFAULT", 02B_ESCENARIOS!$A$4:$A$11, 0), MATCH("Agresivo", 02B_ESCENARIOS!$B$3:$D$3, 0)), IF(VLOOKUP(A374,04_PROYECTOS!$A:$N,4,FALSE)="Publico_&lt;10M",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VLOOKUP(A374,04_PROYECTOS!$A:$N,10,FALSE))</f>
        <v/>
      </c>
      <c r="I374">
        <f>ROUNDUP(H374/30,0)</f>
        <v/>
      </c>
      <c r="J374">
        <f>EDATE(C374,I374)</f>
        <v/>
      </c>
      <c r="K374">
        <f>G374</f>
        <v/>
      </c>
    </row>
    <row r="375">
      <c r="E375">
        <f>D375*VLOOKUP(A375,04_PROYECTOS!$A:$N,5,FALSE)*(INDEX(02B_ESCENARIOS!$B$4:$D$11, MATCH("MULT_PRECIO", 02B_ESCENARIOS!$A$4:$A$11, 0), MATCH("Agresivo", 02B_ESCENARIOS!$B$3:$D$3, 0)))*INDEX(02B_ESCENARIOS!$B$15:$D$19, MATCH(VLOOKUP(A375,04_PROYECTOS!$A:$N,9,FALSE), 02B_ESCENARIOS!$A$15:$A$19, 0), MATCH("Agresivo", 02B_ESCENARIOS!$B$14:$D$14, 0))</f>
        <v/>
      </c>
      <c r="F375">
        <f>E375*VLOOKUP(A375,04_PROYECTOS!$A:$N,6,FALSE)</f>
        <v/>
      </c>
      <c r="G375">
        <f>E375+F375</f>
        <v/>
      </c>
      <c r="H375">
        <f>IF(VLOOKUP(A375,04_PROYECTOS!$A:$N,10,FALSE)="", IF(VLOOKUP(A375,04_PROYECTOS!$A:$N,4,FALSE)="Privado", INDEX(02B_ESCENARIOS!$B$4:$D$11, MATCH("DSO_PRIVADO_DEFAULT", 02B_ESCENARIOS!$A$4:$A$11, 0), MATCH("Agresivo", 02B_ESCENARIOS!$B$3:$D$3, 0)), IF(VLOOKUP(A375,04_PROYECTOS!$A:$N,4,FALSE)="Publico_&lt;10M",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VLOOKUP(A375,04_PROYECTOS!$A:$N,10,FALSE))</f>
        <v/>
      </c>
      <c r="I375">
        <f>ROUNDUP(H375/30,0)</f>
        <v/>
      </c>
      <c r="J375">
        <f>EDATE(C375,I375)</f>
        <v/>
      </c>
      <c r="K375">
        <f>G375</f>
        <v/>
      </c>
    </row>
    <row r="376">
      <c r="E376">
        <f>D376*VLOOKUP(A376,04_PROYECTOS!$A:$N,5,FALSE)*(INDEX(02B_ESCENARIOS!$B$4:$D$11, MATCH("MULT_PRECIO", 02B_ESCENARIOS!$A$4:$A$11, 0), MATCH("Agresivo", 02B_ESCENARIOS!$B$3:$D$3, 0)))*INDEX(02B_ESCENARIOS!$B$15:$D$19, MATCH(VLOOKUP(A376,04_PROYECTOS!$A:$N,9,FALSE), 02B_ESCENARIOS!$A$15:$A$19, 0), MATCH("Agresivo", 02B_ESCENARIOS!$B$14:$D$14, 0))</f>
        <v/>
      </c>
      <c r="F376">
        <f>E376*VLOOKUP(A376,04_PROYECTOS!$A:$N,6,FALSE)</f>
        <v/>
      </c>
      <c r="G376">
        <f>E376+F376</f>
        <v/>
      </c>
      <c r="H376">
        <f>IF(VLOOKUP(A376,04_PROYECTOS!$A:$N,10,FALSE)="", IF(VLOOKUP(A376,04_PROYECTOS!$A:$N,4,FALSE)="Privado", INDEX(02B_ESCENARIOS!$B$4:$D$11, MATCH("DSO_PRIVADO_DEFAULT", 02B_ESCENARIOS!$A$4:$A$11, 0), MATCH("Agresivo", 02B_ESCENARIOS!$B$3:$D$3, 0)), IF(VLOOKUP(A376,04_PROYECTOS!$A:$N,4,FALSE)="Publico_&lt;10M",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VLOOKUP(A376,04_PROYECTOS!$A:$N,10,FALSE))</f>
        <v/>
      </c>
      <c r="I376">
        <f>ROUNDUP(H376/30,0)</f>
        <v/>
      </c>
      <c r="J376">
        <f>EDATE(C376,I376)</f>
        <v/>
      </c>
      <c r="K376">
        <f>G376</f>
        <v/>
      </c>
    </row>
    <row r="377">
      <c r="E377">
        <f>D377*VLOOKUP(A377,04_PROYECTOS!$A:$N,5,FALSE)*(INDEX(02B_ESCENARIOS!$B$4:$D$11, MATCH("MULT_PRECIO", 02B_ESCENARIOS!$A$4:$A$11, 0), MATCH("Agresivo", 02B_ESCENARIOS!$B$3:$D$3, 0)))*INDEX(02B_ESCENARIOS!$B$15:$D$19, MATCH(VLOOKUP(A377,04_PROYECTOS!$A:$N,9,FALSE), 02B_ESCENARIOS!$A$15:$A$19, 0), MATCH("Agresivo", 02B_ESCENARIOS!$B$14:$D$14, 0))</f>
        <v/>
      </c>
      <c r="F377">
        <f>E377*VLOOKUP(A377,04_PROYECTOS!$A:$N,6,FALSE)</f>
        <v/>
      </c>
      <c r="G377">
        <f>E377+F377</f>
        <v/>
      </c>
      <c r="H377">
        <f>IF(VLOOKUP(A377,04_PROYECTOS!$A:$N,10,FALSE)="", IF(VLOOKUP(A377,04_PROYECTOS!$A:$N,4,FALSE)="Privado", INDEX(02B_ESCENARIOS!$B$4:$D$11, MATCH("DSO_PRIVADO_DEFAULT", 02B_ESCENARIOS!$A$4:$A$11, 0), MATCH("Agresivo", 02B_ESCENARIOS!$B$3:$D$3, 0)), IF(VLOOKUP(A377,04_PROYECTOS!$A:$N,4,FALSE)="Publico_&lt;10M",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VLOOKUP(A377,04_PROYECTOS!$A:$N,10,FALSE))</f>
        <v/>
      </c>
      <c r="I377">
        <f>ROUNDUP(H377/30,0)</f>
        <v/>
      </c>
      <c r="J377">
        <f>EDATE(C377,I377)</f>
        <v/>
      </c>
      <c r="K377">
        <f>G377</f>
        <v/>
      </c>
    </row>
    <row r="378">
      <c r="E378">
        <f>D378*VLOOKUP(A378,04_PROYECTOS!$A:$N,5,FALSE)*(INDEX(02B_ESCENARIOS!$B$4:$D$11, MATCH("MULT_PRECIO", 02B_ESCENARIOS!$A$4:$A$11, 0), MATCH("Agresivo", 02B_ESCENARIOS!$B$3:$D$3, 0)))*INDEX(02B_ESCENARIOS!$B$15:$D$19, MATCH(VLOOKUP(A378,04_PROYECTOS!$A:$N,9,FALSE), 02B_ESCENARIOS!$A$15:$A$19, 0), MATCH("Agresivo", 02B_ESCENARIOS!$B$14:$D$14, 0))</f>
        <v/>
      </c>
      <c r="F378">
        <f>E378*VLOOKUP(A378,04_PROYECTOS!$A:$N,6,FALSE)</f>
        <v/>
      </c>
      <c r="G378">
        <f>E378+F378</f>
        <v/>
      </c>
      <c r="H378">
        <f>IF(VLOOKUP(A378,04_PROYECTOS!$A:$N,10,FALSE)="", IF(VLOOKUP(A378,04_PROYECTOS!$A:$N,4,FALSE)="Privado", INDEX(02B_ESCENARIOS!$B$4:$D$11, MATCH("DSO_PRIVADO_DEFAULT", 02B_ESCENARIOS!$A$4:$A$11, 0), MATCH("Agresivo", 02B_ESCENARIOS!$B$3:$D$3, 0)), IF(VLOOKUP(A378,04_PROYECTOS!$A:$N,4,FALSE)="Publico_&lt;10M",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VLOOKUP(A378,04_PROYECTOS!$A:$N,10,FALSE))</f>
        <v/>
      </c>
      <c r="I378">
        <f>ROUNDUP(H378/30,0)</f>
        <v/>
      </c>
      <c r="J378">
        <f>EDATE(C378,I378)</f>
        <v/>
      </c>
      <c r="K378">
        <f>G378</f>
        <v/>
      </c>
    </row>
    <row r="379">
      <c r="E379">
        <f>D379*VLOOKUP(A379,04_PROYECTOS!$A:$N,5,FALSE)*(INDEX(02B_ESCENARIOS!$B$4:$D$11, MATCH("MULT_PRECIO", 02B_ESCENARIOS!$A$4:$A$11, 0), MATCH("Agresivo", 02B_ESCENARIOS!$B$3:$D$3, 0)))*INDEX(02B_ESCENARIOS!$B$15:$D$19, MATCH(VLOOKUP(A379,04_PROYECTOS!$A:$N,9,FALSE), 02B_ESCENARIOS!$A$15:$A$19, 0), MATCH("Agresivo", 02B_ESCENARIOS!$B$14:$D$14, 0))</f>
        <v/>
      </c>
      <c r="F379">
        <f>E379*VLOOKUP(A379,04_PROYECTOS!$A:$N,6,FALSE)</f>
        <v/>
      </c>
      <c r="G379">
        <f>E379+F379</f>
        <v/>
      </c>
      <c r="H379">
        <f>IF(VLOOKUP(A379,04_PROYECTOS!$A:$N,10,FALSE)="", IF(VLOOKUP(A379,04_PROYECTOS!$A:$N,4,FALSE)="Privado", INDEX(02B_ESCENARIOS!$B$4:$D$11, MATCH("DSO_PRIVADO_DEFAULT", 02B_ESCENARIOS!$A$4:$A$11, 0), MATCH("Agresivo", 02B_ESCENARIOS!$B$3:$D$3, 0)), IF(VLOOKUP(A379,04_PROYECTOS!$A:$N,4,FALSE)="Publico_&lt;10M",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VLOOKUP(A379,04_PROYECTOS!$A:$N,10,FALSE))</f>
        <v/>
      </c>
      <c r="I379">
        <f>ROUNDUP(H379/30,0)</f>
        <v/>
      </c>
      <c r="J379">
        <f>EDATE(C379,I379)</f>
        <v/>
      </c>
      <c r="K379">
        <f>G379</f>
        <v/>
      </c>
    </row>
    <row r="380">
      <c r="E380">
        <f>D380*VLOOKUP(A380,04_PROYECTOS!$A:$N,5,FALSE)*(INDEX(02B_ESCENARIOS!$B$4:$D$11, MATCH("MULT_PRECIO", 02B_ESCENARIOS!$A$4:$A$11, 0), MATCH("Agresivo", 02B_ESCENARIOS!$B$3:$D$3, 0)))*INDEX(02B_ESCENARIOS!$B$15:$D$19, MATCH(VLOOKUP(A380,04_PROYECTOS!$A:$N,9,FALSE), 02B_ESCENARIOS!$A$15:$A$19, 0), MATCH("Agresivo", 02B_ESCENARIOS!$B$14:$D$14, 0))</f>
        <v/>
      </c>
      <c r="F380">
        <f>E380*VLOOKUP(A380,04_PROYECTOS!$A:$N,6,FALSE)</f>
        <v/>
      </c>
      <c r="G380">
        <f>E380+F380</f>
        <v/>
      </c>
      <c r="H380">
        <f>IF(VLOOKUP(A380,04_PROYECTOS!$A:$N,10,FALSE)="", IF(VLOOKUP(A380,04_PROYECTOS!$A:$N,4,FALSE)="Privado", INDEX(02B_ESCENARIOS!$B$4:$D$11, MATCH("DSO_PRIVADO_DEFAULT", 02B_ESCENARIOS!$A$4:$A$11, 0), MATCH("Agresivo", 02B_ESCENARIOS!$B$3:$D$3, 0)), IF(VLOOKUP(A380,04_PROYECTOS!$A:$N,4,FALSE)="Publico_&lt;10M",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VLOOKUP(A380,04_PROYECTOS!$A:$N,10,FALSE))</f>
        <v/>
      </c>
      <c r="I380">
        <f>ROUNDUP(H380/30,0)</f>
        <v/>
      </c>
      <c r="J380">
        <f>EDATE(C380,I380)</f>
        <v/>
      </c>
      <c r="K380">
        <f>G380</f>
        <v/>
      </c>
    </row>
    <row r="381">
      <c r="E381">
        <f>D381*VLOOKUP(A381,04_PROYECTOS!$A:$N,5,FALSE)*(INDEX(02B_ESCENARIOS!$B$4:$D$11, MATCH("MULT_PRECIO", 02B_ESCENARIOS!$A$4:$A$11, 0), MATCH("Agresivo", 02B_ESCENARIOS!$B$3:$D$3, 0)))*INDEX(02B_ESCENARIOS!$B$15:$D$19, MATCH(VLOOKUP(A381,04_PROYECTOS!$A:$N,9,FALSE), 02B_ESCENARIOS!$A$15:$A$19, 0), MATCH("Agresivo", 02B_ESCENARIOS!$B$14:$D$14, 0))</f>
        <v/>
      </c>
      <c r="F381">
        <f>E381*VLOOKUP(A381,04_PROYECTOS!$A:$N,6,FALSE)</f>
        <v/>
      </c>
      <c r="G381">
        <f>E381+F381</f>
        <v/>
      </c>
      <c r="H381">
        <f>IF(VLOOKUP(A381,04_PROYECTOS!$A:$N,10,FALSE)="", IF(VLOOKUP(A381,04_PROYECTOS!$A:$N,4,FALSE)="Privado", INDEX(02B_ESCENARIOS!$B$4:$D$11, MATCH("DSO_PRIVADO_DEFAULT", 02B_ESCENARIOS!$A$4:$A$11, 0), MATCH("Agresivo", 02B_ESCENARIOS!$B$3:$D$3, 0)), IF(VLOOKUP(A381,04_PROYECTOS!$A:$N,4,FALSE)="Publico_&lt;10M",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VLOOKUP(A381,04_PROYECTOS!$A:$N,10,FALSE))</f>
        <v/>
      </c>
      <c r="I381">
        <f>ROUNDUP(H381/30,0)</f>
        <v/>
      </c>
      <c r="J381">
        <f>EDATE(C381,I381)</f>
        <v/>
      </c>
      <c r="K381">
        <f>G381</f>
        <v/>
      </c>
    </row>
    <row r="382">
      <c r="E382">
        <f>D382*VLOOKUP(A382,04_PROYECTOS!$A:$N,5,FALSE)*(INDEX(02B_ESCENARIOS!$B$4:$D$11, MATCH("MULT_PRECIO", 02B_ESCENARIOS!$A$4:$A$11, 0), MATCH("Agresivo", 02B_ESCENARIOS!$B$3:$D$3, 0)))*INDEX(02B_ESCENARIOS!$B$15:$D$19, MATCH(VLOOKUP(A382,04_PROYECTOS!$A:$N,9,FALSE), 02B_ESCENARIOS!$A$15:$A$19, 0), MATCH("Agresivo", 02B_ESCENARIOS!$B$14:$D$14, 0))</f>
        <v/>
      </c>
      <c r="F382">
        <f>E382*VLOOKUP(A382,04_PROYECTOS!$A:$N,6,FALSE)</f>
        <v/>
      </c>
      <c r="G382">
        <f>E382+F382</f>
        <v/>
      </c>
      <c r="H382">
        <f>IF(VLOOKUP(A382,04_PROYECTOS!$A:$N,10,FALSE)="", IF(VLOOKUP(A382,04_PROYECTOS!$A:$N,4,FALSE)="Privado", INDEX(02B_ESCENARIOS!$B$4:$D$11, MATCH("DSO_PRIVADO_DEFAULT", 02B_ESCENARIOS!$A$4:$A$11, 0), MATCH("Agresivo", 02B_ESCENARIOS!$B$3:$D$3, 0)), IF(VLOOKUP(A382,04_PROYECTOS!$A:$N,4,FALSE)="Publico_&lt;10M",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VLOOKUP(A382,04_PROYECTOS!$A:$N,10,FALSE))</f>
        <v/>
      </c>
      <c r="I382">
        <f>ROUNDUP(H382/30,0)</f>
        <v/>
      </c>
      <c r="J382">
        <f>EDATE(C382,I382)</f>
        <v/>
      </c>
      <c r="K382">
        <f>G382</f>
        <v/>
      </c>
    </row>
    <row r="383">
      <c r="E383">
        <f>D383*VLOOKUP(A383,04_PROYECTOS!$A:$N,5,FALSE)*(INDEX(02B_ESCENARIOS!$B$4:$D$11, MATCH("MULT_PRECIO", 02B_ESCENARIOS!$A$4:$A$11, 0), MATCH("Agresivo", 02B_ESCENARIOS!$B$3:$D$3, 0)))*INDEX(02B_ESCENARIOS!$B$15:$D$19, MATCH(VLOOKUP(A383,04_PROYECTOS!$A:$N,9,FALSE), 02B_ESCENARIOS!$A$15:$A$19, 0), MATCH("Agresivo", 02B_ESCENARIOS!$B$14:$D$14, 0))</f>
        <v/>
      </c>
      <c r="F383">
        <f>E383*VLOOKUP(A383,04_PROYECTOS!$A:$N,6,FALSE)</f>
        <v/>
      </c>
      <c r="G383">
        <f>E383+F383</f>
        <v/>
      </c>
      <c r="H383">
        <f>IF(VLOOKUP(A383,04_PROYECTOS!$A:$N,10,FALSE)="", IF(VLOOKUP(A383,04_PROYECTOS!$A:$N,4,FALSE)="Privado", INDEX(02B_ESCENARIOS!$B$4:$D$11, MATCH("DSO_PRIVADO_DEFAULT", 02B_ESCENARIOS!$A$4:$A$11, 0), MATCH("Agresivo", 02B_ESCENARIOS!$B$3:$D$3, 0)), IF(VLOOKUP(A383,04_PROYECTOS!$A:$N,4,FALSE)="Publico_&lt;10M",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VLOOKUP(A383,04_PROYECTOS!$A:$N,10,FALSE))</f>
        <v/>
      </c>
      <c r="I383">
        <f>ROUNDUP(H383/30,0)</f>
        <v/>
      </c>
      <c r="J383">
        <f>EDATE(C383,I383)</f>
        <v/>
      </c>
      <c r="K383">
        <f>G383</f>
        <v/>
      </c>
    </row>
    <row r="384">
      <c r="E384">
        <f>D384*VLOOKUP(A384,04_PROYECTOS!$A:$N,5,FALSE)*(INDEX(02B_ESCENARIOS!$B$4:$D$11, MATCH("MULT_PRECIO", 02B_ESCENARIOS!$A$4:$A$11, 0), MATCH("Agresivo", 02B_ESCENARIOS!$B$3:$D$3, 0)))*INDEX(02B_ESCENARIOS!$B$15:$D$19, MATCH(VLOOKUP(A384,04_PROYECTOS!$A:$N,9,FALSE), 02B_ESCENARIOS!$A$15:$A$19, 0), MATCH("Agresivo", 02B_ESCENARIOS!$B$14:$D$14, 0))</f>
        <v/>
      </c>
      <c r="F384">
        <f>E384*VLOOKUP(A384,04_PROYECTOS!$A:$N,6,FALSE)</f>
        <v/>
      </c>
      <c r="G384">
        <f>E384+F384</f>
        <v/>
      </c>
      <c r="H384">
        <f>IF(VLOOKUP(A384,04_PROYECTOS!$A:$N,10,FALSE)="", IF(VLOOKUP(A384,04_PROYECTOS!$A:$N,4,FALSE)="Privado", INDEX(02B_ESCENARIOS!$B$4:$D$11, MATCH("DSO_PRIVADO_DEFAULT", 02B_ESCENARIOS!$A$4:$A$11, 0), MATCH("Agresivo", 02B_ESCENARIOS!$B$3:$D$3, 0)), IF(VLOOKUP(A384,04_PROYECTOS!$A:$N,4,FALSE)="Publico_&lt;10M",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VLOOKUP(A384,04_PROYECTOS!$A:$N,10,FALSE))</f>
        <v/>
      </c>
      <c r="I384">
        <f>ROUNDUP(H384/30,0)</f>
        <v/>
      </c>
      <c r="J384">
        <f>EDATE(C384,I384)</f>
        <v/>
      </c>
      <c r="K384">
        <f>G384</f>
        <v/>
      </c>
    </row>
    <row r="385">
      <c r="E385">
        <f>D385*VLOOKUP(A385,04_PROYECTOS!$A:$N,5,FALSE)*(INDEX(02B_ESCENARIOS!$B$4:$D$11, MATCH("MULT_PRECIO", 02B_ESCENARIOS!$A$4:$A$11, 0), MATCH("Agresivo", 02B_ESCENARIOS!$B$3:$D$3, 0)))*INDEX(02B_ESCENARIOS!$B$15:$D$19, MATCH(VLOOKUP(A385,04_PROYECTOS!$A:$N,9,FALSE), 02B_ESCENARIOS!$A$15:$A$19, 0), MATCH("Agresivo", 02B_ESCENARIOS!$B$14:$D$14, 0))</f>
        <v/>
      </c>
      <c r="F385">
        <f>E385*VLOOKUP(A385,04_PROYECTOS!$A:$N,6,FALSE)</f>
        <v/>
      </c>
      <c r="G385">
        <f>E385+F385</f>
        <v/>
      </c>
      <c r="H385">
        <f>IF(VLOOKUP(A385,04_PROYECTOS!$A:$N,10,FALSE)="", IF(VLOOKUP(A385,04_PROYECTOS!$A:$N,4,FALSE)="Privado", INDEX(02B_ESCENARIOS!$B$4:$D$11, MATCH("DSO_PRIVADO_DEFAULT", 02B_ESCENARIOS!$A$4:$A$11, 0), MATCH("Agresivo", 02B_ESCENARIOS!$B$3:$D$3, 0)), IF(VLOOKUP(A385,04_PROYECTOS!$A:$N,4,FALSE)="Publico_&lt;10M",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VLOOKUP(A385,04_PROYECTOS!$A:$N,10,FALSE))</f>
        <v/>
      </c>
      <c r="I385">
        <f>ROUNDUP(H385/30,0)</f>
        <v/>
      </c>
      <c r="J385">
        <f>EDATE(C385,I385)</f>
        <v/>
      </c>
      <c r="K385">
        <f>G385</f>
        <v/>
      </c>
    </row>
    <row r="386">
      <c r="E386">
        <f>D386*VLOOKUP(A386,04_PROYECTOS!$A:$N,5,FALSE)*(INDEX(02B_ESCENARIOS!$B$4:$D$11, MATCH("MULT_PRECIO", 02B_ESCENARIOS!$A$4:$A$11, 0), MATCH("Agresivo", 02B_ESCENARIOS!$B$3:$D$3, 0)))*INDEX(02B_ESCENARIOS!$B$15:$D$19, MATCH(VLOOKUP(A386,04_PROYECTOS!$A:$N,9,FALSE), 02B_ESCENARIOS!$A$15:$A$19, 0), MATCH("Agresivo", 02B_ESCENARIOS!$B$14:$D$14, 0))</f>
        <v/>
      </c>
      <c r="F386">
        <f>E386*VLOOKUP(A386,04_PROYECTOS!$A:$N,6,FALSE)</f>
        <v/>
      </c>
      <c r="G386">
        <f>E386+F386</f>
        <v/>
      </c>
      <c r="H386">
        <f>IF(VLOOKUP(A386,04_PROYECTOS!$A:$N,10,FALSE)="", IF(VLOOKUP(A386,04_PROYECTOS!$A:$N,4,FALSE)="Privado", INDEX(02B_ESCENARIOS!$B$4:$D$11, MATCH("DSO_PRIVADO_DEFAULT", 02B_ESCENARIOS!$A$4:$A$11, 0), MATCH("Agresivo", 02B_ESCENARIOS!$B$3:$D$3, 0)), IF(VLOOKUP(A386,04_PROYECTOS!$A:$N,4,FALSE)="Publico_&lt;10M",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VLOOKUP(A386,04_PROYECTOS!$A:$N,10,FALSE))</f>
        <v/>
      </c>
      <c r="I386">
        <f>ROUNDUP(H386/30,0)</f>
        <v/>
      </c>
      <c r="J386">
        <f>EDATE(C386,I386)</f>
        <v/>
      </c>
      <c r="K386">
        <f>G386</f>
        <v/>
      </c>
    </row>
    <row r="387">
      <c r="E387">
        <f>D387*VLOOKUP(A387,04_PROYECTOS!$A:$N,5,FALSE)*(INDEX(02B_ESCENARIOS!$B$4:$D$11, MATCH("MULT_PRECIO", 02B_ESCENARIOS!$A$4:$A$11, 0), MATCH("Agresivo", 02B_ESCENARIOS!$B$3:$D$3, 0)))*INDEX(02B_ESCENARIOS!$B$15:$D$19, MATCH(VLOOKUP(A387,04_PROYECTOS!$A:$N,9,FALSE), 02B_ESCENARIOS!$A$15:$A$19, 0), MATCH("Agresivo", 02B_ESCENARIOS!$B$14:$D$14, 0))</f>
        <v/>
      </c>
      <c r="F387">
        <f>E387*VLOOKUP(A387,04_PROYECTOS!$A:$N,6,FALSE)</f>
        <v/>
      </c>
      <c r="G387">
        <f>E387+F387</f>
        <v/>
      </c>
      <c r="H387">
        <f>IF(VLOOKUP(A387,04_PROYECTOS!$A:$N,10,FALSE)="", IF(VLOOKUP(A387,04_PROYECTOS!$A:$N,4,FALSE)="Privado", INDEX(02B_ESCENARIOS!$B$4:$D$11, MATCH("DSO_PRIVADO_DEFAULT", 02B_ESCENARIOS!$A$4:$A$11, 0), MATCH("Agresivo", 02B_ESCENARIOS!$B$3:$D$3, 0)), IF(VLOOKUP(A387,04_PROYECTOS!$A:$N,4,FALSE)="Publico_&lt;10M",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VLOOKUP(A387,04_PROYECTOS!$A:$N,10,FALSE))</f>
        <v/>
      </c>
      <c r="I387">
        <f>ROUNDUP(H387/30,0)</f>
        <v/>
      </c>
      <c r="J387">
        <f>EDATE(C387,I387)</f>
        <v/>
      </c>
      <c r="K387">
        <f>G387</f>
        <v/>
      </c>
    </row>
    <row r="388">
      <c r="E388">
        <f>D388*VLOOKUP(A388,04_PROYECTOS!$A:$N,5,FALSE)*(INDEX(02B_ESCENARIOS!$B$4:$D$11, MATCH("MULT_PRECIO", 02B_ESCENARIOS!$A$4:$A$11, 0), MATCH("Agresivo", 02B_ESCENARIOS!$B$3:$D$3, 0)))*INDEX(02B_ESCENARIOS!$B$15:$D$19, MATCH(VLOOKUP(A388,04_PROYECTOS!$A:$N,9,FALSE), 02B_ESCENARIOS!$A$15:$A$19, 0), MATCH("Agresivo", 02B_ESCENARIOS!$B$14:$D$14, 0))</f>
        <v/>
      </c>
      <c r="F388">
        <f>E388*VLOOKUP(A388,04_PROYECTOS!$A:$N,6,FALSE)</f>
        <v/>
      </c>
      <c r="G388">
        <f>E388+F388</f>
        <v/>
      </c>
      <c r="H388">
        <f>IF(VLOOKUP(A388,04_PROYECTOS!$A:$N,10,FALSE)="", IF(VLOOKUP(A388,04_PROYECTOS!$A:$N,4,FALSE)="Privado", INDEX(02B_ESCENARIOS!$B$4:$D$11, MATCH("DSO_PRIVADO_DEFAULT", 02B_ESCENARIOS!$A$4:$A$11, 0), MATCH("Agresivo", 02B_ESCENARIOS!$B$3:$D$3, 0)), IF(VLOOKUP(A388,04_PROYECTOS!$A:$N,4,FALSE)="Publico_&lt;10M",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VLOOKUP(A388,04_PROYECTOS!$A:$N,10,FALSE))</f>
        <v/>
      </c>
      <c r="I388">
        <f>ROUNDUP(H388/30,0)</f>
        <v/>
      </c>
      <c r="J388">
        <f>EDATE(C388,I388)</f>
        <v/>
      </c>
      <c r="K388">
        <f>G388</f>
        <v/>
      </c>
    </row>
    <row r="389">
      <c r="E389">
        <f>D389*VLOOKUP(A389,04_PROYECTOS!$A:$N,5,FALSE)*(INDEX(02B_ESCENARIOS!$B$4:$D$11, MATCH("MULT_PRECIO", 02B_ESCENARIOS!$A$4:$A$11, 0), MATCH("Agresivo", 02B_ESCENARIOS!$B$3:$D$3, 0)))*INDEX(02B_ESCENARIOS!$B$15:$D$19, MATCH(VLOOKUP(A389,04_PROYECTOS!$A:$N,9,FALSE), 02B_ESCENARIOS!$A$15:$A$19, 0), MATCH("Agresivo", 02B_ESCENARIOS!$B$14:$D$14, 0))</f>
        <v/>
      </c>
      <c r="F389">
        <f>E389*VLOOKUP(A389,04_PROYECTOS!$A:$N,6,FALSE)</f>
        <v/>
      </c>
      <c r="G389">
        <f>E389+F389</f>
        <v/>
      </c>
      <c r="H389">
        <f>IF(VLOOKUP(A389,04_PROYECTOS!$A:$N,10,FALSE)="", IF(VLOOKUP(A389,04_PROYECTOS!$A:$N,4,FALSE)="Privado", INDEX(02B_ESCENARIOS!$B$4:$D$11, MATCH("DSO_PRIVADO_DEFAULT", 02B_ESCENARIOS!$A$4:$A$11, 0), MATCH("Agresivo", 02B_ESCENARIOS!$B$3:$D$3, 0)), IF(VLOOKUP(A389,04_PROYECTOS!$A:$N,4,FALSE)="Publico_&lt;10M",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VLOOKUP(A389,04_PROYECTOS!$A:$N,10,FALSE))</f>
        <v/>
      </c>
      <c r="I389">
        <f>ROUNDUP(H389/30,0)</f>
        <v/>
      </c>
      <c r="J389">
        <f>EDATE(C389,I389)</f>
        <v/>
      </c>
      <c r="K389">
        <f>G389</f>
        <v/>
      </c>
    </row>
    <row r="390">
      <c r="E390">
        <f>D390*VLOOKUP(A390,04_PROYECTOS!$A:$N,5,FALSE)*(INDEX(02B_ESCENARIOS!$B$4:$D$11, MATCH("MULT_PRECIO", 02B_ESCENARIOS!$A$4:$A$11, 0), MATCH("Agresivo", 02B_ESCENARIOS!$B$3:$D$3, 0)))*INDEX(02B_ESCENARIOS!$B$15:$D$19, MATCH(VLOOKUP(A390,04_PROYECTOS!$A:$N,9,FALSE), 02B_ESCENARIOS!$A$15:$A$19, 0), MATCH("Agresivo", 02B_ESCENARIOS!$B$14:$D$14, 0))</f>
        <v/>
      </c>
      <c r="F390">
        <f>E390*VLOOKUP(A390,04_PROYECTOS!$A:$N,6,FALSE)</f>
        <v/>
      </c>
      <c r="G390">
        <f>E390+F390</f>
        <v/>
      </c>
      <c r="H390">
        <f>IF(VLOOKUP(A390,04_PROYECTOS!$A:$N,10,FALSE)="", IF(VLOOKUP(A390,04_PROYECTOS!$A:$N,4,FALSE)="Privado", INDEX(02B_ESCENARIOS!$B$4:$D$11, MATCH("DSO_PRIVADO_DEFAULT", 02B_ESCENARIOS!$A$4:$A$11, 0), MATCH("Agresivo", 02B_ESCENARIOS!$B$3:$D$3, 0)), IF(VLOOKUP(A390,04_PROYECTOS!$A:$N,4,FALSE)="Publico_&lt;10M",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VLOOKUP(A390,04_PROYECTOS!$A:$N,10,FALSE))</f>
        <v/>
      </c>
      <c r="I390">
        <f>ROUNDUP(H390/30,0)</f>
        <v/>
      </c>
      <c r="J390">
        <f>EDATE(C390,I390)</f>
        <v/>
      </c>
      <c r="K390">
        <f>G390</f>
        <v/>
      </c>
    </row>
    <row r="391">
      <c r="E391">
        <f>D391*VLOOKUP(A391,04_PROYECTOS!$A:$N,5,FALSE)*(INDEX(02B_ESCENARIOS!$B$4:$D$11, MATCH("MULT_PRECIO", 02B_ESCENARIOS!$A$4:$A$11, 0), MATCH("Agresivo", 02B_ESCENARIOS!$B$3:$D$3, 0)))*INDEX(02B_ESCENARIOS!$B$15:$D$19, MATCH(VLOOKUP(A391,04_PROYECTOS!$A:$N,9,FALSE), 02B_ESCENARIOS!$A$15:$A$19, 0), MATCH("Agresivo", 02B_ESCENARIOS!$B$14:$D$14, 0))</f>
        <v/>
      </c>
      <c r="F391">
        <f>E391*VLOOKUP(A391,04_PROYECTOS!$A:$N,6,FALSE)</f>
        <v/>
      </c>
      <c r="G391">
        <f>E391+F391</f>
        <v/>
      </c>
      <c r="H391">
        <f>IF(VLOOKUP(A391,04_PROYECTOS!$A:$N,10,FALSE)="", IF(VLOOKUP(A391,04_PROYECTOS!$A:$N,4,FALSE)="Privado", INDEX(02B_ESCENARIOS!$B$4:$D$11, MATCH("DSO_PRIVADO_DEFAULT", 02B_ESCENARIOS!$A$4:$A$11, 0), MATCH("Agresivo", 02B_ESCENARIOS!$B$3:$D$3, 0)), IF(VLOOKUP(A391,04_PROYECTOS!$A:$N,4,FALSE)="Publico_&lt;10M",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VLOOKUP(A391,04_PROYECTOS!$A:$N,10,FALSE))</f>
        <v/>
      </c>
      <c r="I391">
        <f>ROUNDUP(H391/30,0)</f>
        <v/>
      </c>
      <c r="J391">
        <f>EDATE(C391,I391)</f>
        <v/>
      </c>
      <c r="K391">
        <f>G391</f>
        <v/>
      </c>
    </row>
    <row r="392">
      <c r="E392">
        <f>D392*VLOOKUP(A392,04_PROYECTOS!$A:$N,5,FALSE)*(INDEX(02B_ESCENARIOS!$B$4:$D$11, MATCH("MULT_PRECIO", 02B_ESCENARIOS!$A$4:$A$11, 0), MATCH("Agresivo", 02B_ESCENARIOS!$B$3:$D$3, 0)))*INDEX(02B_ESCENARIOS!$B$15:$D$19, MATCH(VLOOKUP(A392,04_PROYECTOS!$A:$N,9,FALSE), 02B_ESCENARIOS!$A$15:$A$19, 0), MATCH("Agresivo", 02B_ESCENARIOS!$B$14:$D$14, 0))</f>
        <v/>
      </c>
      <c r="F392">
        <f>E392*VLOOKUP(A392,04_PROYECTOS!$A:$N,6,FALSE)</f>
        <v/>
      </c>
      <c r="G392">
        <f>E392+F392</f>
        <v/>
      </c>
      <c r="H392">
        <f>IF(VLOOKUP(A392,04_PROYECTOS!$A:$N,10,FALSE)="", IF(VLOOKUP(A392,04_PROYECTOS!$A:$N,4,FALSE)="Privado", INDEX(02B_ESCENARIOS!$B$4:$D$11, MATCH("DSO_PRIVADO_DEFAULT", 02B_ESCENARIOS!$A$4:$A$11, 0), MATCH("Agresivo", 02B_ESCENARIOS!$B$3:$D$3, 0)), IF(VLOOKUP(A392,04_PROYECTOS!$A:$N,4,FALSE)="Publico_&lt;10M",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VLOOKUP(A392,04_PROYECTOS!$A:$N,10,FALSE))</f>
        <v/>
      </c>
      <c r="I392">
        <f>ROUNDUP(H392/30,0)</f>
        <v/>
      </c>
      <c r="J392">
        <f>EDATE(C392,I392)</f>
        <v/>
      </c>
      <c r="K392">
        <f>G392</f>
        <v/>
      </c>
    </row>
    <row r="393">
      <c r="E393">
        <f>D393*VLOOKUP(A393,04_PROYECTOS!$A:$N,5,FALSE)*(INDEX(02B_ESCENARIOS!$B$4:$D$11, MATCH("MULT_PRECIO", 02B_ESCENARIOS!$A$4:$A$11, 0), MATCH("Agresivo", 02B_ESCENARIOS!$B$3:$D$3, 0)))*INDEX(02B_ESCENARIOS!$B$15:$D$19, MATCH(VLOOKUP(A393,04_PROYECTOS!$A:$N,9,FALSE), 02B_ESCENARIOS!$A$15:$A$19, 0), MATCH("Agresivo", 02B_ESCENARIOS!$B$14:$D$14, 0))</f>
        <v/>
      </c>
      <c r="F393">
        <f>E393*VLOOKUP(A393,04_PROYECTOS!$A:$N,6,FALSE)</f>
        <v/>
      </c>
      <c r="G393">
        <f>E393+F393</f>
        <v/>
      </c>
      <c r="H393">
        <f>IF(VLOOKUP(A393,04_PROYECTOS!$A:$N,10,FALSE)="", IF(VLOOKUP(A393,04_PROYECTOS!$A:$N,4,FALSE)="Privado", INDEX(02B_ESCENARIOS!$B$4:$D$11, MATCH("DSO_PRIVADO_DEFAULT", 02B_ESCENARIOS!$A$4:$A$11, 0), MATCH("Agresivo", 02B_ESCENARIOS!$B$3:$D$3, 0)), IF(VLOOKUP(A393,04_PROYECTOS!$A:$N,4,FALSE)="Publico_&lt;10M",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VLOOKUP(A393,04_PROYECTOS!$A:$N,10,FALSE))</f>
        <v/>
      </c>
      <c r="I393">
        <f>ROUNDUP(H393/30,0)</f>
        <v/>
      </c>
      <c r="J393">
        <f>EDATE(C393,I393)</f>
        <v/>
      </c>
      <c r="K393">
        <f>G393</f>
        <v/>
      </c>
    </row>
    <row r="394">
      <c r="E394">
        <f>D394*VLOOKUP(A394,04_PROYECTOS!$A:$N,5,FALSE)*(INDEX(02B_ESCENARIOS!$B$4:$D$11, MATCH("MULT_PRECIO", 02B_ESCENARIOS!$A$4:$A$11, 0), MATCH("Agresivo", 02B_ESCENARIOS!$B$3:$D$3, 0)))*INDEX(02B_ESCENARIOS!$B$15:$D$19, MATCH(VLOOKUP(A394,04_PROYECTOS!$A:$N,9,FALSE), 02B_ESCENARIOS!$A$15:$A$19, 0), MATCH("Agresivo", 02B_ESCENARIOS!$B$14:$D$14, 0))</f>
        <v/>
      </c>
      <c r="F394">
        <f>E394*VLOOKUP(A394,04_PROYECTOS!$A:$N,6,FALSE)</f>
        <v/>
      </c>
      <c r="G394">
        <f>E394+F394</f>
        <v/>
      </c>
      <c r="H394">
        <f>IF(VLOOKUP(A394,04_PROYECTOS!$A:$N,10,FALSE)="", IF(VLOOKUP(A394,04_PROYECTOS!$A:$N,4,FALSE)="Privado", INDEX(02B_ESCENARIOS!$B$4:$D$11, MATCH("DSO_PRIVADO_DEFAULT", 02B_ESCENARIOS!$A$4:$A$11, 0), MATCH("Agresivo", 02B_ESCENARIOS!$B$3:$D$3, 0)), IF(VLOOKUP(A394,04_PROYECTOS!$A:$N,4,FALSE)="Publico_&lt;10M",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VLOOKUP(A394,04_PROYECTOS!$A:$N,10,FALSE))</f>
        <v/>
      </c>
      <c r="I394">
        <f>ROUNDUP(H394/30,0)</f>
        <v/>
      </c>
      <c r="J394">
        <f>EDATE(C394,I394)</f>
        <v/>
      </c>
      <c r="K394">
        <f>G394</f>
        <v/>
      </c>
    </row>
    <row r="395">
      <c r="E395">
        <f>D395*VLOOKUP(A395,04_PROYECTOS!$A:$N,5,FALSE)*(INDEX(02B_ESCENARIOS!$B$4:$D$11, MATCH("MULT_PRECIO", 02B_ESCENARIOS!$A$4:$A$11, 0), MATCH("Agresivo", 02B_ESCENARIOS!$B$3:$D$3, 0)))*INDEX(02B_ESCENARIOS!$B$15:$D$19, MATCH(VLOOKUP(A395,04_PROYECTOS!$A:$N,9,FALSE), 02B_ESCENARIOS!$A$15:$A$19, 0), MATCH("Agresivo", 02B_ESCENARIOS!$B$14:$D$14, 0))</f>
        <v/>
      </c>
      <c r="F395">
        <f>E395*VLOOKUP(A395,04_PROYECTOS!$A:$N,6,FALSE)</f>
        <v/>
      </c>
      <c r="G395">
        <f>E395+F395</f>
        <v/>
      </c>
      <c r="H395">
        <f>IF(VLOOKUP(A395,04_PROYECTOS!$A:$N,10,FALSE)="", IF(VLOOKUP(A395,04_PROYECTOS!$A:$N,4,FALSE)="Privado", INDEX(02B_ESCENARIOS!$B$4:$D$11, MATCH("DSO_PRIVADO_DEFAULT", 02B_ESCENARIOS!$A$4:$A$11, 0), MATCH("Agresivo", 02B_ESCENARIOS!$B$3:$D$3, 0)), IF(VLOOKUP(A395,04_PROYECTOS!$A:$N,4,FALSE)="Publico_&lt;10M",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VLOOKUP(A395,04_PROYECTOS!$A:$N,10,FALSE))</f>
        <v/>
      </c>
      <c r="I395">
        <f>ROUNDUP(H395/30,0)</f>
        <v/>
      </c>
      <c r="J395">
        <f>EDATE(C395,I395)</f>
        <v/>
      </c>
      <c r="K395">
        <f>G395</f>
        <v/>
      </c>
    </row>
    <row r="396">
      <c r="E396">
        <f>D396*VLOOKUP(A396,04_PROYECTOS!$A:$N,5,FALSE)*(INDEX(02B_ESCENARIOS!$B$4:$D$11, MATCH("MULT_PRECIO", 02B_ESCENARIOS!$A$4:$A$11, 0), MATCH("Agresivo", 02B_ESCENARIOS!$B$3:$D$3, 0)))*INDEX(02B_ESCENARIOS!$B$15:$D$19, MATCH(VLOOKUP(A396,04_PROYECTOS!$A:$N,9,FALSE), 02B_ESCENARIOS!$A$15:$A$19, 0), MATCH("Agresivo", 02B_ESCENARIOS!$B$14:$D$14, 0))</f>
        <v/>
      </c>
      <c r="F396">
        <f>E396*VLOOKUP(A396,04_PROYECTOS!$A:$N,6,FALSE)</f>
        <v/>
      </c>
      <c r="G396">
        <f>E396+F396</f>
        <v/>
      </c>
      <c r="H396">
        <f>IF(VLOOKUP(A396,04_PROYECTOS!$A:$N,10,FALSE)="", IF(VLOOKUP(A396,04_PROYECTOS!$A:$N,4,FALSE)="Privado", INDEX(02B_ESCENARIOS!$B$4:$D$11, MATCH("DSO_PRIVADO_DEFAULT", 02B_ESCENARIOS!$A$4:$A$11, 0), MATCH("Agresivo", 02B_ESCENARIOS!$B$3:$D$3, 0)), IF(VLOOKUP(A396,04_PROYECTOS!$A:$N,4,FALSE)="Publico_&lt;10M",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VLOOKUP(A396,04_PROYECTOS!$A:$N,10,FALSE))</f>
        <v/>
      </c>
      <c r="I396">
        <f>ROUNDUP(H396/30,0)</f>
        <v/>
      </c>
      <c r="J396">
        <f>EDATE(C396,I396)</f>
        <v/>
      </c>
      <c r="K396">
        <f>G396</f>
        <v/>
      </c>
    </row>
    <row r="397">
      <c r="E397">
        <f>D397*VLOOKUP(A397,04_PROYECTOS!$A:$N,5,FALSE)*(INDEX(02B_ESCENARIOS!$B$4:$D$11, MATCH("MULT_PRECIO", 02B_ESCENARIOS!$A$4:$A$11, 0), MATCH("Agresivo", 02B_ESCENARIOS!$B$3:$D$3, 0)))*INDEX(02B_ESCENARIOS!$B$15:$D$19, MATCH(VLOOKUP(A397,04_PROYECTOS!$A:$N,9,FALSE), 02B_ESCENARIOS!$A$15:$A$19, 0), MATCH("Agresivo", 02B_ESCENARIOS!$B$14:$D$14, 0))</f>
        <v/>
      </c>
      <c r="F397">
        <f>E397*VLOOKUP(A397,04_PROYECTOS!$A:$N,6,FALSE)</f>
        <v/>
      </c>
      <c r="G397">
        <f>E397+F397</f>
        <v/>
      </c>
      <c r="H397">
        <f>IF(VLOOKUP(A397,04_PROYECTOS!$A:$N,10,FALSE)="", IF(VLOOKUP(A397,04_PROYECTOS!$A:$N,4,FALSE)="Privado", INDEX(02B_ESCENARIOS!$B$4:$D$11, MATCH("DSO_PRIVADO_DEFAULT", 02B_ESCENARIOS!$A$4:$A$11, 0), MATCH("Agresivo", 02B_ESCENARIOS!$B$3:$D$3, 0)), IF(VLOOKUP(A397,04_PROYECTOS!$A:$N,4,FALSE)="Publico_&lt;10M",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VLOOKUP(A397,04_PROYECTOS!$A:$N,10,FALSE))</f>
        <v/>
      </c>
      <c r="I397">
        <f>ROUNDUP(H397/30,0)</f>
        <v/>
      </c>
      <c r="J397">
        <f>EDATE(C397,I397)</f>
        <v/>
      </c>
      <c r="K397">
        <f>G397</f>
        <v/>
      </c>
    </row>
    <row r="398">
      <c r="E398">
        <f>D398*VLOOKUP(A398,04_PROYECTOS!$A:$N,5,FALSE)*(INDEX(02B_ESCENARIOS!$B$4:$D$11, MATCH("MULT_PRECIO", 02B_ESCENARIOS!$A$4:$A$11, 0), MATCH("Agresivo", 02B_ESCENARIOS!$B$3:$D$3, 0)))*INDEX(02B_ESCENARIOS!$B$15:$D$19, MATCH(VLOOKUP(A398,04_PROYECTOS!$A:$N,9,FALSE), 02B_ESCENARIOS!$A$15:$A$19, 0), MATCH("Agresivo", 02B_ESCENARIOS!$B$14:$D$14, 0))</f>
        <v/>
      </c>
      <c r="F398">
        <f>E398*VLOOKUP(A398,04_PROYECTOS!$A:$N,6,FALSE)</f>
        <v/>
      </c>
      <c r="G398">
        <f>E398+F398</f>
        <v/>
      </c>
      <c r="H398">
        <f>IF(VLOOKUP(A398,04_PROYECTOS!$A:$N,10,FALSE)="", IF(VLOOKUP(A398,04_PROYECTOS!$A:$N,4,FALSE)="Privado", INDEX(02B_ESCENARIOS!$B$4:$D$11, MATCH("DSO_PRIVADO_DEFAULT", 02B_ESCENARIOS!$A$4:$A$11, 0), MATCH("Agresivo", 02B_ESCENARIOS!$B$3:$D$3, 0)), IF(VLOOKUP(A398,04_PROYECTOS!$A:$N,4,FALSE)="Publico_&lt;10M",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VLOOKUP(A398,04_PROYECTOS!$A:$N,10,FALSE))</f>
        <v/>
      </c>
      <c r="I398">
        <f>ROUNDUP(H398/30,0)</f>
        <v/>
      </c>
      <c r="J398">
        <f>EDATE(C398,I398)</f>
        <v/>
      </c>
      <c r="K398">
        <f>G398</f>
        <v/>
      </c>
    </row>
    <row r="399">
      <c r="E399">
        <f>D399*VLOOKUP(A399,04_PROYECTOS!$A:$N,5,FALSE)*(INDEX(02B_ESCENARIOS!$B$4:$D$11, MATCH("MULT_PRECIO", 02B_ESCENARIOS!$A$4:$A$11, 0), MATCH("Agresivo", 02B_ESCENARIOS!$B$3:$D$3, 0)))*INDEX(02B_ESCENARIOS!$B$15:$D$19, MATCH(VLOOKUP(A399,04_PROYECTOS!$A:$N,9,FALSE), 02B_ESCENARIOS!$A$15:$A$19, 0), MATCH("Agresivo", 02B_ESCENARIOS!$B$14:$D$14, 0))</f>
        <v/>
      </c>
      <c r="F399">
        <f>E399*VLOOKUP(A399,04_PROYECTOS!$A:$N,6,FALSE)</f>
        <v/>
      </c>
      <c r="G399">
        <f>E399+F399</f>
        <v/>
      </c>
      <c r="H399">
        <f>IF(VLOOKUP(A399,04_PROYECTOS!$A:$N,10,FALSE)="", IF(VLOOKUP(A399,04_PROYECTOS!$A:$N,4,FALSE)="Privado", INDEX(02B_ESCENARIOS!$B$4:$D$11, MATCH("DSO_PRIVADO_DEFAULT", 02B_ESCENARIOS!$A$4:$A$11, 0), MATCH("Agresivo", 02B_ESCENARIOS!$B$3:$D$3, 0)), IF(VLOOKUP(A399,04_PROYECTOS!$A:$N,4,FALSE)="Publico_&lt;10M",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VLOOKUP(A399,04_PROYECTOS!$A:$N,10,FALSE))</f>
        <v/>
      </c>
      <c r="I399">
        <f>ROUNDUP(H399/30,0)</f>
        <v/>
      </c>
      <c r="J399">
        <f>EDATE(C399,I399)</f>
        <v/>
      </c>
      <c r="K399">
        <f>G399</f>
        <v/>
      </c>
    </row>
    <row r="400">
      <c r="E400">
        <f>D400*VLOOKUP(A400,04_PROYECTOS!$A:$N,5,FALSE)*(INDEX(02B_ESCENARIOS!$B$4:$D$11, MATCH("MULT_PRECIO", 02B_ESCENARIOS!$A$4:$A$11, 0), MATCH("Agresivo", 02B_ESCENARIOS!$B$3:$D$3, 0)))*INDEX(02B_ESCENARIOS!$B$15:$D$19, MATCH(VLOOKUP(A400,04_PROYECTOS!$A:$N,9,FALSE), 02B_ESCENARIOS!$A$15:$A$19, 0), MATCH("Agresivo", 02B_ESCENARIOS!$B$14:$D$14, 0))</f>
        <v/>
      </c>
      <c r="F400">
        <f>E400*VLOOKUP(A400,04_PROYECTOS!$A:$N,6,FALSE)</f>
        <v/>
      </c>
      <c r="G400">
        <f>E400+F400</f>
        <v/>
      </c>
      <c r="H400">
        <f>IF(VLOOKUP(A400,04_PROYECTOS!$A:$N,10,FALSE)="", IF(VLOOKUP(A400,04_PROYECTOS!$A:$N,4,FALSE)="Privado", INDEX(02B_ESCENARIOS!$B$4:$D$11, MATCH("DSO_PRIVADO_DEFAULT", 02B_ESCENARIOS!$A$4:$A$11, 0), MATCH("Agresivo", 02B_ESCENARIOS!$B$3:$D$3, 0)), IF(VLOOKUP(A400,04_PROYECTOS!$A:$N,4,FALSE)="Publico_&lt;10M",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VLOOKUP(A400,04_PROYECTOS!$A:$N,10,FALSE))</f>
        <v/>
      </c>
      <c r="I400">
        <f>ROUNDUP(H400/30,0)</f>
        <v/>
      </c>
      <c r="J400">
        <f>EDATE(C400,I400)</f>
        <v/>
      </c>
      <c r="K400">
        <f>G400</f>
        <v/>
      </c>
    </row>
    <row r="401">
      <c r="E401">
        <f>D401*VLOOKUP(A401,04_PROYECTOS!$A:$N,5,FALSE)*(INDEX(02B_ESCENARIOS!$B$4:$D$11, MATCH("MULT_PRECIO", 02B_ESCENARIOS!$A$4:$A$11, 0), MATCH("Agresivo", 02B_ESCENARIOS!$B$3:$D$3, 0)))*INDEX(02B_ESCENARIOS!$B$15:$D$19, MATCH(VLOOKUP(A401,04_PROYECTOS!$A:$N,9,FALSE), 02B_ESCENARIOS!$A$15:$A$19, 0), MATCH("Agresivo", 02B_ESCENARIOS!$B$14:$D$14, 0))</f>
        <v/>
      </c>
      <c r="F401">
        <f>E401*VLOOKUP(A401,04_PROYECTOS!$A:$N,6,FALSE)</f>
        <v/>
      </c>
      <c r="G401">
        <f>E401+F401</f>
        <v/>
      </c>
      <c r="H401">
        <f>IF(VLOOKUP(A401,04_PROYECTOS!$A:$N,10,FALSE)="", IF(VLOOKUP(A401,04_PROYECTOS!$A:$N,4,FALSE)="Privado", INDEX(02B_ESCENARIOS!$B$4:$D$11, MATCH("DSO_PRIVADO_DEFAULT", 02B_ESCENARIOS!$A$4:$A$11, 0), MATCH("Agresivo", 02B_ESCENARIOS!$B$3:$D$3, 0)), IF(VLOOKUP(A401,04_PROYECTOS!$A:$N,4,FALSE)="Publico_&lt;10M",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VLOOKUP(A401,04_PROYECTOS!$A:$N,10,FALSE))</f>
        <v/>
      </c>
      <c r="I401">
        <f>ROUNDUP(H401/30,0)</f>
        <v/>
      </c>
      <c r="J401">
        <f>EDATE(C401,I401)</f>
        <v/>
      </c>
      <c r="K401">
        <f>G401</f>
        <v/>
      </c>
    </row>
    <row r="402">
      <c r="E402">
        <f>D402*VLOOKUP(A402,04_PROYECTOS!$A:$N,5,FALSE)*(INDEX(02B_ESCENARIOS!$B$4:$D$11, MATCH("MULT_PRECIO", 02B_ESCENARIOS!$A$4:$A$11, 0), MATCH("Agresivo", 02B_ESCENARIOS!$B$3:$D$3, 0)))*INDEX(02B_ESCENARIOS!$B$15:$D$19, MATCH(VLOOKUP(A402,04_PROYECTOS!$A:$N,9,FALSE), 02B_ESCENARIOS!$A$15:$A$19, 0), MATCH("Agresivo", 02B_ESCENARIOS!$B$14:$D$14, 0))</f>
        <v/>
      </c>
      <c r="F402">
        <f>E402*VLOOKUP(A402,04_PROYECTOS!$A:$N,6,FALSE)</f>
        <v/>
      </c>
      <c r="G402">
        <f>E402+F402</f>
        <v/>
      </c>
      <c r="H402">
        <f>IF(VLOOKUP(A402,04_PROYECTOS!$A:$N,10,FALSE)="", IF(VLOOKUP(A402,04_PROYECTOS!$A:$N,4,FALSE)="Privado", INDEX(02B_ESCENARIOS!$B$4:$D$11, MATCH("DSO_PRIVADO_DEFAULT", 02B_ESCENARIOS!$A$4:$A$11, 0), MATCH("Agresivo", 02B_ESCENARIOS!$B$3:$D$3, 0)), IF(VLOOKUP(A402,04_PROYECTOS!$A:$N,4,FALSE)="Publico_&lt;10M",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VLOOKUP(A402,04_PROYECTOS!$A:$N,10,FALSE))</f>
        <v/>
      </c>
      <c r="I402">
        <f>ROUNDUP(H402/30,0)</f>
        <v/>
      </c>
      <c r="J402">
        <f>EDATE(C402,I402)</f>
        <v/>
      </c>
      <c r="K402">
        <f>G402</f>
        <v/>
      </c>
    </row>
    <row r="403">
      <c r="E403">
        <f>D403*VLOOKUP(A403,04_PROYECTOS!$A:$N,5,FALSE)*(INDEX(02B_ESCENARIOS!$B$4:$D$11, MATCH("MULT_PRECIO", 02B_ESCENARIOS!$A$4:$A$11, 0), MATCH("Agresivo", 02B_ESCENARIOS!$B$3:$D$3, 0)))*INDEX(02B_ESCENARIOS!$B$15:$D$19, MATCH(VLOOKUP(A403,04_PROYECTOS!$A:$N,9,FALSE), 02B_ESCENARIOS!$A$15:$A$19, 0), MATCH("Agresivo", 02B_ESCENARIOS!$B$14:$D$14, 0))</f>
        <v/>
      </c>
      <c r="F403">
        <f>E403*VLOOKUP(A403,04_PROYECTOS!$A:$N,6,FALSE)</f>
        <v/>
      </c>
      <c r="G403">
        <f>E403+F403</f>
        <v/>
      </c>
      <c r="H403">
        <f>IF(VLOOKUP(A403,04_PROYECTOS!$A:$N,10,FALSE)="", IF(VLOOKUP(A403,04_PROYECTOS!$A:$N,4,FALSE)="Privado", INDEX(02B_ESCENARIOS!$B$4:$D$11, MATCH("DSO_PRIVADO_DEFAULT", 02B_ESCENARIOS!$A$4:$A$11, 0), MATCH("Agresivo", 02B_ESCENARIOS!$B$3:$D$3, 0)), IF(VLOOKUP(A403,04_PROYECTOS!$A:$N,4,FALSE)="Publico_&lt;10M",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VLOOKUP(A403,04_PROYECTOS!$A:$N,10,FALSE))</f>
        <v/>
      </c>
      <c r="I403">
        <f>ROUNDUP(H403/30,0)</f>
        <v/>
      </c>
      <c r="J403">
        <f>EDATE(C403,I403)</f>
        <v/>
      </c>
      <c r="K403">
        <f>G403</f>
        <v/>
      </c>
    </row>
    <row r="404">
      <c r="E404">
        <f>D404*VLOOKUP(A404,04_PROYECTOS!$A:$N,5,FALSE)*(INDEX(02B_ESCENARIOS!$B$4:$D$11, MATCH("MULT_PRECIO", 02B_ESCENARIOS!$A$4:$A$11, 0), MATCH("Agresivo", 02B_ESCENARIOS!$B$3:$D$3, 0)))*INDEX(02B_ESCENARIOS!$B$15:$D$19, MATCH(VLOOKUP(A404,04_PROYECTOS!$A:$N,9,FALSE), 02B_ESCENARIOS!$A$15:$A$19, 0), MATCH("Agresivo", 02B_ESCENARIOS!$B$14:$D$14, 0))</f>
        <v/>
      </c>
      <c r="F404">
        <f>E404*VLOOKUP(A404,04_PROYECTOS!$A:$N,6,FALSE)</f>
        <v/>
      </c>
      <c r="G404">
        <f>E404+F404</f>
        <v/>
      </c>
      <c r="H404">
        <f>IF(VLOOKUP(A404,04_PROYECTOS!$A:$N,10,FALSE)="", IF(VLOOKUP(A404,04_PROYECTOS!$A:$N,4,FALSE)="Privado", INDEX(02B_ESCENARIOS!$B$4:$D$11, MATCH("DSO_PRIVADO_DEFAULT", 02B_ESCENARIOS!$A$4:$A$11, 0), MATCH("Agresivo", 02B_ESCENARIOS!$B$3:$D$3, 0)), IF(VLOOKUP(A404,04_PROYECTOS!$A:$N,4,FALSE)="Publico_&lt;10M",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VLOOKUP(A404,04_PROYECTOS!$A:$N,10,FALSE))</f>
        <v/>
      </c>
      <c r="I404">
        <f>ROUNDUP(H404/30,0)</f>
        <v/>
      </c>
      <c r="J404">
        <f>EDATE(C404,I404)</f>
        <v/>
      </c>
      <c r="K404">
        <f>G404</f>
        <v/>
      </c>
    </row>
    <row r="405">
      <c r="E405">
        <f>D405*VLOOKUP(A405,04_PROYECTOS!$A:$N,5,FALSE)*(INDEX(02B_ESCENARIOS!$B$4:$D$11, MATCH("MULT_PRECIO", 02B_ESCENARIOS!$A$4:$A$11, 0), MATCH("Agresivo", 02B_ESCENARIOS!$B$3:$D$3, 0)))*INDEX(02B_ESCENARIOS!$B$15:$D$19, MATCH(VLOOKUP(A405,04_PROYECTOS!$A:$N,9,FALSE), 02B_ESCENARIOS!$A$15:$A$19, 0), MATCH("Agresivo", 02B_ESCENARIOS!$B$14:$D$14, 0))</f>
        <v/>
      </c>
      <c r="F405">
        <f>E405*VLOOKUP(A405,04_PROYECTOS!$A:$N,6,FALSE)</f>
        <v/>
      </c>
      <c r="G405">
        <f>E405+F405</f>
        <v/>
      </c>
      <c r="H405">
        <f>IF(VLOOKUP(A405,04_PROYECTOS!$A:$N,10,FALSE)="", IF(VLOOKUP(A405,04_PROYECTOS!$A:$N,4,FALSE)="Privado", INDEX(02B_ESCENARIOS!$B$4:$D$11, MATCH("DSO_PRIVADO_DEFAULT", 02B_ESCENARIOS!$A$4:$A$11, 0), MATCH("Agresivo", 02B_ESCENARIOS!$B$3:$D$3, 0)), IF(VLOOKUP(A405,04_PROYECTOS!$A:$N,4,FALSE)="Publico_&lt;10M",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VLOOKUP(A405,04_PROYECTOS!$A:$N,10,FALSE))</f>
        <v/>
      </c>
      <c r="I405">
        <f>ROUNDUP(H405/30,0)</f>
        <v/>
      </c>
      <c r="J405">
        <f>EDATE(C405,I405)</f>
        <v/>
      </c>
      <c r="K405">
        <f>G405</f>
        <v/>
      </c>
    </row>
    <row r="406">
      <c r="E406">
        <f>D406*VLOOKUP(A406,04_PROYECTOS!$A:$N,5,FALSE)*(INDEX(02B_ESCENARIOS!$B$4:$D$11, MATCH("MULT_PRECIO", 02B_ESCENARIOS!$A$4:$A$11, 0), MATCH("Agresivo", 02B_ESCENARIOS!$B$3:$D$3, 0)))*INDEX(02B_ESCENARIOS!$B$15:$D$19, MATCH(VLOOKUP(A406,04_PROYECTOS!$A:$N,9,FALSE), 02B_ESCENARIOS!$A$15:$A$19, 0), MATCH("Agresivo", 02B_ESCENARIOS!$B$14:$D$14, 0))</f>
        <v/>
      </c>
      <c r="F406">
        <f>E406*VLOOKUP(A406,04_PROYECTOS!$A:$N,6,FALSE)</f>
        <v/>
      </c>
      <c r="G406">
        <f>E406+F406</f>
        <v/>
      </c>
      <c r="H406">
        <f>IF(VLOOKUP(A406,04_PROYECTOS!$A:$N,10,FALSE)="", IF(VLOOKUP(A406,04_PROYECTOS!$A:$N,4,FALSE)="Privado", INDEX(02B_ESCENARIOS!$B$4:$D$11, MATCH("DSO_PRIVADO_DEFAULT", 02B_ESCENARIOS!$A$4:$A$11, 0), MATCH("Agresivo", 02B_ESCENARIOS!$B$3:$D$3, 0)), IF(VLOOKUP(A406,04_PROYECTOS!$A:$N,4,FALSE)="Publico_&lt;10M",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VLOOKUP(A406,04_PROYECTOS!$A:$N,10,FALSE))</f>
        <v/>
      </c>
      <c r="I406">
        <f>ROUNDUP(H406/30,0)</f>
        <v/>
      </c>
      <c r="J406">
        <f>EDATE(C406,I406)</f>
        <v/>
      </c>
      <c r="K406">
        <f>G406</f>
        <v/>
      </c>
    </row>
    <row r="407">
      <c r="E407">
        <f>D407*VLOOKUP(A407,04_PROYECTOS!$A:$N,5,FALSE)*(INDEX(02B_ESCENARIOS!$B$4:$D$11, MATCH("MULT_PRECIO", 02B_ESCENARIOS!$A$4:$A$11, 0), MATCH("Agresivo", 02B_ESCENARIOS!$B$3:$D$3, 0)))*INDEX(02B_ESCENARIOS!$B$15:$D$19, MATCH(VLOOKUP(A407,04_PROYECTOS!$A:$N,9,FALSE), 02B_ESCENARIOS!$A$15:$A$19, 0), MATCH("Agresivo", 02B_ESCENARIOS!$B$14:$D$14, 0))</f>
        <v/>
      </c>
      <c r="F407">
        <f>E407*VLOOKUP(A407,04_PROYECTOS!$A:$N,6,FALSE)</f>
        <v/>
      </c>
      <c r="G407">
        <f>E407+F407</f>
        <v/>
      </c>
      <c r="H407">
        <f>IF(VLOOKUP(A407,04_PROYECTOS!$A:$N,10,FALSE)="", IF(VLOOKUP(A407,04_PROYECTOS!$A:$N,4,FALSE)="Privado", INDEX(02B_ESCENARIOS!$B$4:$D$11, MATCH("DSO_PRIVADO_DEFAULT", 02B_ESCENARIOS!$A$4:$A$11, 0), MATCH("Agresivo", 02B_ESCENARIOS!$B$3:$D$3, 0)), IF(VLOOKUP(A407,04_PROYECTOS!$A:$N,4,FALSE)="Publico_&lt;10M",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VLOOKUP(A407,04_PROYECTOS!$A:$N,10,FALSE))</f>
        <v/>
      </c>
      <c r="I407">
        <f>ROUNDUP(H407/30,0)</f>
        <v/>
      </c>
      <c r="J407">
        <f>EDATE(C407,I407)</f>
        <v/>
      </c>
      <c r="K407">
        <f>G407</f>
        <v/>
      </c>
    </row>
    <row r="408">
      <c r="E408">
        <f>D408*VLOOKUP(A408,04_PROYECTOS!$A:$N,5,FALSE)*(INDEX(02B_ESCENARIOS!$B$4:$D$11, MATCH("MULT_PRECIO", 02B_ESCENARIOS!$A$4:$A$11, 0), MATCH("Agresivo", 02B_ESCENARIOS!$B$3:$D$3, 0)))*INDEX(02B_ESCENARIOS!$B$15:$D$19, MATCH(VLOOKUP(A408,04_PROYECTOS!$A:$N,9,FALSE), 02B_ESCENARIOS!$A$15:$A$19, 0), MATCH("Agresivo", 02B_ESCENARIOS!$B$14:$D$14, 0))</f>
        <v/>
      </c>
      <c r="F408">
        <f>E408*VLOOKUP(A408,04_PROYECTOS!$A:$N,6,FALSE)</f>
        <v/>
      </c>
      <c r="G408">
        <f>E408+F408</f>
        <v/>
      </c>
      <c r="H408">
        <f>IF(VLOOKUP(A408,04_PROYECTOS!$A:$N,10,FALSE)="", IF(VLOOKUP(A408,04_PROYECTOS!$A:$N,4,FALSE)="Privado", INDEX(02B_ESCENARIOS!$B$4:$D$11, MATCH("DSO_PRIVADO_DEFAULT", 02B_ESCENARIOS!$A$4:$A$11, 0), MATCH("Agresivo", 02B_ESCENARIOS!$B$3:$D$3, 0)), IF(VLOOKUP(A408,04_PROYECTOS!$A:$N,4,FALSE)="Publico_&lt;10M",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VLOOKUP(A408,04_PROYECTOS!$A:$N,10,FALSE))</f>
        <v/>
      </c>
      <c r="I408">
        <f>ROUNDUP(H408/30,0)</f>
        <v/>
      </c>
      <c r="J408">
        <f>EDATE(C408,I408)</f>
        <v/>
      </c>
      <c r="K408">
        <f>G408</f>
        <v/>
      </c>
    </row>
    <row r="409">
      <c r="E409">
        <f>D409*VLOOKUP(A409,04_PROYECTOS!$A:$N,5,FALSE)*(INDEX(02B_ESCENARIOS!$B$4:$D$11, MATCH("MULT_PRECIO", 02B_ESCENARIOS!$A$4:$A$11, 0), MATCH("Agresivo", 02B_ESCENARIOS!$B$3:$D$3, 0)))*INDEX(02B_ESCENARIOS!$B$15:$D$19, MATCH(VLOOKUP(A409,04_PROYECTOS!$A:$N,9,FALSE), 02B_ESCENARIOS!$A$15:$A$19, 0), MATCH("Agresivo", 02B_ESCENARIOS!$B$14:$D$14, 0))</f>
        <v/>
      </c>
      <c r="F409">
        <f>E409*VLOOKUP(A409,04_PROYECTOS!$A:$N,6,FALSE)</f>
        <v/>
      </c>
      <c r="G409">
        <f>E409+F409</f>
        <v/>
      </c>
      <c r="H409">
        <f>IF(VLOOKUP(A409,04_PROYECTOS!$A:$N,10,FALSE)="", IF(VLOOKUP(A409,04_PROYECTOS!$A:$N,4,FALSE)="Privado", INDEX(02B_ESCENARIOS!$B$4:$D$11, MATCH("DSO_PRIVADO_DEFAULT", 02B_ESCENARIOS!$A$4:$A$11, 0), MATCH("Agresivo", 02B_ESCENARIOS!$B$3:$D$3, 0)), IF(VLOOKUP(A409,04_PROYECTOS!$A:$N,4,FALSE)="Publico_&lt;10M",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VLOOKUP(A409,04_PROYECTOS!$A:$N,10,FALSE))</f>
        <v/>
      </c>
      <c r="I409">
        <f>ROUNDUP(H409/30,0)</f>
        <v/>
      </c>
      <c r="J409">
        <f>EDATE(C409,I409)</f>
        <v/>
      </c>
      <c r="K409">
        <f>G409</f>
        <v/>
      </c>
    </row>
    <row r="410">
      <c r="E410">
        <f>D410*VLOOKUP(A410,04_PROYECTOS!$A:$N,5,FALSE)*(INDEX(02B_ESCENARIOS!$B$4:$D$11, MATCH("MULT_PRECIO", 02B_ESCENARIOS!$A$4:$A$11, 0), MATCH("Agresivo", 02B_ESCENARIOS!$B$3:$D$3, 0)))*INDEX(02B_ESCENARIOS!$B$15:$D$19, MATCH(VLOOKUP(A410,04_PROYECTOS!$A:$N,9,FALSE), 02B_ESCENARIOS!$A$15:$A$19, 0), MATCH("Agresivo", 02B_ESCENARIOS!$B$14:$D$14, 0))</f>
        <v/>
      </c>
      <c r="F410">
        <f>E410*VLOOKUP(A410,04_PROYECTOS!$A:$N,6,FALSE)</f>
        <v/>
      </c>
      <c r="G410">
        <f>E410+F410</f>
        <v/>
      </c>
      <c r="H410">
        <f>IF(VLOOKUP(A410,04_PROYECTOS!$A:$N,10,FALSE)="", IF(VLOOKUP(A410,04_PROYECTOS!$A:$N,4,FALSE)="Privado", INDEX(02B_ESCENARIOS!$B$4:$D$11, MATCH("DSO_PRIVADO_DEFAULT", 02B_ESCENARIOS!$A$4:$A$11, 0), MATCH("Agresivo", 02B_ESCENARIOS!$B$3:$D$3, 0)), IF(VLOOKUP(A410,04_PROYECTOS!$A:$N,4,FALSE)="Publico_&lt;10M",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VLOOKUP(A410,04_PROYECTOS!$A:$N,10,FALSE))</f>
        <v/>
      </c>
      <c r="I410">
        <f>ROUNDUP(H410/30,0)</f>
        <v/>
      </c>
      <c r="J410">
        <f>EDATE(C410,I410)</f>
        <v/>
      </c>
      <c r="K410">
        <f>G410</f>
        <v/>
      </c>
    </row>
    <row r="411">
      <c r="E411">
        <f>D411*VLOOKUP(A411,04_PROYECTOS!$A:$N,5,FALSE)*(INDEX(02B_ESCENARIOS!$B$4:$D$11, MATCH("MULT_PRECIO", 02B_ESCENARIOS!$A$4:$A$11, 0), MATCH("Agresivo", 02B_ESCENARIOS!$B$3:$D$3, 0)))*INDEX(02B_ESCENARIOS!$B$15:$D$19, MATCH(VLOOKUP(A411,04_PROYECTOS!$A:$N,9,FALSE), 02B_ESCENARIOS!$A$15:$A$19, 0), MATCH("Agresivo", 02B_ESCENARIOS!$B$14:$D$14, 0))</f>
        <v/>
      </c>
      <c r="F411">
        <f>E411*VLOOKUP(A411,04_PROYECTOS!$A:$N,6,FALSE)</f>
        <v/>
      </c>
      <c r="G411">
        <f>E411+F411</f>
        <v/>
      </c>
      <c r="H411">
        <f>IF(VLOOKUP(A411,04_PROYECTOS!$A:$N,10,FALSE)="", IF(VLOOKUP(A411,04_PROYECTOS!$A:$N,4,FALSE)="Privado", INDEX(02B_ESCENARIOS!$B$4:$D$11, MATCH("DSO_PRIVADO_DEFAULT", 02B_ESCENARIOS!$A$4:$A$11, 0), MATCH("Agresivo", 02B_ESCENARIOS!$B$3:$D$3, 0)), IF(VLOOKUP(A411,04_PROYECTOS!$A:$N,4,FALSE)="Publico_&lt;10M",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VLOOKUP(A411,04_PROYECTOS!$A:$N,10,FALSE))</f>
        <v/>
      </c>
      <c r="I411">
        <f>ROUNDUP(H411/30,0)</f>
        <v/>
      </c>
      <c r="J411">
        <f>EDATE(C411,I411)</f>
        <v/>
      </c>
      <c r="K411">
        <f>G411</f>
        <v/>
      </c>
    </row>
    <row r="412">
      <c r="E412">
        <f>D412*VLOOKUP(A412,04_PROYECTOS!$A:$N,5,FALSE)*(INDEX(02B_ESCENARIOS!$B$4:$D$11, MATCH("MULT_PRECIO", 02B_ESCENARIOS!$A$4:$A$11, 0), MATCH("Agresivo", 02B_ESCENARIOS!$B$3:$D$3, 0)))*INDEX(02B_ESCENARIOS!$B$15:$D$19, MATCH(VLOOKUP(A412,04_PROYECTOS!$A:$N,9,FALSE), 02B_ESCENARIOS!$A$15:$A$19, 0), MATCH("Agresivo", 02B_ESCENARIOS!$B$14:$D$14, 0))</f>
        <v/>
      </c>
      <c r="F412">
        <f>E412*VLOOKUP(A412,04_PROYECTOS!$A:$N,6,FALSE)</f>
        <v/>
      </c>
      <c r="G412">
        <f>E412+F412</f>
        <v/>
      </c>
      <c r="H412">
        <f>IF(VLOOKUP(A412,04_PROYECTOS!$A:$N,10,FALSE)="", IF(VLOOKUP(A412,04_PROYECTOS!$A:$N,4,FALSE)="Privado", INDEX(02B_ESCENARIOS!$B$4:$D$11, MATCH("DSO_PRIVADO_DEFAULT", 02B_ESCENARIOS!$A$4:$A$11, 0), MATCH("Agresivo", 02B_ESCENARIOS!$B$3:$D$3, 0)), IF(VLOOKUP(A412,04_PROYECTOS!$A:$N,4,FALSE)="Publico_&lt;10M",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VLOOKUP(A412,04_PROYECTOS!$A:$N,10,FALSE))</f>
        <v/>
      </c>
      <c r="I412">
        <f>ROUNDUP(H412/30,0)</f>
        <v/>
      </c>
      <c r="J412">
        <f>EDATE(C412,I412)</f>
        <v/>
      </c>
      <c r="K412">
        <f>G412</f>
        <v/>
      </c>
    </row>
    <row r="413">
      <c r="E413">
        <f>D413*VLOOKUP(A413,04_PROYECTOS!$A:$N,5,FALSE)*(INDEX(02B_ESCENARIOS!$B$4:$D$11, MATCH("MULT_PRECIO", 02B_ESCENARIOS!$A$4:$A$11, 0), MATCH("Agresivo", 02B_ESCENARIOS!$B$3:$D$3, 0)))*INDEX(02B_ESCENARIOS!$B$15:$D$19, MATCH(VLOOKUP(A413,04_PROYECTOS!$A:$N,9,FALSE), 02B_ESCENARIOS!$A$15:$A$19, 0), MATCH("Agresivo", 02B_ESCENARIOS!$B$14:$D$14, 0))</f>
        <v/>
      </c>
      <c r="F413">
        <f>E413*VLOOKUP(A413,04_PROYECTOS!$A:$N,6,FALSE)</f>
        <v/>
      </c>
      <c r="G413">
        <f>E413+F413</f>
        <v/>
      </c>
      <c r="H413">
        <f>IF(VLOOKUP(A413,04_PROYECTOS!$A:$N,10,FALSE)="", IF(VLOOKUP(A413,04_PROYECTOS!$A:$N,4,FALSE)="Privado", INDEX(02B_ESCENARIOS!$B$4:$D$11, MATCH("DSO_PRIVADO_DEFAULT", 02B_ESCENARIOS!$A$4:$A$11, 0), MATCH("Agresivo", 02B_ESCENARIOS!$B$3:$D$3, 0)), IF(VLOOKUP(A413,04_PROYECTOS!$A:$N,4,FALSE)="Publico_&lt;10M",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VLOOKUP(A413,04_PROYECTOS!$A:$N,10,FALSE))</f>
        <v/>
      </c>
      <c r="I413">
        <f>ROUNDUP(H413/30,0)</f>
        <v/>
      </c>
      <c r="J413">
        <f>EDATE(C413,I413)</f>
        <v/>
      </c>
      <c r="K413">
        <f>G413</f>
        <v/>
      </c>
    </row>
    <row r="414">
      <c r="E414">
        <f>D414*VLOOKUP(A414,04_PROYECTOS!$A:$N,5,FALSE)*(INDEX(02B_ESCENARIOS!$B$4:$D$11, MATCH("MULT_PRECIO", 02B_ESCENARIOS!$A$4:$A$11, 0), MATCH("Agresivo", 02B_ESCENARIOS!$B$3:$D$3, 0)))*INDEX(02B_ESCENARIOS!$B$15:$D$19, MATCH(VLOOKUP(A414,04_PROYECTOS!$A:$N,9,FALSE), 02B_ESCENARIOS!$A$15:$A$19, 0), MATCH("Agresivo", 02B_ESCENARIOS!$B$14:$D$14, 0))</f>
        <v/>
      </c>
      <c r="F414">
        <f>E414*VLOOKUP(A414,04_PROYECTOS!$A:$N,6,FALSE)</f>
        <v/>
      </c>
      <c r="G414">
        <f>E414+F414</f>
        <v/>
      </c>
      <c r="H414">
        <f>IF(VLOOKUP(A414,04_PROYECTOS!$A:$N,10,FALSE)="", IF(VLOOKUP(A414,04_PROYECTOS!$A:$N,4,FALSE)="Privado", INDEX(02B_ESCENARIOS!$B$4:$D$11, MATCH("DSO_PRIVADO_DEFAULT", 02B_ESCENARIOS!$A$4:$A$11, 0), MATCH("Agresivo", 02B_ESCENARIOS!$B$3:$D$3, 0)), IF(VLOOKUP(A414,04_PROYECTOS!$A:$N,4,FALSE)="Publico_&lt;10M",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VLOOKUP(A414,04_PROYECTOS!$A:$N,10,FALSE))</f>
        <v/>
      </c>
      <c r="I414">
        <f>ROUNDUP(H414/30,0)</f>
        <v/>
      </c>
      <c r="J414">
        <f>EDATE(C414,I414)</f>
        <v/>
      </c>
      <c r="K414">
        <f>G414</f>
        <v/>
      </c>
    </row>
    <row r="415">
      <c r="E415">
        <f>D415*VLOOKUP(A415,04_PROYECTOS!$A:$N,5,FALSE)*(INDEX(02B_ESCENARIOS!$B$4:$D$11, MATCH("MULT_PRECIO", 02B_ESCENARIOS!$A$4:$A$11, 0), MATCH("Agresivo", 02B_ESCENARIOS!$B$3:$D$3, 0)))*INDEX(02B_ESCENARIOS!$B$15:$D$19, MATCH(VLOOKUP(A415,04_PROYECTOS!$A:$N,9,FALSE), 02B_ESCENARIOS!$A$15:$A$19, 0), MATCH("Agresivo", 02B_ESCENARIOS!$B$14:$D$14, 0))</f>
        <v/>
      </c>
      <c r="F415">
        <f>E415*VLOOKUP(A415,04_PROYECTOS!$A:$N,6,FALSE)</f>
        <v/>
      </c>
      <c r="G415">
        <f>E415+F415</f>
        <v/>
      </c>
      <c r="H415">
        <f>IF(VLOOKUP(A415,04_PROYECTOS!$A:$N,10,FALSE)="", IF(VLOOKUP(A415,04_PROYECTOS!$A:$N,4,FALSE)="Privado", INDEX(02B_ESCENARIOS!$B$4:$D$11, MATCH("DSO_PRIVADO_DEFAULT", 02B_ESCENARIOS!$A$4:$A$11, 0), MATCH("Agresivo", 02B_ESCENARIOS!$B$3:$D$3, 0)), IF(VLOOKUP(A415,04_PROYECTOS!$A:$N,4,FALSE)="Publico_&lt;10M",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VLOOKUP(A415,04_PROYECTOS!$A:$N,10,FALSE))</f>
        <v/>
      </c>
      <c r="I415">
        <f>ROUNDUP(H415/30,0)</f>
        <v/>
      </c>
      <c r="J415">
        <f>EDATE(C415,I415)</f>
        <v/>
      </c>
      <c r="K415">
        <f>G415</f>
        <v/>
      </c>
    </row>
    <row r="416">
      <c r="E416">
        <f>D416*VLOOKUP(A416,04_PROYECTOS!$A:$N,5,FALSE)*(INDEX(02B_ESCENARIOS!$B$4:$D$11, MATCH("MULT_PRECIO", 02B_ESCENARIOS!$A$4:$A$11, 0), MATCH("Agresivo", 02B_ESCENARIOS!$B$3:$D$3, 0)))*INDEX(02B_ESCENARIOS!$B$15:$D$19, MATCH(VLOOKUP(A416,04_PROYECTOS!$A:$N,9,FALSE), 02B_ESCENARIOS!$A$15:$A$19, 0), MATCH("Agresivo", 02B_ESCENARIOS!$B$14:$D$14, 0))</f>
        <v/>
      </c>
      <c r="F416">
        <f>E416*VLOOKUP(A416,04_PROYECTOS!$A:$N,6,FALSE)</f>
        <v/>
      </c>
      <c r="G416">
        <f>E416+F416</f>
        <v/>
      </c>
      <c r="H416">
        <f>IF(VLOOKUP(A416,04_PROYECTOS!$A:$N,10,FALSE)="", IF(VLOOKUP(A416,04_PROYECTOS!$A:$N,4,FALSE)="Privado", INDEX(02B_ESCENARIOS!$B$4:$D$11, MATCH("DSO_PRIVADO_DEFAULT", 02B_ESCENARIOS!$A$4:$A$11, 0), MATCH("Agresivo", 02B_ESCENARIOS!$B$3:$D$3, 0)), IF(VLOOKUP(A416,04_PROYECTOS!$A:$N,4,FALSE)="Publico_&lt;10M",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VLOOKUP(A416,04_PROYECTOS!$A:$N,10,FALSE))</f>
        <v/>
      </c>
      <c r="I416">
        <f>ROUNDUP(H416/30,0)</f>
        <v/>
      </c>
      <c r="J416">
        <f>EDATE(C416,I416)</f>
        <v/>
      </c>
      <c r="K416">
        <f>G416</f>
        <v/>
      </c>
    </row>
    <row r="417">
      <c r="E417">
        <f>D417*VLOOKUP(A417,04_PROYECTOS!$A:$N,5,FALSE)*(INDEX(02B_ESCENARIOS!$B$4:$D$11, MATCH("MULT_PRECIO", 02B_ESCENARIOS!$A$4:$A$11, 0), MATCH("Agresivo", 02B_ESCENARIOS!$B$3:$D$3, 0)))*INDEX(02B_ESCENARIOS!$B$15:$D$19, MATCH(VLOOKUP(A417,04_PROYECTOS!$A:$N,9,FALSE), 02B_ESCENARIOS!$A$15:$A$19, 0), MATCH("Agresivo", 02B_ESCENARIOS!$B$14:$D$14, 0))</f>
        <v/>
      </c>
      <c r="F417">
        <f>E417*VLOOKUP(A417,04_PROYECTOS!$A:$N,6,FALSE)</f>
        <v/>
      </c>
      <c r="G417">
        <f>E417+F417</f>
        <v/>
      </c>
      <c r="H417">
        <f>IF(VLOOKUP(A417,04_PROYECTOS!$A:$N,10,FALSE)="", IF(VLOOKUP(A417,04_PROYECTOS!$A:$N,4,FALSE)="Privado", INDEX(02B_ESCENARIOS!$B$4:$D$11, MATCH("DSO_PRIVADO_DEFAULT", 02B_ESCENARIOS!$A$4:$A$11, 0), MATCH("Agresivo", 02B_ESCENARIOS!$B$3:$D$3, 0)), IF(VLOOKUP(A417,04_PROYECTOS!$A:$N,4,FALSE)="Publico_&lt;10M",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VLOOKUP(A417,04_PROYECTOS!$A:$N,10,FALSE))</f>
        <v/>
      </c>
      <c r="I417">
        <f>ROUNDUP(H417/30,0)</f>
        <v/>
      </c>
      <c r="J417">
        <f>EDATE(C417,I417)</f>
        <v/>
      </c>
      <c r="K417">
        <f>G417</f>
        <v/>
      </c>
    </row>
    <row r="418">
      <c r="E418">
        <f>D418*VLOOKUP(A418,04_PROYECTOS!$A:$N,5,FALSE)*(INDEX(02B_ESCENARIOS!$B$4:$D$11, MATCH("MULT_PRECIO", 02B_ESCENARIOS!$A$4:$A$11, 0), MATCH("Agresivo", 02B_ESCENARIOS!$B$3:$D$3, 0)))*INDEX(02B_ESCENARIOS!$B$15:$D$19, MATCH(VLOOKUP(A418,04_PROYECTOS!$A:$N,9,FALSE), 02B_ESCENARIOS!$A$15:$A$19, 0), MATCH("Agresivo", 02B_ESCENARIOS!$B$14:$D$14, 0))</f>
        <v/>
      </c>
      <c r="F418">
        <f>E418*VLOOKUP(A418,04_PROYECTOS!$A:$N,6,FALSE)</f>
        <v/>
      </c>
      <c r="G418">
        <f>E418+F418</f>
        <v/>
      </c>
      <c r="H418">
        <f>IF(VLOOKUP(A418,04_PROYECTOS!$A:$N,10,FALSE)="", IF(VLOOKUP(A418,04_PROYECTOS!$A:$N,4,FALSE)="Privado", INDEX(02B_ESCENARIOS!$B$4:$D$11, MATCH("DSO_PRIVADO_DEFAULT", 02B_ESCENARIOS!$A$4:$A$11, 0), MATCH("Agresivo", 02B_ESCENARIOS!$B$3:$D$3, 0)), IF(VLOOKUP(A418,04_PROYECTOS!$A:$N,4,FALSE)="Publico_&lt;10M",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VLOOKUP(A418,04_PROYECTOS!$A:$N,10,FALSE))</f>
        <v/>
      </c>
      <c r="I418">
        <f>ROUNDUP(H418/30,0)</f>
        <v/>
      </c>
      <c r="J418">
        <f>EDATE(C418,I418)</f>
        <v/>
      </c>
      <c r="K418">
        <f>G418</f>
        <v/>
      </c>
    </row>
    <row r="419">
      <c r="E419">
        <f>D419*VLOOKUP(A419,04_PROYECTOS!$A:$N,5,FALSE)*(INDEX(02B_ESCENARIOS!$B$4:$D$11, MATCH("MULT_PRECIO", 02B_ESCENARIOS!$A$4:$A$11, 0), MATCH("Agresivo", 02B_ESCENARIOS!$B$3:$D$3, 0)))*INDEX(02B_ESCENARIOS!$B$15:$D$19, MATCH(VLOOKUP(A419,04_PROYECTOS!$A:$N,9,FALSE), 02B_ESCENARIOS!$A$15:$A$19, 0), MATCH("Agresivo", 02B_ESCENARIOS!$B$14:$D$14, 0))</f>
        <v/>
      </c>
      <c r="F419">
        <f>E419*VLOOKUP(A419,04_PROYECTOS!$A:$N,6,FALSE)</f>
        <v/>
      </c>
      <c r="G419">
        <f>E419+F419</f>
        <v/>
      </c>
      <c r="H419">
        <f>IF(VLOOKUP(A419,04_PROYECTOS!$A:$N,10,FALSE)="", IF(VLOOKUP(A419,04_PROYECTOS!$A:$N,4,FALSE)="Privado", INDEX(02B_ESCENARIOS!$B$4:$D$11, MATCH("DSO_PRIVADO_DEFAULT", 02B_ESCENARIOS!$A$4:$A$11, 0), MATCH("Agresivo", 02B_ESCENARIOS!$B$3:$D$3, 0)), IF(VLOOKUP(A419,04_PROYECTOS!$A:$N,4,FALSE)="Publico_&lt;10M",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VLOOKUP(A419,04_PROYECTOS!$A:$N,10,FALSE))</f>
        <v/>
      </c>
      <c r="I419">
        <f>ROUNDUP(H419/30,0)</f>
        <v/>
      </c>
      <c r="J419">
        <f>EDATE(C419,I419)</f>
        <v/>
      </c>
      <c r="K419">
        <f>G419</f>
        <v/>
      </c>
    </row>
    <row r="420">
      <c r="E420">
        <f>D420*VLOOKUP(A420,04_PROYECTOS!$A:$N,5,FALSE)*(INDEX(02B_ESCENARIOS!$B$4:$D$11, MATCH("MULT_PRECIO", 02B_ESCENARIOS!$A$4:$A$11, 0), MATCH("Agresivo", 02B_ESCENARIOS!$B$3:$D$3, 0)))*INDEX(02B_ESCENARIOS!$B$15:$D$19, MATCH(VLOOKUP(A420,04_PROYECTOS!$A:$N,9,FALSE), 02B_ESCENARIOS!$A$15:$A$19, 0), MATCH("Agresivo", 02B_ESCENARIOS!$B$14:$D$14, 0))</f>
        <v/>
      </c>
      <c r="F420">
        <f>E420*VLOOKUP(A420,04_PROYECTOS!$A:$N,6,FALSE)</f>
        <v/>
      </c>
      <c r="G420">
        <f>E420+F420</f>
        <v/>
      </c>
      <c r="H420">
        <f>IF(VLOOKUP(A420,04_PROYECTOS!$A:$N,10,FALSE)="", IF(VLOOKUP(A420,04_PROYECTOS!$A:$N,4,FALSE)="Privado", INDEX(02B_ESCENARIOS!$B$4:$D$11, MATCH("DSO_PRIVADO_DEFAULT", 02B_ESCENARIOS!$A$4:$A$11, 0), MATCH("Agresivo", 02B_ESCENARIOS!$B$3:$D$3, 0)), IF(VLOOKUP(A420,04_PROYECTOS!$A:$N,4,FALSE)="Publico_&lt;10M",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VLOOKUP(A420,04_PROYECTOS!$A:$N,10,FALSE))</f>
        <v/>
      </c>
      <c r="I420">
        <f>ROUNDUP(H420/30,0)</f>
        <v/>
      </c>
      <c r="J420">
        <f>EDATE(C420,I420)</f>
        <v/>
      </c>
      <c r="K420">
        <f>G420</f>
        <v/>
      </c>
    </row>
    <row r="421">
      <c r="E421">
        <f>D421*VLOOKUP(A421,04_PROYECTOS!$A:$N,5,FALSE)*(INDEX(02B_ESCENARIOS!$B$4:$D$11, MATCH("MULT_PRECIO", 02B_ESCENARIOS!$A$4:$A$11, 0), MATCH("Agresivo", 02B_ESCENARIOS!$B$3:$D$3, 0)))*INDEX(02B_ESCENARIOS!$B$15:$D$19, MATCH(VLOOKUP(A421,04_PROYECTOS!$A:$N,9,FALSE), 02B_ESCENARIOS!$A$15:$A$19, 0), MATCH("Agresivo", 02B_ESCENARIOS!$B$14:$D$14, 0))</f>
        <v/>
      </c>
      <c r="F421">
        <f>E421*VLOOKUP(A421,04_PROYECTOS!$A:$N,6,FALSE)</f>
        <v/>
      </c>
      <c r="G421">
        <f>E421+F421</f>
        <v/>
      </c>
      <c r="H421">
        <f>IF(VLOOKUP(A421,04_PROYECTOS!$A:$N,10,FALSE)="", IF(VLOOKUP(A421,04_PROYECTOS!$A:$N,4,FALSE)="Privado", INDEX(02B_ESCENARIOS!$B$4:$D$11, MATCH("DSO_PRIVADO_DEFAULT", 02B_ESCENARIOS!$A$4:$A$11, 0), MATCH("Agresivo", 02B_ESCENARIOS!$B$3:$D$3, 0)), IF(VLOOKUP(A421,04_PROYECTOS!$A:$N,4,FALSE)="Publico_&lt;10M",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VLOOKUP(A421,04_PROYECTOS!$A:$N,10,FALSE))</f>
        <v/>
      </c>
      <c r="I421">
        <f>ROUNDUP(H421/30,0)</f>
        <v/>
      </c>
      <c r="J421">
        <f>EDATE(C421,I421)</f>
        <v/>
      </c>
      <c r="K421">
        <f>G421</f>
        <v/>
      </c>
    </row>
    <row r="422">
      <c r="E422">
        <f>D422*VLOOKUP(A422,04_PROYECTOS!$A:$N,5,FALSE)*(INDEX(02B_ESCENARIOS!$B$4:$D$11, MATCH("MULT_PRECIO", 02B_ESCENARIOS!$A$4:$A$11, 0), MATCH("Agresivo", 02B_ESCENARIOS!$B$3:$D$3, 0)))*INDEX(02B_ESCENARIOS!$B$15:$D$19, MATCH(VLOOKUP(A422,04_PROYECTOS!$A:$N,9,FALSE), 02B_ESCENARIOS!$A$15:$A$19, 0), MATCH("Agresivo", 02B_ESCENARIOS!$B$14:$D$14, 0))</f>
        <v/>
      </c>
      <c r="F422">
        <f>E422*VLOOKUP(A422,04_PROYECTOS!$A:$N,6,FALSE)</f>
        <v/>
      </c>
      <c r="G422">
        <f>E422+F422</f>
        <v/>
      </c>
      <c r="H422">
        <f>IF(VLOOKUP(A422,04_PROYECTOS!$A:$N,10,FALSE)="", IF(VLOOKUP(A422,04_PROYECTOS!$A:$N,4,FALSE)="Privado", INDEX(02B_ESCENARIOS!$B$4:$D$11, MATCH("DSO_PRIVADO_DEFAULT", 02B_ESCENARIOS!$A$4:$A$11, 0), MATCH("Agresivo", 02B_ESCENARIOS!$B$3:$D$3, 0)), IF(VLOOKUP(A422,04_PROYECTOS!$A:$N,4,FALSE)="Publico_&lt;10M",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VLOOKUP(A422,04_PROYECTOS!$A:$N,10,FALSE))</f>
        <v/>
      </c>
      <c r="I422">
        <f>ROUNDUP(H422/30,0)</f>
        <v/>
      </c>
      <c r="J422">
        <f>EDATE(C422,I422)</f>
        <v/>
      </c>
      <c r="K422">
        <f>G422</f>
        <v/>
      </c>
    </row>
    <row r="423">
      <c r="E423">
        <f>D423*VLOOKUP(A423,04_PROYECTOS!$A:$N,5,FALSE)*(INDEX(02B_ESCENARIOS!$B$4:$D$11, MATCH("MULT_PRECIO", 02B_ESCENARIOS!$A$4:$A$11, 0), MATCH("Agresivo", 02B_ESCENARIOS!$B$3:$D$3, 0)))*INDEX(02B_ESCENARIOS!$B$15:$D$19, MATCH(VLOOKUP(A423,04_PROYECTOS!$A:$N,9,FALSE), 02B_ESCENARIOS!$A$15:$A$19, 0), MATCH("Agresivo", 02B_ESCENARIOS!$B$14:$D$14, 0))</f>
        <v/>
      </c>
      <c r="F423">
        <f>E423*VLOOKUP(A423,04_PROYECTOS!$A:$N,6,FALSE)</f>
        <v/>
      </c>
      <c r="G423">
        <f>E423+F423</f>
        <v/>
      </c>
      <c r="H423">
        <f>IF(VLOOKUP(A423,04_PROYECTOS!$A:$N,10,FALSE)="", IF(VLOOKUP(A423,04_PROYECTOS!$A:$N,4,FALSE)="Privado", INDEX(02B_ESCENARIOS!$B$4:$D$11, MATCH("DSO_PRIVADO_DEFAULT", 02B_ESCENARIOS!$A$4:$A$11, 0), MATCH("Agresivo", 02B_ESCENARIOS!$B$3:$D$3, 0)), IF(VLOOKUP(A423,04_PROYECTOS!$A:$N,4,FALSE)="Publico_&lt;10M",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VLOOKUP(A423,04_PROYECTOS!$A:$N,10,FALSE))</f>
        <v/>
      </c>
      <c r="I423">
        <f>ROUNDUP(H423/30,0)</f>
        <v/>
      </c>
      <c r="J423">
        <f>EDATE(C423,I423)</f>
        <v/>
      </c>
      <c r="K423">
        <f>G423</f>
        <v/>
      </c>
    </row>
    <row r="424">
      <c r="E424">
        <f>D424*VLOOKUP(A424,04_PROYECTOS!$A:$N,5,FALSE)*(INDEX(02B_ESCENARIOS!$B$4:$D$11, MATCH("MULT_PRECIO", 02B_ESCENARIOS!$A$4:$A$11, 0), MATCH("Agresivo", 02B_ESCENARIOS!$B$3:$D$3, 0)))*INDEX(02B_ESCENARIOS!$B$15:$D$19, MATCH(VLOOKUP(A424,04_PROYECTOS!$A:$N,9,FALSE), 02B_ESCENARIOS!$A$15:$A$19, 0), MATCH("Agresivo", 02B_ESCENARIOS!$B$14:$D$14, 0))</f>
        <v/>
      </c>
      <c r="F424">
        <f>E424*VLOOKUP(A424,04_PROYECTOS!$A:$N,6,FALSE)</f>
        <v/>
      </c>
      <c r="G424">
        <f>E424+F424</f>
        <v/>
      </c>
      <c r="H424">
        <f>IF(VLOOKUP(A424,04_PROYECTOS!$A:$N,10,FALSE)="", IF(VLOOKUP(A424,04_PROYECTOS!$A:$N,4,FALSE)="Privado", INDEX(02B_ESCENARIOS!$B$4:$D$11, MATCH("DSO_PRIVADO_DEFAULT", 02B_ESCENARIOS!$A$4:$A$11, 0), MATCH("Agresivo", 02B_ESCENARIOS!$B$3:$D$3, 0)), IF(VLOOKUP(A424,04_PROYECTOS!$A:$N,4,FALSE)="Publico_&lt;10M",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VLOOKUP(A424,04_PROYECTOS!$A:$N,10,FALSE))</f>
        <v/>
      </c>
      <c r="I424">
        <f>ROUNDUP(H424/30,0)</f>
        <v/>
      </c>
      <c r="J424">
        <f>EDATE(C424,I424)</f>
        <v/>
      </c>
      <c r="K424">
        <f>G424</f>
        <v/>
      </c>
    </row>
    <row r="425">
      <c r="E425">
        <f>D425*VLOOKUP(A425,04_PROYECTOS!$A:$N,5,FALSE)*(INDEX(02B_ESCENARIOS!$B$4:$D$11, MATCH("MULT_PRECIO", 02B_ESCENARIOS!$A$4:$A$11, 0), MATCH("Agresivo", 02B_ESCENARIOS!$B$3:$D$3, 0)))*INDEX(02B_ESCENARIOS!$B$15:$D$19, MATCH(VLOOKUP(A425,04_PROYECTOS!$A:$N,9,FALSE), 02B_ESCENARIOS!$A$15:$A$19, 0), MATCH("Agresivo", 02B_ESCENARIOS!$B$14:$D$14, 0))</f>
        <v/>
      </c>
      <c r="F425">
        <f>E425*VLOOKUP(A425,04_PROYECTOS!$A:$N,6,FALSE)</f>
        <v/>
      </c>
      <c r="G425">
        <f>E425+F425</f>
        <v/>
      </c>
      <c r="H425">
        <f>IF(VLOOKUP(A425,04_PROYECTOS!$A:$N,10,FALSE)="", IF(VLOOKUP(A425,04_PROYECTOS!$A:$N,4,FALSE)="Privado", INDEX(02B_ESCENARIOS!$B$4:$D$11, MATCH("DSO_PRIVADO_DEFAULT", 02B_ESCENARIOS!$A$4:$A$11, 0), MATCH("Agresivo", 02B_ESCENARIOS!$B$3:$D$3, 0)), IF(VLOOKUP(A425,04_PROYECTOS!$A:$N,4,FALSE)="Publico_&lt;10M",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VLOOKUP(A425,04_PROYECTOS!$A:$N,10,FALSE))</f>
        <v/>
      </c>
      <c r="I425">
        <f>ROUNDUP(H425/30,0)</f>
        <v/>
      </c>
      <c r="J425">
        <f>EDATE(C425,I425)</f>
        <v/>
      </c>
      <c r="K425">
        <f>G425</f>
        <v/>
      </c>
    </row>
    <row r="426">
      <c r="E426">
        <f>D426*VLOOKUP(A426,04_PROYECTOS!$A:$N,5,FALSE)*(INDEX(02B_ESCENARIOS!$B$4:$D$11, MATCH("MULT_PRECIO", 02B_ESCENARIOS!$A$4:$A$11, 0), MATCH("Agresivo", 02B_ESCENARIOS!$B$3:$D$3, 0)))*INDEX(02B_ESCENARIOS!$B$15:$D$19, MATCH(VLOOKUP(A426,04_PROYECTOS!$A:$N,9,FALSE), 02B_ESCENARIOS!$A$15:$A$19, 0), MATCH("Agresivo", 02B_ESCENARIOS!$B$14:$D$14, 0))</f>
        <v/>
      </c>
      <c r="F426">
        <f>E426*VLOOKUP(A426,04_PROYECTOS!$A:$N,6,FALSE)</f>
        <v/>
      </c>
      <c r="G426">
        <f>E426+F426</f>
        <v/>
      </c>
      <c r="H426">
        <f>IF(VLOOKUP(A426,04_PROYECTOS!$A:$N,10,FALSE)="", IF(VLOOKUP(A426,04_PROYECTOS!$A:$N,4,FALSE)="Privado", INDEX(02B_ESCENARIOS!$B$4:$D$11, MATCH("DSO_PRIVADO_DEFAULT", 02B_ESCENARIOS!$A$4:$A$11, 0), MATCH("Agresivo", 02B_ESCENARIOS!$B$3:$D$3, 0)), IF(VLOOKUP(A426,04_PROYECTOS!$A:$N,4,FALSE)="Publico_&lt;10M",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VLOOKUP(A426,04_PROYECTOS!$A:$N,10,FALSE))</f>
        <v/>
      </c>
      <c r="I426">
        <f>ROUNDUP(H426/30,0)</f>
        <v/>
      </c>
      <c r="J426">
        <f>EDATE(C426,I426)</f>
        <v/>
      </c>
      <c r="K426">
        <f>G426</f>
        <v/>
      </c>
    </row>
    <row r="427">
      <c r="E427">
        <f>D427*VLOOKUP(A427,04_PROYECTOS!$A:$N,5,FALSE)*(INDEX(02B_ESCENARIOS!$B$4:$D$11, MATCH("MULT_PRECIO", 02B_ESCENARIOS!$A$4:$A$11, 0), MATCH("Agresivo", 02B_ESCENARIOS!$B$3:$D$3, 0)))*INDEX(02B_ESCENARIOS!$B$15:$D$19, MATCH(VLOOKUP(A427,04_PROYECTOS!$A:$N,9,FALSE), 02B_ESCENARIOS!$A$15:$A$19, 0), MATCH("Agresivo", 02B_ESCENARIOS!$B$14:$D$14, 0))</f>
        <v/>
      </c>
      <c r="F427">
        <f>E427*VLOOKUP(A427,04_PROYECTOS!$A:$N,6,FALSE)</f>
        <v/>
      </c>
      <c r="G427">
        <f>E427+F427</f>
        <v/>
      </c>
      <c r="H427">
        <f>IF(VLOOKUP(A427,04_PROYECTOS!$A:$N,10,FALSE)="", IF(VLOOKUP(A427,04_PROYECTOS!$A:$N,4,FALSE)="Privado", INDEX(02B_ESCENARIOS!$B$4:$D$11, MATCH("DSO_PRIVADO_DEFAULT", 02B_ESCENARIOS!$A$4:$A$11, 0), MATCH("Agresivo", 02B_ESCENARIOS!$B$3:$D$3, 0)), IF(VLOOKUP(A427,04_PROYECTOS!$A:$N,4,FALSE)="Publico_&lt;10M",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VLOOKUP(A427,04_PROYECTOS!$A:$N,10,FALSE))</f>
        <v/>
      </c>
      <c r="I427">
        <f>ROUNDUP(H427/30,0)</f>
        <v/>
      </c>
      <c r="J427">
        <f>EDATE(C427,I427)</f>
        <v/>
      </c>
      <c r="K427">
        <f>G427</f>
        <v/>
      </c>
    </row>
    <row r="428">
      <c r="E428">
        <f>D428*VLOOKUP(A428,04_PROYECTOS!$A:$N,5,FALSE)*(INDEX(02B_ESCENARIOS!$B$4:$D$11, MATCH("MULT_PRECIO", 02B_ESCENARIOS!$A$4:$A$11, 0), MATCH("Agresivo", 02B_ESCENARIOS!$B$3:$D$3, 0)))*INDEX(02B_ESCENARIOS!$B$15:$D$19, MATCH(VLOOKUP(A428,04_PROYECTOS!$A:$N,9,FALSE), 02B_ESCENARIOS!$A$15:$A$19, 0), MATCH("Agresivo", 02B_ESCENARIOS!$B$14:$D$14, 0))</f>
        <v/>
      </c>
      <c r="F428">
        <f>E428*VLOOKUP(A428,04_PROYECTOS!$A:$N,6,FALSE)</f>
        <v/>
      </c>
      <c r="G428">
        <f>E428+F428</f>
        <v/>
      </c>
      <c r="H428">
        <f>IF(VLOOKUP(A428,04_PROYECTOS!$A:$N,10,FALSE)="", IF(VLOOKUP(A428,04_PROYECTOS!$A:$N,4,FALSE)="Privado", INDEX(02B_ESCENARIOS!$B$4:$D$11, MATCH("DSO_PRIVADO_DEFAULT", 02B_ESCENARIOS!$A$4:$A$11, 0), MATCH("Agresivo", 02B_ESCENARIOS!$B$3:$D$3, 0)), IF(VLOOKUP(A428,04_PROYECTOS!$A:$N,4,FALSE)="Publico_&lt;10M",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VLOOKUP(A428,04_PROYECTOS!$A:$N,10,FALSE))</f>
        <v/>
      </c>
      <c r="I428">
        <f>ROUNDUP(H428/30,0)</f>
        <v/>
      </c>
      <c r="J428">
        <f>EDATE(C428,I428)</f>
        <v/>
      </c>
      <c r="K428">
        <f>G428</f>
        <v/>
      </c>
    </row>
    <row r="429">
      <c r="E429">
        <f>D429*VLOOKUP(A429,04_PROYECTOS!$A:$N,5,FALSE)*(INDEX(02B_ESCENARIOS!$B$4:$D$11, MATCH("MULT_PRECIO", 02B_ESCENARIOS!$A$4:$A$11, 0), MATCH("Agresivo", 02B_ESCENARIOS!$B$3:$D$3, 0)))*INDEX(02B_ESCENARIOS!$B$15:$D$19, MATCH(VLOOKUP(A429,04_PROYECTOS!$A:$N,9,FALSE), 02B_ESCENARIOS!$A$15:$A$19, 0), MATCH("Agresivo", 02B_ESCENARIOS!$B$14:$D$14, 0))</f>
        <v/>
      </c>
      <c r="F429">
        <f>E429*VLOOKUP(A429,04_PROYECTOS!$A:$N,6,FALSE)</f>
        <v/>
      </c>
      <c r="G429">
        <f>E429+F429</f>
        <v/>
      </c>
      <c r="H429">
        <f>IF(VLOOKUP(A429,04_PROYECTOS!$A:$N,10,FALSE)="", IF(VLOOKUP(A429,04_PROYECTOS!$A:$N,4,FALSE)="Privado", INDEX(02B_ESCENARIOS!$B$4:$D$11, MATCH("DSO_PRIVADO_DEFAULT", 02B_ESCENARIOS!$A$4:$A$11, 0), MATCH("Agresivo", 02B_ESCENARIOS!$B$3:$D$3, 0)), IF(VLOOKUP(A429,04_PROYECTOS!$A:$N,4,FALSE)="Publico_&lt;10M",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VLOOKUP(A429,04_PROYECTOS!$A:$N,10,FALSE))</f>
        <v/>
      </c>
      <c r="I429">
        <f>ROUNDUP(H429/30,0)</f>
        <v/>
      </c>
      <c r="J429">
        <f>EDATE(C429,I429)</f>
        <v/>
      </c>
      <c r="K429">
        <f>G429</f>
        <v/>
      </c>
    </row>
    <row r="430">
      <c r="E430">
        <f>D430*VLOOKUP(A430,04_PROYECTOS!$A:$N,5,FALSE)*(INDEX(02B_ESCENARIOS!$B$4:$D$11, MATCH("MULT_PRECIO", 02B_ESCENARIOS!$A$4:$A$11, 0), MATCH("Agresivo", 02B_ESCENARIOS!$B$3:$D$3, 0)))*INDEX(02B_ESCENARIOS!$B$15:$D$19, MATCH(VLOOKUP(A430,04_PROYECTOS!$A:$N,9,FALSE), 02B_ESCENARIOS!$A$15:$A$19, 0), MATCH("Agresivo", 02B_ESCENARIOS!$B$14:$D$14, 0))</f>
        <v/>
      </c>
      <c r="F430">
        <f>E430*VLOOKUP(A430,04_PROYECTOS!$A:$N,6,FALSE)</f>
        <v/>
      </c>
      <c r="G430">
        <f>E430+F430</f>
        <v/>
      </c>
      <c r="H430">
        <f>IF(VLOOKUP(A430,04_PROYECTOS!$A:$N,10,FALSE)="", IF(VLOOKUP(A430,04_PROYECTOS!$A:$N,4,FALSE)="Privado", INDEX(02B_ESCENARIOS!$B$4:$D$11, MATCH("DSO_PRIVADO_DEFAULT", 02B_ESCENARIOS!$A$4:$A$11, 0), MATCH("Agresivo", 02B_ESCENARIOS!$B$3:$D$3, 0)), IF(VLOOKUP(A430,04_PROYECTOS!$A:$N,4,FALSE)="Publico_&lt;10M",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VLOOKUP(A430,04_PROYECTOS!$A:$N,10,FALSE))</f>
        <v/>
      </c>
      <c r="I430">
        <f>ROUNDUP(H430/30,0)</f>
        <v/>
      </c>
      <c r="J430">
        <f>EDATE(C430,I430)</f>
        <v/>
      </c>
      <c r="K430">
        <f>G430</f>
        <v/>
      </c>
    </row>
    <row r="431">
      <c r="E431">
        <f>D431*VLOOKUP(A431,04_PROYECTOS!$A:$N,5,FALSE)*(INDEX(02B_ESCENARIOS!$B$4:$D$11, MATCH("MULT_PRECIO", 02B_ESCENARIOS!$A$4:$A$11, 0), MATCH("Agresivo", 02B_ESCENARIOS!$B$3:$D$3, 0)))*INDEX(02B_ESCENARIOS!$B$15:$D$19, MATCH(VLOOKUP(A431,04_PROYECTOS!$A:$N,9,FALSE), 02B_ESCENARIOS!$A$15:$A$19, 0), MATCH("Agresivo", 02B_ESCENARIOS!$B$14:$D$14, 0))</f>
        <v/>
      </c>
      <c r="F431">
        <f>E431*VLOOKUP(A431,04_PROYECTOS!$A:$N,6,FALSE)</f>
        <v/>
      </c>
      <c r="G431">
        <f>E431+F431</f>
        <v/>
      </c>
      <c r="H431">
        <f>IF(VLOOKUP(A431,04_PROYECTOS!$A:$N,10,FALSE)="", IF(VLOOKUP(A431,04_PROYECTOS!$A:$N,4,FALSE)="Privado", INDEX(02B_ESCENARIOS!$B$4:$D$11, MATCH("DSO_PRIVADO_DEFAULT", 02B_ESCENARIOS!$A$4:$A$11, 0), MATCH("Agresivo", 02B_ESCENARIOS!$B$3:$D$3, 0)), IF(VLOOKUP(A431,04_PROYECTOS!$A:$N,4,FALSE)="Publico_&lt;10M",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VLOOKUP(A431,04_PROYECTOS!$A:$N,10,FALSE))</f>
        <v/>
      </c>
      <c r="I431">
        <f>ROUNDUP(H431/30,0)</f>
        <v/>
      </c>
      <c r="J431">
        <f>EDATE(C431,I431)</f>
        <v/>
      </c>
      <c r="K431">
        <f>G431</f>
        <v/>
      </c>
    </row>
    <row r="432">
      <c r="E432">
        <f>D432*VLOOKUP(A432,04_PROYECTOS!$A:$N,5,FALSE)*(INDEX(02B_ESCENARIOS!$B$4:$D$11, MATCH("MULT_PRECIO", 02B_ESCENARIOS!$A$4:$A$11, 0), MATCH("Agresivo", 02B_ESCENARIOS!$B$3:$D$3, 0)))*INDEX(02B_ESCENARIOS!$B$15:$D$19, MATCH(VLOOKUP(A432,04_PROYECTOS!$A:$N,9,FALSE), 02B_ESCENARIOS!$A$15:$A$19, 0), MATCH("Agresivo", 02B_ESCENARIOS!$B$14:$D$14, 0))</f>
        <v/>
      </c>
      <c r="F432">
        <f>E432*VLOOKUP(A432,04_PROYECTOS!$A:$N,6,FALSE)</f>
        <v/>
      </c>
      <c r="G432">
        <f>E432+F432</f>
        <v/>
      </c>
      <c r="H432">
        <f>IF(VLOOKUP(A432,04_PROYECTOS!$A:$N,10,FALSE)="", IF(VLOOKUP(A432,04_PROYECTOS!$A:$N,4,FALSE)="Privado", INDEX(02B_ESCENARIOS!$B$4:$D$11, MATCH("DSO_PRIVADO_DEFAULT", 02B_ESCENARIOS!$A$4:$A$11, 0), MATCH("Agresivo", 02B_ESCENARIOS!$B$3:$D$3, 0)), IF(VLOOKUP(A432,04_PROYECTOS!$A:$N,4,FALSE)="Publico_&lt;10M",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VLOOKUP(A432,04_PROYECTOS!$A:$N,10,FALSE))</f>
        <v/>
      </c>
      <c r="I432">
        <f>ROUNDUP(H432/30,0)</f>
        <v/>
      </c>
      <c r="J432">
        <f>EDATE(C432,I432)</f>
        <v/>
      </c>
      <c r="K432">
        <f>G432</f>
        <v/>
      </c>
    </row>
    <row r="433">
      <c r="E433">
        <f>D433*VLOOKUP(A433,04_PROYECTOS!$A:$N,5,FALSE)*(INDEX(02B_ESCENARIOS!$B$4:$D$11, MATCH("MULT_PRECIO", 02B_ESCENARIOS!$A$4:$A$11, 0), MATCH("Agresivo", 02B_ESCENARIOS!$B$3:$D$3, 0)))*INDEX(02B_ESCENARIOS!$B$15:$D$19, MATCH(VLOOKUP(A433,04_PROYECTOS!$A:$N,9,FALSE), 02B_ESCENARIOS!$A$15:$A$19, 0), MATCH("Agresivo", 02B_ESCENARIOS!$B$14:$D$14, 0))</f>
        <v/>
      </c>
      <c r="F433">
        <f>E433*VLOOKUP(A433,04_PROYECTOS!$A:$N,6,FALSE)</f>
        <v/>
      </c>
      <c r="G433">
        <f>E433+F433</f>
        <v/>
      </c>
      <c r="H433">
        <f>IF(VLOOKUP(A433,04_PROYECTOS!$A:$N,10,FALSE)="", IF(VLOOKUP(A433,04_PROYECTOS!$A:$N,4,FALSE)="Privado", INDEX(02B_ESCENARIOS!$B$4:$D$11, MATCH("DSO_PRIVADO_DEFAULT", 02B_ESCENARIOS!$A$4:$A$11, 0), MATCH("Agresivo", 02B_ESCENARIOS!$B$3:$D$3, 0)), IF(VLOOKUP(A433,04_PROYECTOS!$A:$N,4,FALSE)="Publico_&lt;10M",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VLOOKUP(A433,04_PROYECTOS!$A:$N,10,FALSE))</f>
        <v/>
      </c>
      <c r="I433">
        <f>ROUNDUP(H433/30,0)</f>
        <v/>
      </c>
      <c r="J433">
        <f>EDATE(C433,I433)</f>
        <v/>
      </c>
      <c r="K433">
        <f>G433</f>
        <v/>
      </c>
    </row>
    <row r="434">
      <c r="E434">
        <f>D434*VLOOKUP(A434,04_PROYECTOS!$A:$N,5,FALSE)*(INDEX(02B_ESCENARIOS!$B$4:$D$11, MATCH("MULT_PRECIO", 02B_ESCENARIOS!$A$4:$A$11, 0), MATCH("Agresivo", 02B_ESCENARIOS!$B$3:$D$3, 0)))*INDEX(02B_ESCENARIOS!$B$15:$D$19, MATCH(VLOOKUP(A434,04_PROYECTOS!$A:$N,9,FALSE), 02B_ESCENARIOS!$A$15:$A$19, 0), MATCH("Agresivo", 02B_ESCENARIOS!$B$14:$D$14, 0))</f>
        <v/>
      </c>
      <c r="F434">
        <f>E434*VLOOKUP(A434,04_PROYECTOS!$A:$N,6,FALSE)</f>
        <v/>
      </c>
      <c r="G434">
        <f>E434+F434</f>
        <v/>
      </c>
      <c r="H434">
        <f>IF(VLOOKUP(A434,04_PROYECTOS!$A:$N,10,FALSE)="", IF(VLOOKUP(A434,04_PROYECTOS!$A:$N,4,FALSE)="Privado", INDEX(02B_ESCENARIOS!$B$4:$D$11, MATCH("DSO_PRIVADO_DEFAULT", 02B_ESCENARIOS!$A$4:$A$11, 0), MATCH("Agresivo", 02B_ESCENARIOS!$B$3:$D$3, 0)), IF(VLOOKUP(A434,04_PROYECTOS!$A:$N,4,FALSE)="Publico_&lt;10M",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VLOOKUP(A434,04_PROYECTOS!$A:$N,10,FALSE))</f>
        <v/>
      </c>
      <c r="I434">
        <f>ROUNDUP(H434/30,0)</f>
        <v/>
      </c>
      <c r="J434">
        <f>EDATE(C434,I434)</f>
        <v/>
      </c>
      <c r="K434">
        <f>G434</f>
        <v/>
      </c>
    </row>
    <row r="435">
      <c r="E435">
        <f>D435*VLOOKUP(A435,04_PROYECTOS!$A:$N,5,FALSE)*(INDEX(02B_ESCENARIOS!$B$4:$D$11, MATCH("MULT_PRECIO", 02B_ESCENARIOS!$A$4:$A$11, 0), MATCH("Agresivo", 02B_ESCENARIOS!$B$3:$D$3, 0)))*INDEX(02B_ESCENARIOS!$B$15:$D$19, MATCH(VLOOKUP(A435,04_PROYECTOS!$A:$N,9,FALSE), 02B_ESCENARIOS!$A$15:$A$19, 0), MATCH("Agresivo", 02B_ESCENARIOS!$B$14:$D$14, 0))</f>
        <v/>
      </c>
      <c r="F435">
        <f>E435*VLOOKUP(A435,04_PROYECTOS!$A:$N,6,FALSE)</f>
        <v/>
      </c>
      <c r="G435">
        <f>E435+F435</f>
        <v/>
      </c>
      <c r="H435">
        <f>IF(VLOOKUP(A435,04_PROYECTOS!$A:$N,10,FALSE)="", IF(VLOOKUP(A435,04_PROYECTOS!$A:$N,4,FALSE)="Privado", INDEX(02B_ESCENARIOS!$B$4:$D$11, MATCH("DSO_PRIVADO_DEFAULT", 02B_ESCENARIOS!$A$4:$A$11, 0), MATCH("Agresivo", 02B_ESCENARIOS!$B$3:$D$3, 0)), IF(VLOOKUP(A435,04_PROYECTOS!$A:$N,4,FALSE)="Publico_&lt;10M",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VLOOKUP(A435,04_PROYECTOS!$A:$N,10,FALSE))</f>
        <v/>
      </c>
      <c r="I435">
        <f>ROUNDUP(H435/30,0)</f>
        <v/>
      </c>
      <c r="J435">
        <f>EDATE(C435,I435)</f>
        <v/>
      </c>
      <c r="K435">
        <f>G435</f>
        <v/>
      </c>
    </row>
    <row r="436">
      <c r="E436">
        <f>D436*VLOOKUP(A436,04_PROYECTOS!$A:$N,5,FALSE)*(INDEX(02B_ESCENARIOS!$B$4:$D$11, MATCH("MULT_PRECIO", 02B_ESCENARIOS!$A$4:$A$11, 0), MATCH("Agresivo", 02B_ESCENARIOS!$B$3:$D$3, 0)))*INDEX(02B_ESCENARIOS!$B$15:$D$19, MATCH(VLOOKUP(A436,04_PROYECTOS!$A:$N,9,FALSE), 02B_ESCENARIOS!$A$15:$A$19, 0), MATCH("Agresivo", 02B_ESCENARIOS!$B$14:$D$14, 0))</f>
        <v/>
      </c>
      <c r="F436">
        <f>E436*VLOOKUP(A436,04_PROYECTOS!$A:$N,6,FALSE)</f>
        <v/>
      </c>
      <c r="G436">
        <f>E436+F436</f>
        <v/>
      </c>
      <c r="H436">
        <f>IF(VLOOKUP(A436,04_PROYECTOS!$A:$N,10,FALSE)="", IF(VLOOKUP(A436,04_PROYECTOS!$A:$N,4,FALSE)="Privado", INDEX(02B_ESCENARIOS!$B$4:$D$11, MATCH("DSO_PRIVADO_DEFAULT", 02B_ESCENARIOS!$A$4:$A$11, 0), MATCH("Agresivo", 02B_ESCENARIOS!$B$3:$D$3, 0)), IF(VLOOKUP(A436,04_PROYECTOS!$A:$N,4,FALSE)="Publico_&lt;10M",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VLOOKUP(A436,04_PROYECTOS!$A:$N,10,FALSE))</f>
        <v/>
      </c>
      <c r="I436">
        <f>ROUNDUP(H436/30,0)</f>
        <v/>
      </c>
      <c r="J436">
        <f>EDATE(C436,I436)</f>
        <v/>
      </c>
      <c r="K436">
        <f>G436</f>
        <v/>
      </c>
    </row>
    <row r="437">
      <c r="E437">
        <f>D437*VLOOKUP(A437,04_PROYECTOS!$A:$N,5,FALSE)*(INDEX(02B_ESCENARIOS!$B$4:$D$11, MATCH("MULT_PRECIO", 02B_ESCENARIOS!$A$4:$A$11, 0), MATCH("Agresivo", 02B_ESCENARIOS!$B$3:$D$3, 0)))*INDEX(02B_ESCENARIOS!$B$15:$D$19, MATCH(VLOOKUP(A437,04_PROYECTOS!$A:$N,9,FALSE), 02B_ESCENARIOS!$A$15:$A$19, 0), MATCH("Agresivo", 02B_ESCENARIOS!$B$14:$D$14, 0))</f>
        <v/>
      </c>
      <c r="F437">
        <f>E437*VLOOKUP(A437,04_PROYECTOS!$A:$N,6,FALSE)</f>
        <v/>
      </c>
      <c r="G437">
        <f>E437+F437</f>
        <v/>
      </c>
      <c r="H437">
        <f>IF(VLOOKUP(A437,04_PROYECTOS!$A:$N,10,FALSE)="", IF(VLOOKUP(A437,04_PROYECTOS!$A:$N,4,FALSE)="Privado", INDEX(02B_ESCENARIOS!$B$4:$D$11, MATCH("DSO_PRIVADO_DEFAULT", 02B_ESCENARIOS!$A$4:$A$11, 0), MATCH("Agresivo", 02B_ESCENARIOS!$B$3:$D$3, 0)), IF(VLOOKUP(A437,04_PROYECTOS!$A:$N,4,FALSE)="Publico_&lt;10M",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VLOOKUP(A437,04_PROYECTOS!$A:$N,10,FALSE))</f>
        <v/>
      </c>
      <c r="I437">
        <f>ROUNDUP(H437/30,0)</f>
        <v/>
      </c>
      <c r="J437">
        <f>EDATE(C437,I437)</f>
        <v/>
      </c>
      <c r="K437">
        <f>G437</f>
        <v/>
      </c>
    </row>
    <row r="438">
      <c r="E438">
        <f>D438*VLOOKUP(A438,04_PROYECTOS!$A:$N,5,FALSE)*(INDEX(02B_ESCENARIOS!$B$4:$D$11, MATCH("MULT_PRECIO", 02B_ESCENARIOS!$A$4:$A$11, 0), MATCH("Agresivo", 02B_ESCENARIOS!$B$3:$D$3, 0)))*INDEX(02B_ESCENARIOS!$B$15:$D$19, MATCH(VLOOKUP(A438,04_PROYECTOS!$A:$N,9,FALSE), 02B_ESCENARIOS!$A$15:$A$19, 0), MATCH("Agresivo", 02B_ESCENARIOS!$B$14:$D$14, 0))</f>
        <v/>
      </c>
      <c r="F438">
        <f>E438*VLOOKUP(A438,04_PROYECTOS!$A:$N,6,FALSE)</f>
        <v/>
      </c>
      <c r="G438">
        <f>E438+F438</f>
        <v/>
      </c>
      <c r="H438">
        <f>IF(VLOOKUP(A438,04_PROYECTOS!$A:$N,10,FALSE)="", IF(VLOOKUP(A438,04_PROYECTOS!$A:$N,4,FALSE)="Privado", INDEX(02B_ESCENARIOS!$B$4:$D$11, MATCH("DSO_PRIVADO_DEFAULT", 02B_ESCENARIOS!$A$4:$A$11, 0), MATCH("Agresivo", 02B_ESCENARIOS!$B$3:$D$3, 0)), IF(VLOOKUP(A438,04_PROYECTOS!$A:$N,4,FALSE)="Publico_&lt;10M",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VLOOKUP(A438,04_PROYECTOS!$A:$N,10,FALSE))</f>
        <v/>
      </c>
      <c r="I438">
        <f>ROUNDUP(H438/30,0)</f>
        <v/>
      </c>
      <c r="J438">
        <f>EDATE(C438,I438)</f>
        <v/>
      </c>
      <c r="K438">
        <f>G438</f>
        <v/>
      </c>
    </row>
    <row r="439">
      <c r="E439">
        <f>D439*VLOOKUP(A439,04_PROYECTOS!$A:$N,5,FALSE)*(INDEX(02B_ESCENARIOS!$B$4:$D$11, MATCH("MULT_PRECIO", 02B_ESCENARIOS!$A$4:$A$11, 0), MATCH("Agresivo", 02B_ESCENARIOS!$B$3:$D$3, 0)))*INDEX(02B_ESCENARIOS!$B$15:$D$19, MATCH(VLOOKUP(A439,04_PROYECTOS!$A:$N,9,FALSE), 02B_ESCENARIOS!$A$15:$A$19, 0), MATCH("Agresivo", 02B_ESCENARIOS!$B$14:$D$14, 0))</f>
        <v/>
      </c>
      <c r="F439">
        <f>E439*VLOOKUP(A439,04_PROYECTOS!$A:$N,6,FALSE)</f>
        <v/>
      </c>
      <c r="G439">
        <f>E439+F439</f>
        <v/>
      </c>
      <c r="H439">
        <f>IF(VLOOKUP(A439,04_PROYECTOS!$A:$N,10,FALSE)="", IF(VLOOKUP(A439,04_PROYECTOS!$A:$N,4,FALSE)="Privado", INDEX(02B_ESCENARIOS!$B$4:$D$11, MATCH("DSO_PRIVADO_DEFAULT", 02B_ESCENARIOS!$A$4:$A$11, 0), MATCH("Agresivo", 02B_ESCENARIOS!$B$3:$D$3, 0)), IF(VLOOKUP(A439,04_PROYECTOS!$A:$N,4,FALSE)="Publico_&lt;10M",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VLOOKUP(A439,04_PROYECTOS!$A:$N,10,FALSE))</f>
        <v/>
      </c>
      <c r="I439">
        <f>ROUNDUP(H439/30,0)</f>
        <v/>
      </c>
      <c r="J439">
        <f>EDATE(C439,I439)</f>
        <v/>
      </c>
      <c r="K439">
        <f>G439</f>
        <v/>
      </c>
    </row>
    <row r="440">
      <c r="E440">
        <f>D440*VLOOKUP(A440,04_PROYECTOS!$A:$N,5,FALSE)*(INDEX(02B_ESCENARIOS!$B$4:$D$11, MATCH("MULT_PRECIO", 02B_ESCENARIOS!$A$4:$A$11, 0), MATCH("Agresivo", 02B_ESCENARIOS!$B$3:$D$3, 0)))*INDEX(02B_ESCENARIOS!$B$15:$D$19, MATCH(VLOOKUP(A440,04_PROYECTOS!$A:$N,9,FALSE), 02B_ESCENARIOS!$A$15:$A$19, 0), MATCH("Agresivo", 02B_ESCENARIOS!$B$14:$D$14, 0))</f>
        <v/>
      </c>
      <c r="F440">
        <f>E440*VLOOKUP(A440,04_PROYECTOS!$A:$N,6,FALSE)</f>
        <v/>
      </c>
      <c r="G440">
        <f>E440+F440</f>
        <v/>
      </c>
      <c r="H440">
        <f>IF(VLOOKUP(A440,04_PROYECTOS!$A:$N,10,FALSE)="", IF(VLOOKUP(A440,04_PROYECTOS!$A:$N,4,FALSE)="Privado", INDEX(02B_ESCENARIOS!$B$4:$D$11, MATCH("DSO_PRIVADO_DEFAULT", 02B_ESCENARIOS!$A$4:$A$11, 0), MATCH("Agresivo", 02B_ESCENARIOS!$B$3:$D$3, 0)), IF(VLOOKUP(A440,04_PROYECTOS!$A:$N,4,FALSE)="Publico_&lt;10M",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VLOOKUP(A440,04_PROYECTOS!$A:$N,10,FALSE))</f>
        <v/>
      </c>
      <c r="I440">
        <f>ROUNDUP(H440/30,0)</f>
        <v/>
      </c>
      <c r="J440">
        <f>EDATE(C440,I440)</f>
        <v/>
      </c>
      <c r="K440">
        <f>G440</f>
        <v/>
      </c>
    </row>
    <row r="441">
      <c r="E441">
        <f>D441*VLOOKUP(A441,04_PROYECTOS!$A:$N,5,FALSE)*(INDEX(02B_ESCENARIOS!$B$4:$D$11, MATCH("MULT_PRECIO", 02B_ESCENARIOS!$A$4:$A$11, 0), MATCH("Agresivo", 02B_ESCENARIOS!$B$3:$D$3, 0)))*INDEX(02B_ESCENARIOS!$B$15:$D$19, MATCH(VLOOKUP(A441,04_PROYECTOS!$A:$N,9,FALSE), 02B_ESCENARIOS!$A$15:$A$19, 0), MATCH("Agresivo", 02B_ESCENARIOS!$B$14:$D$14, 0))</f>
        <v/>
      </c>
      <c r="F441">
        <f>E441*VLOOKUP(A441,04_PROYECTOS!$A:$N,6,FALSE)</f>
        <v/>
      </c>
      <c r="G441">
        <f>E441+F441</f>
        <v/>
      </c>
      <c r="H441">
        <f>IF(VLOOKUP(A441,04_PROYECTOS!$A:$N,10,FALSE)="", IF(VLOOKUP(A441,04_PROYECTOS!$A:$N,4,FALSE)="Privado", INDEX(02B_ESCENARIOS!$B$4:$D$11, MATCH("DSO_PRIVADO_DEFAULT", 02B_ESCENARIOS!$A$4:$A$11, 0), MATCH("Agresivo", 02B_ESCENARIOS!$B$3:$D$3, 0)), IF(VLOOKUP(A441,04_PROYECTOS!$A:$N,4,FALSE)="Publico_&lt;10M",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VLOOKUP(A441,04_PROYECTOS!$A:$N,10,FALSE))</f>
        <v/>
      </c>
      <c r="I441">
        <f>ROUNDUP(H441/30,0)</f>
        <v/>
      </c>
      <c r="J441">
        <f>EDATE(C441,I441)</f>
        <v/>
      </c>
      <c r="K441">
        <f>G441</f>
        <v/>
      </c>
    </row>
    <row r="442">
      <c r="E442">
        <f>D442*VLOOKUP(A442,04_PROYECTOS!$A:$N,5,FALSE)*(INDEX(02B_ESCENARIOS!$B$4:$D$11, MATCH("MULT_PRECIO", 02B_ESCENARIOS!$A$4:$A$11, 0), MATCH("Agresivo", 02B_ESCENARIOS!$B$3:$D$3, 0)))*INDEX(02B_ESCENARIOS!$B$15:$D$19, MATCH(VLOOKUP(A442,04_PROYECTOS!$A:$N,9,FALSE), 02B_ESCENARIOS!$A$15:$A$19, 0), MATCH("Agresivo", 02B_ESCENARIOS!$B$14:$D$14, 0))</f>
        <v/>
      </c>
      <c r="F442">
        <f>E442*VLOOKUP(A442,04_PROYECTOS!$A:$N,6,FALSE)</f>
        <v/>
      </c>
      <c r="G442">
        <f>E442+F442</f>
        <v/>
      </c>
      <c r="H442">
        <f>IF(VLOOKUP(A442,04_PROYECTOS!$A:$N,10,FALSE)="", IF(VLOOKUP(A442,04_PROYECTOS!$A:$N,4,FALSE)="Privado", INDEX(02B_ESCENARIOS!$B$4:$D$11, MATCH("DSO_PRIVADO_DEFAULT", 02B_ESCENARIOS!$A$4:$A$11, 0), MATCH("Agresivo", 02B_ESCENARIOS!$B$3:$D$3, 0)), IF(VLOOKUP(A442,04_PROYECTOS!$A:$N,4,FALSE)="Publico_&lt;10M",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VLOOKUP(A442,04_PROYECTOS!$A:$N,10,FALSE))</f>
        <v/>
      </c>
      <c r="I442">
        <f>ROUNDUP(H442/30,0)</f>
        <v/>
      </c>
      <c r="J442">
        <f>EDATE(C442,I442)</f>
        <v/>
      </c>
      <c r="K442">
        <f>G442</f>
        <v/>
      </c>
    </row>
    <row r="443">
      <c r="E443">
        <f>D443*VLOOKUP(A443,04_PROYECTOS!$A:$N,5,FALSE)*(INDEX(02B_ESCENARIOS!$B$4:$D$11, MATCH("MULT_PRECIO", 02B_ESCENARIOS!$A$4:$A$11, 0), MATCH("Agresivo", 02B_ESCENARIOS!$B$3:$D$3, 0)))*INDEX(02B_ESCENARIOS!$B$15:$D$19, MATCH(VLOOKUP(A443,04_PROYECTOS!$A:$N,9,FALSE), 02B_ESCENARIOS!$A$15:$A$19, 0), MATCH("Agresivo", 02B_ESCENARIOS!$B$14:$D$14, 0))</f>
        <v/>
      </c>
      <c r="F443">
        <f>E443*VLOOKUP(A443,04_PROYECTOS!$A:$N,6,FALSE)</f>
        <v/>
      </c>
      <c r="G443">
        <f>E443+F443</f>
        <v/>
      </c>
      <c r="H443">
        <f>IF(VLOOKUP(A443,04_PROYECTOS!$A:$N,10,FALSE)="", IF(VLOOKUP(A443,04_PROYECTOS!$A:$N,4,FALSE)="Privado", INDEX(02B_ESCENARIOS!$B$4:$D$11, MATCH("DSO_PRIVADO_DEFAULT", 02B_ESCENARIOS!$A$4:$A$11, 0), MATCH("Agresivo", 02B_ESCENARIOS!$B$3:$D$3, 0)), IF(VLOOKUP(A443,04_PROYECTOS!$A:$N,4,FALSE)="Publico_&lt;10M",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VLOOKUP(A443,04_PROYECTOS!$A:$N,10,FALSE))</f>
        <v/>
      </c>
      <c r="I443">
        <f>ROUNDUP(H443/30,0)</f>
        <v/>
      </c>
      <c r="J443">
        <f>EDATE(C443,I443)</f>
        <v/>
      </c>
      <c r="K443">
        <f>G443</f>
        <v/>
      </c>
    </row>
    <row r="444">
      <c r="E444">
        <f>D444*VLOOKUP(A444,04_PROYECTOS!$A:$N,5,FALSE)*(INDEX(02B_ESCENARIOS!$B$4:$D$11, MATCH("MULT_PRECIO", 02B_ESCENARIOS!$A$4:$A$11, 0), MATCH("Agresivo", 02B_ESCENARIOS!$B$3:$D$3, 0)))*INDEX(02B_ESCENARIOS!$B$15:$D$19, MATCH(VLOOKUP(A444,04_PROYECTOS!$A:$N,9,FALSE), 02B_ESCENARIOS!$A$15:$A$19, 0), MATCH("Agresivo", 02B_ESCENARIOS!$B$14:$D$14, 0))</f>
        <v/>
      </c>
      <c r="F444">
        <f>E444*VLOOKUP(A444,04_PROYECTOS!$A:$N,6,FALSE)</f>
        <v/>
      </c>
      <c r="G444">
        <f>E444+F444</f>
        <v/>
      </c>
      <c r="H444">
        <f>IF(VLOOKUP(A444,04_PROYECTOS!$A:$N,10,FALSE)="", IF(VLOOKUP(A444,04_PROYECTOS!$A:$N,4,FALSE)="Privado", INDEX(02B_ESCENARIOS!$B$4:$D$11, MATCH("DSO_PRIVADO_DEFAULT", 02B_ESCENARIOS!$A$4:$A$11, 0), MATCH("Agresivo", 02B_ESCENARIOS!$B$3:$D$3, 0)), IF(VLOOKUP(A444,04_PROYECTOS!$A:$N,4,FALSE)="Publico_&lt;10M",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VLOOKUP(A444,04_PROYECTOS!$A:$N,10,FALSE))</f>
        <v/>
      </c>
      <c r="I444">
        <f>ROUNDUP(H444/30,0)</f>
        <v/>
      </c>
      <c r="J444">
        <f>EDATE(C444,I444)</f>
        <v/>
      </c>
      <c r="K444">
        <f>G444</f>
        <v/>
      </c>
    </row>
    <row r="445">
      <c r="E445">
        <f>D445*VLOOKUP(A445,04_PROYECTOS!$A:$N,5,FALSE)*(INDEX(02B_ESCENARIOS!$B$4:$D$11, MATCH("MULT_PRECIO", 02B_ESCENARIOS!$A$4:$A$11, 0), MATCH("Agresivo", 02B_ESCENARIOS!$B$3:$D$3, 0)))*INDEX(02B_ESCENARIOS!$B$15:$D$19, MATCH(VLOOKUP(A445,04_PROYECTOS!$A:$N,9,FALSE), 02B_ESCENARIOS!$A$15:$A$19, 0), MATCH("Agresivo", 02B_ESCENARIOS!$B$14:$D$14, 0))</f>
        <v/>
      </c>
      <c r="F445">
        <f>E445*VLOOKUP(A445,04_PROYECTOS!$A:$N,6,FALSE)</f>
        <v/>
      </c>
      <c r="G445">
        <f>E445+F445</f>
        <v/>
      </c>
      <c r="H445">
        <f>IF(VLOOKUP(A445,04_PROYECTOS!$A:$N,10,FALSE)="", IF(VLOOKUP(A445,04_PROYECTOS!$A:$N,4,FALSE)="Privado", INDEX(02B_ESCENARIOS!$B$4:$D$11, MATCH("DSO_PRIVADO_DEFAULT", 02B_ESCENARIOS!$A$4:$A$11, 0), MATCH("Agresivo", 02B_ESCENARIOS!$B$3:$D$3, 0)), IF(VLOOKUP(A445,04_PROYECTOS!$A:$N,4,FALSE)="Publico_&lt;10M",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VLOOKUP(A445,04_PROYECTOS!$A:$N,10,FALSE))</f>
        <v/>
      </c>
      <c r="I445">
        <f>ROUNDUP(H445/30,0)</f>
        <v/>
      </c>
      <c r="J445">
        <f>EDATE(C445,I445)</f>
        <v/>
      </c>
      <c r="K445">
        <f>G445</f>
        <v/>
      </c>
    </row>
    <row r="446">
      <c r="E446">
        <f>D446*VLOOKUP(A446,04_PROYECTOS!$A:$N,5,FALSE)*(INDEX(02B_ESCENARIOS!$B$4:$D$11, MATCH("MULT_PRECIO", 02B_ESCENARIOS!$A$4:$A$11, 0), MATCH("Agresivo", 02B_ESCENARIOS!$B$3:$D$3, 0)))*INDEX(02B_ESCENARIOS!$B$15:$D$19, MATCH(VLOOKUP(A446,04_PROYECTOS!$A:$N,9,FALSE), 02B_ESCENARIOS!$A$15:$A$19, 0), MATCH("Agresivo", 02B_ESCENARIOS!$B$14:$D$14, 0))</f>
        <v/>
      </c>
      <c r="F446">
        <f>E446*VLOOKUP(A446,04_PROYECTOS!$A:$N,6,FALSE)</f>
        <v/>
      </c>
      <c r="G446">
        <f>E446+F446</f>
        <v/>
      </c>
      <c r="H446">
        <f>IF(VLOOKUP(A446,04_PROYECTOS!$A:$N,10,FALSE)="", IF(VLOOKUP(A446,04_PROYECTOS!$A:$N,4,FALSE)="Privado", INDEX(02B_ESCENARIOS!$B$4:$D$11, MATCH("DSO_PRIVADO_DEFAULT", 02B_ESCENARIOS!$A$4:$A$11, 0), MATCH("Agresivo", 02B_ESCENARIOS!$B$3:$D$3, 0)), IF(VLOOKUP(A446,04_PROYECTOS!$A:$N,4,FALSE)="Publico_&lt;10M",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VLOOKUP(A446,04_PROYECTOS!$A:$N,10,FALSE))</f>
        <v/>
      </c>
      <c r="I446">
        <f>ROUNDUP(H446/30,0)</f>
        <v/>
      </c>
      <c r="J446">
        <f>EDATE(C446,I446)</f>
        <v/>
      </c>
      <c r="K446">
        <f>G446</f>
        <v/>
      </c>
    </row>
    <row r="447">
      <c r="E447">
        <f>D447*VLOOKUP(A447,04_PROYECTOS!$A:$N,5,FALSE)*(INDEX(02B_ESCENARIOS!$B$4:$D$11, MATCH("MULT_PRECIO", 02B_ESCENARIOS!$A$4:$A$11, 0), MATCH("Agresivo", 02B_ESCENARIOS!$B$3:$D$3, 0)))*INDEX(02B_ESCENARIOS!$B$15:$D$19, MATCH(VLOOKUP(A447,04_PROYECTOS!$A:$N,9,FALSE), 02B_ESCENARIOS!$A$15:$A$19, 0), MATCH("Agresivo", 02B_ESCENARIOS!$B$14:$D$14, 0))</f>
        <v/>
      </c>
      <c r="F447">
        <f>E447*VLOOKUP(A447,04_PROYECTOS!$A:$N,6,FALSE)</f>
        <v/>
      </c>
      <c r="G447">
        <f>E447+F447</f>
        <v/>
      </c>
      <c r="H447">
        <f>IF(VLOOKUP(A447,04_PROYECTOS!$A:$N,10,FALSE)="", IF(VLOOKUP(A447,04_PROYECTOS!$A:$N,4,FALSE)="Privado", INDEX(02B_ESCENARIOS!$B$4:$D$11, MATCH("DSO_PRIVADO_DEFAULT", 02B_ESCENARIOS!$A$4:$A$11, 0), MATCH("Agresivo", 02B_ESCENARIOS!$B$3:$D$3, 0)), IF(VLOOKUP(A447,04_PROYECTOS!$A:$N,4,FALSE)="Publico_&lt;10M",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VLOOKUP(A447,04_PROYECTOS!$A:$N,10,FALSE))</f>
        <v/>
      </c>
      <c r="I447">
        <f>ROUNDUP(H447/30,0)</f>
        <v/>
      </c>
      <c r="J447">
        <f>EDATE(C447,I447)</f>
        <v/>
      </c>
      <c r="K447">
        <f>G447</f>
        <v/>
      </c>
    </row>
    <row r="448">
      <c r="E448">
        <f>D448*VLOOKUP(A448,04_PROYECTOS!$A:$N,5,FALSE)*(INDEX(02B_ESCENARIOS!$B$4:$D$11, MATCH("MULT_PRECIO", 02B_ESCENARIOS!$A$4:$A$11, 0), MATCH("Agresivo", 02B_ESCENARIOS!$B$3:$D$3, 0)))*INDEX(02B_ESCENARIOS!$B$15:$D$19, MATCH(VLOOKUP(A448,04_PROYECTOS!$A:$N,9,FALSE), 02B_ESCENARIOS!$A$15:$A$19, 0), MATCH("Agresivo", 02B_ESCENARIOS!$B$14:$D$14, 0))</f>
        <v/>
      </c>
      <c r="F448">
        <f>E448*VLOOKUP(A448,04_PROYECTOS!$A:$N,6,FALSE)</f>
        <v/>
      </c>
      <c r="G448">
        <f>E448+F448</f>
        <v/>
      </c>
      <c r="H448">
        <f>IF(VLOOKUP(A448,04_PROYECTOS!$A:$N,10,FALSE)="", IF(VLOOKUP(A448,04_PROYECTOS!$A:$N,4,FALSE)="Privado", INDEX(02B_ESCENARIOS!$B$4:$D$11, MATCH("DSO_PRIVADO_DEFAULT", 02B_ESCENARIOS!$A$4:$A$11, 0), MATCH("Agresivo", 02B_ESCENARIOS!$B$3:$D$3, 0)), IF(VLOOKUP(A448,04_PROYECTOS!$A:$N,4,FALSE)="Publico_&lt;10M",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VLOOKUP(A448,04_PROYECTOS!$A:$N,10,FALSE))</f>
        <v/>
      </c>
      <c r="I448">
        <f>ROUNDUP(H448/30,0)</f>
        <v/>
      </c>
      <c r="J448">
        <f>EDATE(C448,I448)</f>
        <v/>
      </c>
      <c r="K448">
        <f>G448</f>
        <v/>
      </c>
    </row>
    <row r="449">
      <c r="E449">
        <f>D449*VLOOKUP(A449,04_PROYECTOS!$A:$N,5,FALSE)*(INDEX(02B_ESCENARIOS!$B$4:$D$11, MATCH("MULT_PRECIO", 02B_ESCENARIOS!$A$4:$A$11, 0), MATCH("Agresivo", 02B_ESCENARIOS!$B$3:$D$3, 0)))*INDEX(02B_ESCENARIOS!$B$15:$D$19, MATCH(VLOOKUP(A449,04_PROYECTOS!$A:$N,9,FALSE), 02B_ESCENARIOS!$A$15:$A$19, 0), MATCH("Agresivo", 02B_ESCENARIOS!$B$14:$D$14, 0))</f>
        <v/>
      </c>
      <c r="F449">
        <f>E449*VLOOKUP(A449,04_PROYECTOS!$A:$N,6,FALSE)</f>
        <v/>
      </c>
      <c r="G449">
        <f>E449+F449</f>
        <v/>
      </c>
      <c r="H449">
        <f>IF(VLOOKUP(A449,04_PROYECTOS!$A:$N,10,FALSE)="", IF(VLOOKUP(A449,04_PROYECTOS!$A:$N,4,FALSE)="Privado", INDEX(02B_ESCENARIOS!$B$4:$D$11, MATCH("DSO_PRIVADO_DEFAULT", 02B_ESCENARIOS!$A$4:$A$11, 0), MATCH("Agresivo", 02B_ESCENARIOS!$B$3:$D$3, 0)), IF(VLOOKUP(A449,04_PROYECTOS!$A:$N,4,FALSE)="Publico_&lt;10M",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VLOOKUP(A449,04_PROYECTOS!$A:$N,10,FALSE))</f>
        <v/>
      </c>
      <c r="I449">
        <f>ROUNDUP(H449/30,0)</f>
        <v/>
      </c>
      <c r="J449">
        <f>EDATE(C449,I449)</f>
        <v/>
      </c>
      <c r="K449">
        <f>G449</f>
        <v/>
      </c>
    </row>
    <row r="450">
      <c r="E450">
        <f>D450*VLOOKUP(A450,04_PROYECTOS!$A:$N,5,FALSE)*(INDEX(02B_ESCENARIOS!$B$4:$D$11, MATCH("MULT_PRECIO", 02B_ESCENARIOS!$A$4:$A$11, 0), MATCH("Agresivo", 02B_ESCENARIOS!$B$3:$D$3, 0)))*INDEX(02B_ESCENARIOS!$B$15:$D$19, MATCH(VLOOKUP(A450,04_PROYECTOS!$A:$N,9,FALSE), 02B_ESCENARIOS!$A$15:$A$19, 0), MATCH("Agresivo", 02B_ESCENARIOS!$B$14:$D$14, 0))</f>
        <v/>
      </c>
      <c r="F450">
        <f>E450*VLOOKUP(A450,04_PROYECTOS!$A:$N,6,FALSE)</f>
        <v/>
      </c>
      <c r="G450">
        <f>E450+F450</f>
        <v/>
      </c>
      <c r="H450">
        <f>IF(VLOOKUP(A450,04_PROYECTOS!$A:$N,10,FALSE)="", IF(VLOOKUP(A450,04_PROYECTOS!$A:$N,4,FALSE)="Privado", INDEX(02B_ESCENARIOS!$B$4:$D$11, MATCH("DSO_PRIVADO_DEFAULT", 02B_ESCENARIOS!$A$4:$A$11, 0), MATCH("Agresivo", 02B_ESCENARIOS!$B$3:$D$3, 0)), IF(VLOOKUP(A450,04_PROYECTOS!$A:$N,4,FALSE)="Publico_&lt;10M",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VLOOKUP(A450,04_PROYECTOS!$A:$N,10,FALSE))</f>
        <v/>
      </c>
      <c r="I450">
        <f>ROUNDUP(H450/30,0)</f>
        <v/>
      </c>
      <c r="J450">
        <f>EDATE(C450,I450)</f>
        <v/>
      </c>
      <c r="K450">
        <f>G450</f>
        <v/>
      </c>
    </row>
    <row r="451">
      <c r="E451">
        <f>D451*VLOOKUP(A451,04_PROYECTOS!$A:$N,5,FALSE)*(INDEX(02B_ESCENARIOS!$B$4:$D$11, MATCH("MULT_PRECIO", 02B_ESCENARIOS!$A$4:$A$11, 0), MATCH("Agresivo", 02B_ESCENARIOS!$B$3:$D$3, 0)))*INDEX(02B_ESCENARIOS!$B$15:$D$19, MATCH(VLOOKUP(A451,04_PROYECTOS!$A:$N,9,FALSE), 02B_ESCENARIOS!$A$15:$A$19, 0), MATCH("Agresivo", 02B_ESCENARIOS!$B$14:$D$14, 0))</f>
        <v/>
      </c>
      <c r="F451">
        <f>E451*VLOOKUP(A451,04_PROYECTOS!$A:$N,6,FALSE)</f>
        <v/>
      </c>
      <c r="G451">
        <f>E451+F451</f>
        <v/>
      </c>
      <c r="H451">
        <f>IF(VLOOKUP(A451,04_PROYECTOS!$A:$N,10,FALSE)="", IF(VLOOKUP(A451,04_PROYECTOS!$A:$N,4,FALSE)="Privado", INDEX(02B_ESCENARIOS!$B$4:$D$11, MATCH("DSO_PRIVADO_DEFAULT", 02B_ESCENARIOS!$A$4:$A$11, 0), MATCH("Agresivo", 02B_ESCENARIOS!$B$3:$D$3, 0)), IF(VLOOKUP(A451,04_PROYECTOS!$A:$N,4,FALSE)="Publico_&lt;10M",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VLOOKUP(A451,04_PROYECTOS!$A:$N,10,FALSE))</f>
        <v/>
      </c>
      <c r="I451">
        <f>ROUNDUP(H451/30,0)</f>
        <v/>
      </c>
      <c r="J451">
        <f>EDATE(C451,I451)</f>
        <v/>
      </c>
      <c r="K451">
        <f>G451</f>
        <v/>
      </c>
    </row>
    <row r="452">
      <c r="E452">
        <f>D452*VLOOKUP(A452,04_PROYECTOS!$A:$N,5,FALSE)*(INDEX(02B_ESCENARIOS!$B$4:$D$11, MATCH("MULT_PRECIO", 02B_ESCENARIOS!$A$4:$A$11, 0), MATCH("Agresivo", 02B_ESCENARIOS!$B$3:$D$3, 0)))*INDEX(02B_ESCENARIOS!$B$15:$D$19, MATCH(VLOOKUP(A452,04_PROYECTOS!$A:$N,9,FALSE), 02B_ESCENARIOS!$A$15:$A$19, 0), MATCH("Agresivo", 02B_ESCENARIOS!$B$14:$D$14, 0))</f>
        <v/>
      </c>
      <c r="F452">
        <f>E452*VLOOKUP(A452,04_PROYECTOS!$A:$N,6,FALSE)</f>
        <v/>
      </c>
      <c r="G452">
        <f>E452+F452</f>
        <v/>
      </c>
      <c r="H452">
        <f>IF(VLOOKUP(A452,04_PROYECTOS!$A:$N,10,FALSE)="", IF(VLOOKUP(A452,04_PROYECTOS!$A:$N,4,FALSE)="Privado", INDEX(02B_ESCENARIOS!$B$4:$D$11, MATCH("DSO_PRIVADO_DEFAULT", 02B_ESCENARIOS!$A$4:$A$11, 0), MATCH("Agresivo", 02B_ESCENARIOS!$B$3:$D$3, 0)), IF(VLOOKUP(A452,04_PROYECTOS!$A:$N,4,FALSE)="Publico_&lt;10M",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VLOOKUP(A452,04_PROYECTOS!$A:$N,10,FALSE))</f>
        <v/>
      </c>
      <c r="I452">
        <f>ROUNDUP(H452/30,0)</f>
        <v/>
      </c>
      <c r="J452">
        <f>EDATE(C452,I452)</f>
        <v/>
      </c>
      <c r="K452">
        <f>G452</f>
        <v/>
      </c>
    </row>
    <row r="453">
      <c r="E453">
        <f>D453*VLOOKUP(A453,04_PROYECTOS!$A:$N,5,FALSE)*(INDEX(02B_ESCENARIOS!$B$4:$D$11, MATCH("MULT_PRECIO", 02B_ESCENARIOS!$A$4:$A$11, 0), MATCH("Agresivo", 02B_ESCENARIOS!$B$3:$D$3, 0)))*INDEX(02B_ESCENARIOS!$B$15:$D$19, MATCH(VLOOKUP(A453,04_PROYECTOS!$A:$N,9,FALSE), 02B_ESCENARIOS!$A$15:$A$19, 0), MATCH("Agresivo", 02B_ESCENARIOS!$B$14:$D$14, 0))</f>
        <v/>
      </c>
      <c r="F453">
        <f>E453*VLOOKUP(A453,04_PROYECTOS!$A:$N,6,FALSE)</f>
        <v/>
      </c>
      <c r="G453">
        <f>E453+F453</f>
        <v/>
      </c>
      <c r="H453">
        <f>IF(VLOOKUP(A453,04_PROYECTOS!$A:$N,10,FALSE)="", IF(VLOOKUP(A453,04_PROYECTOS!$A:$N,4,FALSE)="Privado", INDEX(02B_ESCENARIOS!$B$4:$D$11, MATCH("DSO_PRIVADO_DEFAULT", 02B_ESCENARIOS!$A$4:$A$11, 0), MATCH("Agresivo", 02B_ESCENARIOS!$B$3:$D$3, 0)), IF(VLOOKUP(A453,04_PROYECTOS!$A:$N,4,FALSE)="Publico_&lt;10M",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VLOOKUP(A453,04_PROYECTOS!$A:$N,10,FALSE))</f>
        <v/>
      </c>
      <c r="I453">
        <f>ROUNDUP(H453/30,0)</f>
        <v/>
      </c>
      <c r="J453">
        <f>EDATE(C453,I453)</f>
        <v/>
      </c>
      <c r="K453">
        <f>G453</f>
        <v/>
      </c>
    </row>
    <row r="454">
      <c r="E454">
        <f>D454*VLOOKUP(A454,04_PROYECTOS!$A:$N,5,FALSE)*(INDEX(02B_ESCENARIOS!$B$4:$D$11, MATCH("MULT_PRECIO", 02B_ESCENARIOS!$A$4:$A$11, 0), MATCH("Agresivo", 02B_ESCENARIOS!$B$3:$D$3, 0)))*INDEX(02B_ESCENARIOS!$B$15:$D$19, MATCH(VLOOKUP(A454,04_PROYECTOS!$A:$N,9,FALSE), 02B_ESCENARIOS!$A$15:$A$19, 0), MATCH("Agresivo", 02B_ESCENARIOS!$B$14:$D$14, 0))</f>
        <v/>
      </c>
      <c r="F454">
        <f>E454*VLOOKUP(A454,04_PROYECTOS!$A:$N,6,FALSE)</f>
        <v/>
      </c>
      <c r="G454">
        <f>E454+F454</f>
        <v/>
      </c>
      <c r="H454">
        <f>IF(VLOOKUP(A454,04_PROYECTOS!$A:$N,10,FALSE)="", IF(VLOOKUP(A454,04_PROYECTOS!$A:$N,4,FALSE)="Privado", INDEX(02B_ESCENARIOS!$B$4:$D$11, MATCH("DSO_PRIVADO_DEFAULT", 02B_ESCENARIOS!$A$4:$A$11, 0), MATCH("Agresivo", 02B_ESCENARIOS!$B$3:$D$3, 0)), IF(VLOOKUP(A454,04_PROYECTOS!$A:$N,4,FALSE)="Publico_&lt;10M",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VLOOKUP(A454,04_PROYECTOS!$A:$N,10,FALSE))</f>
        <v/>
      </c>
      <c r="I454">
        <f>ROUNDUP(H454/30,0)</f>
        <v/>
      </c>
      <c r="J454">
        <f>EDATE(C454,I454)</f>
        <v/>
      </c>
      <c r="K454">
        <f>G454</f>
        <v/>
      </c>
    </row>
    <row r="455">
      <c r="E455">
        <f>D455*VLOOKUP(A455,04_PROYECTOS!$A:$N,5,FALSE)*(INDEX(02B_ESCENARIOS!$B$4:$D$11, MATCH("MULT_PRECIO", 02B_ESCENARIOS!$A$4:$A$11, 0), MATCH("Agresivo", 02B_ESCENARIOS!$B$3:$D$3, 0)))*INDEX(02B_ESCENARIOS!$B$15:$D$19, MATCH(VLOOKUP(A455,04_PROYECTOS!$A:$N,9,FALSE), 02B_ESCENARIOS!$A$15:$A$19, 0), MATCH("Agresivo", 02B_ESCENARIOS!$B$14:$D$14, 0))</f>
        <v/>
      </c>
      <c r="F455">
        <f>E455*VLOOKUP(A455,04_PROYECTOS!$A:$N,6,FALSE)</f>
        <v/>
      </c>
      <c r="G455">
        <f>E455+F455</f>
        <v/>
      </c>
      <c r="H455">
        <f>IF(VLOOKUP(A455,04_PROYECTOS!$A:$N,10,FALSE)="", IF(VLOOKUP(A455,04_PROYECTOS!$A:$N,4,FALSE)="Privado", INDEX(02B_ESCENARIOS!$B$4:$D$11, MATCH("DSO_PRIVADO_DEFAULT", 02B_ESCENARIOS!$A$4:$A$11, 0), MATCH("Agresivo", 02B_ESCENARIOS!$B$3:$D$3, 0)), IF(VLOOKUP(A455,04_PROYECTOS!$A:$N,4,FALSE)="Publico_&lt;10M",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VLOOKUP(A455,04_PROYECTOS!$A:$N,10,FALSE))</f>
        <v/>
      </c>
      <c r="I455">
        <f>ROUNDUP(H455/30,0)</f>
        <v/>
      </c>
      <c r="J455">
        <f>EDATE(C455,I455)</f>
        <v/>
      </c>
      <c r="K455">
        <f>G455</f>
        <v/>
      </c>
    </row>
    <row r="456">
      <c r="E456">
        <f>D456*VLOOKUP(A456,04_PROYECTOS!$A:$N,5,FALSE)*(INDEX(02B_ESCENARIOS!$B$4:$D$11, MATCH("MULT_PRECIO", 02B_ESCENARIOS!$A$4:$A$11, 0), MATCH("Agresivo", 02B_ESCENARIOS!$B$3:$D$3, 0)))*INDEX(02B_ESCENARIOS!$B$15:$D$19, MATCH(VLOOKUP(A456,04_PROYECTOS!$A:$N,9,FALSE), 02B_ESCENARIOS!$A$15:$A$19, 0), MATCH("Agresivo", 02B_ESCENARIOS!$B$14:$D$14, 0))</f>
        <v/>
      </c>
      <c r="F456">
        <f>E456*VLOOKUP(A456,04_PROYECTOS!$A:$N,6,FALSE)</f>
        <v/>
      </c>
      <c r="G456">
        <f>E456+F456</f>
        <v/>
      </c>
      <c r="H456">
        <f>IF(VLOOKUP(A456,04_PROYECTOS!$A:$N,10,FALSE)="", IF(VLOOKUP(A456,04_PROYECTOS!$A:$N,4,FALSE)="Privado", INDEX(02B_ESCENARIOS!$B$4:$D$11, MATCH("DSO_PRIVADO_DEFAULT", 02B_ESCENARIOS!$A$4:$A$11, 0), MATCH("Agresivo", 02B_ESCENARIOS!$B$3:$D$3, 0)), IF(VLOOKUP(A456,04_PROYECTOS!$A:$N,4,FALSE)="Publico_&lt;10M",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VLOOKUP(A456,04_PROYECTOS!$A:$N,10,FALSE))</f>
        <v/>
      </c>
      <c r="I456">
        <f>ROUNDUP(H456/30,0)</f>
        <v/>
      </c>
      <c r="J456">
        <f>EDATE(C456,I456)</f>
        <v/>
      </c>
      <c r="K456">
        <f>G456</f>
        <v/>
      </c>
    </row>
    <row r="457">
      <c r="E457">
        <f>D457*VLOOKUP(A457,04_PROYECTOS!$A:$N,5,FALSE)*(INDEX(02B_ESCENARIOS!$B$4:$D$11, MATCH("MULT_PRECIO", 02B_ESCENARIOS!$A$4:$A$11, 0), MATCH("Agresivo", 02B_ESCENARIOS!$B$3:$D$3, 0)))*INDEX(02B_ESCENARIOS!$B$15:$D$19, MATCH(VLOOKUP(A457,04_PROYECTOS!$A:$N,9,FALSE), 02B_ESCENARIOS!$A$15:$A$19, 0), MATCH("Agresivo", 02B_ESCENARIOS!$B$14:$D$14, 0))</f>
        <v/>
      </c>
      <c r="F457">
        <f>E457*VLOOKUP(A457,04_PROYECTOS!$A:$N,6,FALSE)</f>
        <v/>
      </c>
      <c r="G457">
        <f>E457+F457</f>
        <v/>
      </c>
      <c r="H457">
        <f>IF(VLOOKUP(A457,04_PROYECTOS!$A:$N,10,FALSE)="", IF(VLOOKUP(A457,04_PROYECTOS!$A:$N,4,FALSE)="Privado", INDEX(02B_ESCENARIOS!$B$4:$D$11, MATCH("DSO_PRIVADO_DEFAULT", 02B_ESCENARIOS!$A$4:$A$11, 0), MATCH("Agresivo", 02B_ESCENARIOS!$B$3:$D$3, 0)), IF(VLOOKUP(A457,04_PROYECTOS!$A:$N,4,FALSE)="Publico_&lt;10M",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VLOOKUP(A457,04_PROYECTOS!$A:$N,10,FALSE))</f>
        <v/>
      </c>
      <c r="I457">
        <f>ROUNDUP(H457/30,0)</f>
        <v/>
      </c>
      <c r="J457">
        <f>EDATE(C457,I457)</f>
        <v/>
      </c>
      <c r="K457">
        <f>G457</f>
        <v/>
      </c>
    </row>
    <row r="458">
      <c r="E458">
        <f>D458*VLOOKUP(A458,04_PROYECTOS!$A:$N,5,FALSE)*(INDEX(02B_ESCENARIOS!$B$4:$D$11, MATCH("MULT_PRECIO", 02B_ESCENARIOS!$A$4:$A$11, 0), MATCH("Agresivo", 02B_ESCENARIOS!$B$3:$D$3, 0)))*INDEX(02B_ESCENARIOS!$B$15:$D$19, MATCH(VLOOKUP(A458,04_PROYECTOS!$A:$N,9,FALSE), 02B_ESCENARIOS!$A$15:$A$19, 0), MATCH("Agresivo", 02B_ESCENARIOS!$B$14:$D$14, 0))</f>
        <v/>
      </c>
      <c r="F458">
        <f>E458*VLOOKUP(A458,04_PROYECTOS!$A:$N,6,FALSE)</f>
        <v/>
      </c>
      <c r="G458">
        <f>E458+F458</f>
        <v/>
      </c>
      <c r="H458">
        <f>IF(VLOOKUP(A458,04_PROYECTOS!$A:$N,10,FALSE)="", IF(VLOOKUP(A458,04_PROYECTOS!$A:$N,4,FALSE)="Privado", INDEX(02B_ESCENARIOS!$B$4:$D$11, MATCH("DSO_PRIVADO_DEFAULT", 02B_ESCENARIOS!$A$4:$A$11, 0), MATCH("Agresivo", 02B_ESCENARIOS!$B$3:$D$3, 0)), IF(VLOOKUP(A458,04_PROYECTOS!$A:$N,4,FALSE)="Publico_&lt;10M",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VLOOKUP(A458,04_PROYECTOS!$A:$N,10,FALSE))</f>
        <v/>
      </c>
      <c r="I458">
        <f>ROUNDUP(H458/30,0)</f>
        <v/>
      </c>
      <c r="J458">
        <f>EDATE(C458,I458)</f>
        <v/>
      </c>
      <c r="K458">
        <f>G458</f>
        <v/>
      </c>
    </row>
    <row r="459">
      <c r="E459">
        <f>D459*VLOOKUP(A459,04_PROYECTOS!$A:$N,5,FALSE)*(INDEX(02B_ESCENARIOS!$B$4:$D$11, MATCH("MULT_PRECIO", 02B_ESCENARIOS!$A$4:$A$11, 0), MATCH("Agresivo", 02B_ESCENARIOS!$B$3:$D$3, 0)))*INDEX(02B_ESCENARIOS!$B$15:$D$19, MATCH(VLOOKUP(A459,04_PROYECTOS!$A:$N,9,FALSE), 02B_ESCENARIOS!$A$15:$A$19, 0), MATCH("Agresivo", 02B_ESCENARIOS!$B$14:$D$14, 0))</f>
        <v/>
      </c>
      <c r="F459">
        <f>E459*VLOOKUP(A459,04_PROYECTOS!$A:$N,6,FALSE)</f>
        <v/>
      </c>
      <c r="G459">
        <f>E459+F459</f>
        <v/>
      </c>
      <c r="H459">
        <f>IF(VLOOKUP(A459,04_PROYECTOS!$A:$N,10,FALSE)="", IF(VLOOKUP(A459,04_PROYECTOS!$A:$N,4,FALSE)="Privado", INDEX(02B_ESCENARIOS!$B$4:$D$11, MATCH("DSO_PRIVADO_DEFAULT", 02B_ESCENARIOS!$A$4:$A$11, 0), MATCH("Agresivo", 02B_ESCENARIOS!$B$3:$D$3, 0)), IF(VLOOKUP(A459,04_PROYECTOS!$A:$N,4,FALSE)="Publico_&lt;10M",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VLOOKUP(A459,04_PROYECTOS!$A:$N,10,FALSE))</f>
        <v/>
      </c>
      <c r="I459">
        <f>ROUNDUP(H459/30,0)</f>
        <v/>
      </c>
      <c r="J459">
        <f>EDATE(C459,I459)</f>
        <v/>
      </c>
      <c r="K459">
        <f>G459</f>
        <v/>
      </c>
    </row>
    <row r="460">
      <c r="E460">
        <f>D460*VLOOKUP(A460,04_PROYECTOS!$A:$N,5,FALSE)*(INDEX(02B_ESCENARIOS!$B$4:$D$11, MATCH("MULT_PRECIO", 02B_ESCENARIOS!$A$4:$A$11, 0), MATCH("Agresivo", 02B_ESCENARIOS!$B$3:$D$3, 0)))*INDEX(02B_ESCENARIOS!$B$15:$D$19, MATCH(VLOOKUP(A460,04_PROYECTOS!$A:$N,9,FALSE), 02B_ESCENARIOS!$A$15:$A$19, 0), MATCH("Agresivo", 02B_ESCENARIOS!$B$14:$D$14, 0))</f>
        <v/>
      </c>
      <c r="F460">
        <f>E460*VLOOKUP(A460,04_PROYECTOS!$A:$N,6,FALSE)</f>
        <v/>
      </c>
      <c r="G460">
        <f>E460+F460</f>
        <v/>
      </c>
      <c r="H460">
        <f>IF(VLOOKUP(A460,04_PROYECTOS!$A:$N,10,FALSE)="", IF(VLOOKUP(A460,04_PROYECTOS!$A:$N,4,FALSE)="Privado", INDEX(02B_ESCENARIOS!$B$4:$D$11, MATCH("DSO_PRIVADO_DEFAULT", 02B_ESCENARIOS!$A$4:$A$11, 0), MATCH("Agresivo", 02B_ESCENARIOS!$B$3:$D$3, 0)), IF(VLOOKUP(A460,04_PROYECTOS!$A:$N,4,FALSE)="Publico_&lt;10M",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VLOOKUP(A460,04_PROYECTOS!$A:$N,10,FALSE))</f>
        <v/>
      </c>
      <c r="I460">
        <f>ROUNDUP(H460/30,0)</f>
        <v/>
      </c>
      <c r="J460">
        <f>EDATE(C460,I460)</f>
        <v/>
      </c>
      <c r="K460">
        <f>G460</f>
        <v/>
      </c>
    </row>
    <row r="461">
      <c r="E461">
        <f>D461*VLOOKUP(A461,04_PROYECTOS!$A:$N,5,FALSE)*(INDEX(02B_ESCENARIOS!$B$4:$D$11, MATCH("MULT_PRECIO", 02B_ESCENARIOS!$A$4:$A$11, 0), MATCH("Agresivo", 02B_ESCENARIOS!$B$3:$D$3, 0)))*INDEX(02B_ESCENARIOS!$B$15:$D$19, MATCH(VLOOKUP(A461,04_PROYECTOS!$A:$N,9,FALSE), 02B_ESCENARIOS!$A$15:$A$19, 0), MATCH("Agresivo", 02B_ESCENARIOS!$B$14:$D$14, 0))</f>
        <v/>
      </c>
      <c r="F461">
        <f>E461*VLOOKUP(A461,04_PROYECTOS!$A:$N,6,FALSE)</f>
        <v/>
      </c>
      <c r="G461">
        <f>E461+F461</f>
        <v/>
      </c>
      <c r="H461">
        <f>IF(VLOOKUP(A461,04_PROYECTOS!$A:$N,10,FALSE)="", IF(VLOOKUP(A461,04_PROYECTOS!$A:$N,4,FALSE)="Privado", INDEX(02B_ESCENARIOS!$B$4:$D$11, MATCH("DSO_PRIVADO_DEFAULT", 02B_ESCENARIOS!$A$4:$A$11, 0), MATCH("Agresivo", 02B_ESCENARIOS!$B$3:$D$3, 0)), IF(VLOOKUP(A461,04_PROYECTOS!$A:$N,4,FALSE)="Publico_&lt;10M",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VLOOKUP(A461,04_PROYECTOS!$A:$N,10,FALSE))</f>
        <v/>
      </c>
      <c r="I461">
        <f>ROUNDUP(H461/30,0)</f>
        <v/>
      </c>
      <c r="J461">
        <f>EDATE(C461,I461)</f>
        <v/>
      </c>
      <c r="K461">
        <f>G461</f>
        <v/>
      </c>
    </row>
    <row r="462">
      <c r="E462">
        <f>D462*VLOOKUP(A462,04_PROYECTOS!$A:$N,5,FALSE)*(INDEX(02B_ESCENARIOS!$B$4:$D$11, MATCH("MULT_PRECIO", 02B_ESCENARIOS!$A$4:$A$11, 0), MATCH("Agresivo", 02B_ESCENARIOS!$B$3:$D$3, 0)))*INDEX(02B_ESCENARIOS!$B$15:$D$19, MATCH(VLOOKUP(A462,04_PROYECTOS!$A:$N,9,FALSE), 02B_ESCENARIOS!$A$15:$A$19, 0), MATCH("Agresivo", 02B_ESCENARIOS!$B$14:$D$14, 0))</f>
        <v/>
      </c>
      <c r="F462">
        <f>E462*VLOOKUP(A462,04_PROYECTOS!$A:$N,6,FALSE)</f>
        <v/>
      </c>
      <c r="G462">
        <f>E462+F462</f>
        <v/>
      </c>
      <c r="H462">
        <f>IF(VLOOKUP(A462,04_PROYECTOS!$A:$N,10,FALSE)="", IF(VLOOKUP(A462,04_PROYECTOS!$A:$N,4,FALSE)="Privado", INDEX(02B_ESCENARIOS!$B$4:$D$11, MATCH("DSO_PRIVADO_DEFAULT", 02B_ESCENARIOS!$A$4:$A$11, 0), MATCH("Agresivo", 02B_ESCENARIOS!$B$3:$D$3, 0)), IF(VLOOKUP(A462,04_PROYECTOS!$A:$N,4,FALSE)="Publico_&lt;10M",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VLOOKUP(A462,04_PROYECTOS!$A:$N,10,FALSE))</f>
        <v/>
      </c>
      <c r="I462">
        <f>ROUNDUP(H462/30,0)</f>
        <v/>
      </c>
      <c r="J462">
        <f>EDATE(C462,I462)</f>
        <v/>
      </c>
      <c r="K462">
        <f>G462</f>
        <v/>
      </c>
    </row>
    <row r="463">
      <c r="E463">
        <f>D463*VLOOKUP(A463,04_PROYECTOS!$A:$N,5,FALSE)*(INDEX(02B_ESCENARIOS!$B$4:$D$11, MATCH("MULT_PRECIO", 02B_ESCENARIOS!$A$4:$A$11, 0), MATCH("Agresivo", 02B_ESCENARIOS!$B$3:$D$3, 0)))*INDEX(02B_ESCENARIOS!$B$15:$D$19, MATCH(VLOOKUP(A463,04_PROYECTOS!$A:$N,9,FALSE), 02B_ESCENARIOS!$A$15:$A$19, 0), MATCH("Agresivo", 02B_ESCENARIOS!$B$14:$D$14, 0))</f>
        <v/>
      </c>
      <c r="F463">
        <f>E463*VLOOKUP(A463,04_PROYECTOS!$A:$N,6,FALSE)</f>
        <v/>
      </c>
      <c r="G463">
        <f>E463+F463</f>
        <v/>
      </c>
      <c r="H463">
        <f>IF(VLOOKUP(A463,04_PROYECTOS!$A:$N,10,FALSE)="", IF(VLOOKUP(A463,04_PROYECTOS!$A:$N,4,FALSE)="Privado", INDEX(02B_ESCENARIOS!$B$4:$D$11, MATCH("DSO_PRIVADO_DEFAULT", 02B_ESCENARIOS!$A$4:$A$11, 0), MATCH("Agresivo", 02B_ESCENARIOS!$B$3:$D$3, 0)), IF(VLOOKUP(A463,04_PROYECTOS!$A:$N,4,FALSE)="Publico_&lt;10M",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VLOOKUP(A463,04_PROYECTOS!$A:$N,10,FALSE))</f>
        <v/>
      </c>
      <c r="I463">
        <f>ROUNDUP(H463/30,0)</f>
        <v/>
      </c>
      <c r="J463">
        <f>EDATE(C463,I463)</f>
        <v/>
      </c>
      <c r="K463">
        <f>G463</f>
        <v/>
      </c>
    </row>
    <row r="464">
      <c r="E464">
        <f>D464*VLOOKUP(A464,04_PROYECTOS!$A:$N,5,FALSE)*(INDEX(02B_ESCENARIOS!$B$4:$D$11, MATCH("MULT_PRECIO", 02B_ESCENARIOS!$A$4:$A$11, 0), MATCH("Agresivo", 02B_ESCENARIOS!$B$3:$D$3, 0)))*INDEX(02B_ESCENARIOS!$B$15:$D$19, MATCH(VLOOKUP(A464,04_PROYECTOS!$A:$N,9,FALSE), 02B_ESCENARIOS!$A$15:$A$19, 0), MATCH("Agresivo", 02B_ESCENARIOS!$B$14:$D$14, 0))</f>
        <v/>
      </c>
      <c r="F464">
        <f>E464*VLOOKUP(A464,04_PROYECTOS!$A:$N,6,FALSE)</f>
        <v/>
      </c>
      <c r="G464">
        <f>E464+F464</f>
        <v/>
      </c>
      <c r="H464">
        <f>IF(VLOOKUP(A464,04_PROYECTOS!$A:$N,10,FALSE)="", IF(VLOOKUP(A464,04_PROYECTOS!$A:$N,4,FALSE)="Privado", INDEX(02B_ESCENARIOS!$B$4:$D$11, MATCH("DSO_PRIVADO_DEFAULT", 02B_ESCENARIOS!$A$4:$A$11, 0), MATCH("Agresivo", 02B_ESCENARIOS!$B$3:$D$3, 0)), IF(VLOOKUP(A464,04_PROYECTOS!$A:$N,4,FALSE)="Publico_&lt;10M",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VLOOKUP(A464,04_PROYECTOS!$A:$N,10,FALSE))</f>
        <v/>
      </c>
      <c r="I464">
        <f>ROUNDUP(H464/30,0)</f>
        <v/>
      </c>
      <c r="J464">
        <f>EDATE(C464,I464)</f>
        <v/>
      </c>
      <c r="K464">
        <f>G464</f>
        <v/>
      </c>
    </row>
    <row r="465">
      <c r="E465">
        <f>D465*VLOOKUP(A465,04_PROYECTOS!$A:$N,5,FALSE)*(INDEX(02B_ESCENARIOS!$B$4:$D$11, MATCH("MULT_PRECIO", 02B_ESCENARIOS!$A$4:$A$11, 0), MATCH("Agresivo", 02B_ESCENARIOS!$B$3:$D$3, 0)))*INDEX(02B_ESCENARIOS!$B$15:$D$19, MATCH(VLOOKUP(A465,04_PROYECTOS!$A:$N,9,FALSE), 02B_ESCENARIOS!$A$15:$A$19, 0), MATCH("Agresivo", 02B_ESCENARIOS!$B$14:$D$14, 0))</f>
        <v/>
      </c>
      <c r="F465">
        <f>E465*VLOOKUP(A465,04_PROYECTOS!$A:$N,6,FALSE)</f>
        <v/>
      </c>
      <c r="G465">
        <f>E465+F465</f>
        <v/>
      </c>
      <c r="H465">
        <f>IF(VLOOKUP(A465,04_PROYECTOS!$A:$N,10,FALSE)="", IF(VLOOKUP(A465,04_PROYECTOS!$A:$N,4,FALSE)="Privado", INDEX(02B_ESCENARIOS!$B$4:$D$11, MATCH("DSO_PRIVADO_DEFAULT", 02B_ESCENARIOS!$A$4:$A$11, 0), MATCH("Agresivo", 02B_ESCENARIOS!$B$3:$D$3, 0)), IF(VLOOKUP(A465,04_PROYECTOS!$A:$N,4,FALSE)="Publico_&lt;10M",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VLOOKUP(A465,04_PROYECTOS!$A:$N,10,FALSE))</f>
        <v/>
      </c>
      <c r="I465">
        <f>ROUNDUP(H465/30,0)</f>
        <v/>
      </c>
      <c r="J465">
        <f>EDATE(C465,I465)</f>
        <v/>
      </c>
      <c r="K465">
        <f>G465</f>
        <v/>
      </c>
    </row>
    <row r="466">
      <c r="E466">
        <f>D466*VLOOKUP(A466,04_PROYECTOS!$A:$N,5,FALSE)*(INDEX(02B_ESCENARIOS!$B$4:$D$11, MATCH("MULT_PRECIO", 02B_ESCENARIOS!$A$4:$A$11, 0), MATCH("Agresivo", 02B_ESCENARIOS!$B$3:$D$3, 0)))*INDEX(02B_ESCENARIOS!$B$15:$D$19, MATCH(VLOOKUP(A466,04_PROYECTOS!$A:$N,9,FALSE), 02B_ESCENARIOS!$A$15:$A$19, 0), MATCH("Agresivo", 02B_ESCENARIOS!$B$14:$D$14, 0))</f>
        <v/>
      </c>
      <c r="F466">
        <f>E466*VLOOKUP(A466,04_PROYECTOS!$A:$N,6,FALSE)</f>
        <v/>
      </c>
      <c r="G466">
        <f>E466+F466</f>
        <v/>
      </c>
      <c r="H466">
        <f>IF(VLOOKUP(A466,04_PROYECTOS!$A:$N,10,FALSE)="", IF(VLOOKUP(A466,04_PROYECTOS!$A:$N,4,FALSE)="Privado", INDEX(02B_ESCENARIOS!$B$4:$D$11, MATCH("DSO_PRIVADO_DEFAULT", 02B_ESCENARIOS!$A$4:$A$11, 0), MATCH("Agresivo", 02B_ESCENARIOS!$B$3:$D$3, 0)), IF(VLOOKUP(A466,04_PROYECTOS!$A:$N,4,FALSE)="Publico_&lt;10M",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VLOOKUP(A466,04_PROYECTOS!$A:$N,10,FALSE))</f>
        <v/>
      </c>
      <c r="I466">
        <f>ROUNDUP(H466/30,0)</f>
        <v/>
      </c>
      <c r="J466">
        <f>EDATE(C466,I466)</f>
        <v/>
      </c>
      <c r="K466">
        <f>G466</f>
        <v/>
      </c>
    </row>
    <row r="467">
      <c r="E467">
        <f>D467*VLOOKUP(A467,04_PROYECTOS!$A:$N,5,FALSE)*(INDEX(02B_ESCENARIOS!$B$4:$D$11, MATCH("MULT_PRECIO", 02B_ESCENARIOS!$A$4:$A$11, 0), MATCH("Agresivo", 02B_ESCENARIOS!$B$3:$D$3, 0)))*INDEX(02B_ESCENARIOS!$B$15:$D$19, MATCH(VLOOKUP(A467,04_PROYECTOS!$A:$N,9,FALSE), 02B_ESCENARIOS!$A$15:$A$19, 0), MATCH("Agresivo", 02B_ESCENARIOS!$B$14:$D$14, 0))</f>
        <v/>
      </c>
      <c r="F467">
        <f>E467*VLOOKUP(A467,04_PROYECTOS!$A:$N,6,FALSE)</f>
        <v/>
      </c>
      <c r="G467">
        <f>E467+F467</f>
        <v/>
      </c>
      <c r="H467">
        <f>IF(VLOOKUP(A467,04_PROYECTOS!$A:$N,10,FALSE)="", IF(VLOOKUP(A467,04_PROYECTOS!$A:$N,4,FALSE)="Privado", INDEX(02B_ESCENARIOS!$B$4:$D$11, MATCH("DSO_PRIVADO_DEFAULT", 02B_ESCENARIOS!$A$4:$A$11, 0), MATCH("Agresivo", 02B_ESCENARIOS!$B$3:$D$3, 0)), IF(VLOOKUP(A467,04_PROYECTOS!$A:$N,4,FALSE)="Publico_&lt;10M",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VLOOKUP(A467,04_PROYECTOS!$A:$N,10,FALSE))</f>
        <v/>
      </c>
      <c r="I467">
        <f>ROUNDUP(H467/30,0)</f>
        <v/>
      </c>
      <c r="J467">
        <f>EDATE(C467,I467)</f>
        <v/>
      </c>
      <c r="K467">
        <f>G467</f>
        <v/>
      </c>
    </row>
    <row r="468">
      <c r="E468">
        <f>D468*VLOOKUP(A468,04_PROYECTOS!$A:$N,5,FALSE)*(INDEX(02B_ESCENARIOS!$B$4:$D$11, MATCH("MULT_PRECIO", 02B_ESCENARIOS!$A$4:$A$11, 0), MATCH("Agresivo", 02B_ESCENARIOS!$B$3:$D$3, 0)))*INDEX(02B_ESCENARIOS!$B$15:$D$19, MATCH(VLOOKUP(A468,04_PROYECTOS!$A:$N,9,FALSE), 02B_ESCENARIOS!$A$15:$A$19, 0), MATCH("Agresivo", 02B_ESCENARIOS!$B$14:$D$14, 0))</f>
        <v/>
      </c>
      <c r="F468">
        <f>E468*VLOOKUP(A468,04_PROYECTOS!$A:$N,6,FALSE)</f>
        <v/>
      </c>
      <c r="G468">
        <f>E468+F468</f>
        <v/>
      </c>
      <c r="H468">
        <f>IF(VLOOKUP(A468,04_PROYECTOS!$A:$N,10,FALSE)="", IF(VLOOKUP(A468,04_PROYECTOS!$A:$N,4,FALSE)="Privado", INDEX(02B_ESCENARIOS!$B$4:$D$11, MATCH("DSO_PRIVADO_DEFAULT", 02B_ESCENARIOS!$A$4:$A$11, 0), MATCH("Agresivo", 02B_ESCENARIOS!$B$3:$D$3, 0)), IF(VLOOKUP(A468,04_PROYECTOS!$A:$N,4,FALSE)="Publico_&lt;10M",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VLOOKUP(A468,04_PROYECTOS!$A:$N,10,FALSE))</f>
        <v/>
      </c>
      <c r="I468">
        <f>ROUNDUP(H468/30,0)</f>
        <v/>
      </c>
      <c r="J468">
        <f>EDATE(C468,I468)</f>
        <v/>
      </c>
      <c r="K468">
        <f>G468</f>
        <v/>
      </c>
    </row>
    <row r="469">
      <c r="E469">
        <f>D469*VLOOKUP(A469,04_PROYECTOS!$A:$N,5,FALSE)*(INDEX(02B_ESCENARIOS!$B$4:$D$11, MATCH("MULT_PRECIO", 02B_ESCENARIOS!$A$4:$A$11, 0), MATCH("Agresivo", 02B_ESCENARIOS!$B$3:$D$3, 0)))*INDEX(02B_ESCENARIOS!$B$15:$D$19, MATCH(VLOOKUP(A469,04_PROYECTOS!$A:$N,9,FALSE), 02B_ESCENARIOS!$A$15:$A$19, 0), MATCH("Agresivo", 02B_ESCENARIOS!$B$14:$D$14, 0))</f>
        <v/>
      </c>
      <c r="F469">
        <f>E469*VLOOKUP(A469,04_PROYECTOS!$A:$N,6,FALSE)</f>
        <v/>
      </c>
      <c r="G469">
        <f>E469+F469</f>
        <v/>
      </c>
      <c r="H469">
        <f>IF(VLOOKUP(A469,04_PROYECTOS!$A:$N,10,FALSE)="", IF(VLOOKUP(A469,04_PROYECTOS!$A:$N,4,FALSE)="Privado", INDEX(02B_ESCENARIOS!$B$4:$D$11, MATCH("DSO_PRIVADO_DEFAULT", 02B_ESCENARIOS!$A$4:$A$11, 0), MATCH("Agresivo", 02B_ESCENARIOS!$B$3:$D$3, 0)), IF(VLOOKUP(A469,04_PROYECTOS!$A:$N,4,FALSE)="Publico_&lt;10M",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VLOOKUP(A469,04_PROYECTOS!$A:$N,10,FALSE))</f>
        <v/>
      </c>
      <c r="I469">
        <f>ROUNDUP(H469/30,0)</f>
        <v/>
      </c>
      <c r="J469">
        <f>EDATE(C469,I469)</f>
        <v/>
      </c>
      <c r="K469">
        <f>G469</f>
        <v/>
      </c>
    </row>
    <row r="470">
      <c r="E470">
        <f>D470*VLOOKUP(A470,04_PROYECTOS!$A:$N,5,FALSE)*(INDEX(02B_ESCENARIOS!$B$4:$D$11, MATCH("MULT_PRECIO", 02B_ESCENARIOS!$A$4:$A$11, 0), MATCH("Agresivo", 02B_ESCENARIOS!$B$3:$D$3, 0)))*INDEX(02B_ESCENARIOS!$B$15:$D$19, MATCH(VLOOKUP(A470,04_PROYECTOS!$A:$N,9,FALSE), 02B_ESCENARIOS!$A$15:$A$19, 0), MATCH("Agresivo", 02B_ESCENARIOS!$B$14:$D$14, 0))</f>
        <v/>
      </c>
      <c r="F470">
        <f>E470*VLOOKUP(A470,04_PROYECTOS!$A:$N,6,FALSE)</f>
        <v/>
      </c>
      <c r="G470">
        <f>E470+F470</f>
        <v/>
      </c>
      <c r="H470">
        <f>IF(VLOOKUP(A470,04_PROYECTOS!$A:$N,10,FALSE)="", IF(VLOOKUP(A470,04_PROYECTOS!$A:$N,4,FALSE)="Privado", INDEX(02B_ESCENARIOS!$B$4:$D$11, MATCH("DSO_PRIVADO_DEFAULT", 02B_ESCENARIOS!$A$4:$A$11, 0), MATCH("Agresivo", 02B_ESCENARIOS!$B$3:$D$3, 0)), IF(VLOOKUP(A470,04_PROYECTOS!$A:$N,4,FALSE)="Publico_&lt;10M",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VLOOKUP(A470,04_PROYECTOS!$A:$N,10,FALSE))</f>
        <v/>
      </c>
      <c r="I470">
        <f>ROUNDUP(H470/30,0)</f>
        <v/>
      </c>
      <c r="J470">
        <f>EDATE(C470,I470)</f>
        <v/>
      </c>
      <c r="K470">
        <f>G470</f>
        <v/>
      </c>
    </row>
    <row r="471">
      <c r="E471">
        <f>D471*VLOOKUP(A471,04_PROYECTOS!$A:$N,5,FALSE)*(INDEX(02B_ESCENARIOS!$B$4:$D$11, MATCH("MULT_PRECIO", 02B_ESCENARIOS!$A$4:$A$11, 0), MATCH("Agresivo", 02B_ESCENARIOS!$B$3:$D$3, 0)))*INDEX(02B_ESCENARIOS!$B$15:$D$19, MATCH(VLOOKUP(A471,04_PROYECTOS!$A:$N,9,FALSE), 02B_ESCENARIOS!$A$15:$A$19, 0), MATCH("Agresivo", 02B_ESCENARIOS!$B$14:$D$14, 0))</f>
        <v/>
      </c>
      <c r="F471">
        <f>E471*VLOOKUP(A471,04_PROYECTOS!$A:$N,6,FALSE)</f>
        <v/>
      </c>
      <c r="G471">
        <f>E471+F471</f>
        <v/>
      </c>
      <c r="H471">
        <f>IF(VLOOKUP(A471,04_PROYECTOS!$A:$N,10,FALSE)="", IF(VLOOKUP(A471,04_PROYECTOS!$A:$N,4,FALSE)="Privado", INDEX(02B_ESCENARIOS!$B$4:$D$11, MATCH("DSO_PRIVADO_DEFAULT", 02B_ESCENARIOS!$A$4:$A$11, 0), MATCH("Agresivo", 02B_ESCENARIOS!$B$3:$D$3, 0)), IF(VLOOKUP(A471,04_PROYECTOS!$A:$N,4,FALSE)="Publico_&lt;10M",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VLOOKUP(A471,04_PROYECTOS!$A:$N,10,FALSE))</f>
        <v/>
      </c>
      <c r="I471">
        <f>ROUNDUP(H471/30,0)</f>
        <v/>
      </c>
      <c r="J471">
        <f>EDATE(C471,I471)</f>
        <v/>
      </c>
      <c r="K471">
        <f>G471</f>
        <v/>
      </c>
    </row>
    <row r="472">
      <c r="E472">
        <f>D472*VLOOKUP(A472,04_PROYECTOS!$A:$N,5,FALSE)*(INDEX(02B_ESCENARIOS!$B$4:$D$11, MATCH("MULT_PRECIO", 02B_ESCENARIOS!$A$4:$A$11, 0), MATCH("Agresivo", 02B_ESCENARIOS!$B$3:$D$3, 0)))*INDEX(02B_ESCENARIOS!$B$15:$D$19, MATCH(VLOOKUP(A472,04_PROYECTOS!$A:$N,9,FALSE), 02B_ESCENARIOS!$A$15:$A$19, 0), MATCH("Agresivo", 02B_ESCENARIOS!$B$14:$D$14, 0))</f>
        <v/>
      </c>
      <c r="F472">
        <f>E472*VLOOKUP(A472,04_PROYECTOS!$A:$N,6,FALSE)</f>
        <v/>
      </c>
      <c r="G472">
        <f>E472+F472</f>
        <v/>
      </c>
      <c r="H472">
        <f>IF(VLOOKUP(A472,04_PROYECTOS!$A:$N,10,FALSE)="", IF(VLOOKUP(A472,04_PROYECTOS!$A:$N,4,FALSE)="Privado", INDEX(02B_ESCENARIOS!$B$4:$D$11, MATCH("DSO_PRIVADO_DEFAULT", 02B_ESCENARIOS!$A$4:$A$11, 0), MATCH("Agresivo", 02B_ESCENARIOS!$B$3:$D$3, 0)), IF(VLOOKUP(A472,04_PROYECTOS!$A:$N,4,FALSE)="Publico_&lt;10M",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VLOOKUP(A472,04_PROYECTOS!$A:$N,10,FALSE))</f>
        <v/>
      </c>
      <c r="I472">
        <f>ROUNDUP(H472/30,0)</f>
        <v/>
      </c>
      <c r="J472">
        <f>EDATE(C472,I472)</f>
        <v/>
      </c>
      <c r="K472">
        <f>G472</f>
        <v/>
      </c>
    </row>
    <row r="473">
      <c r="E473">
        <f>D473*VLOOKUP(A473,04_PROYECTOS!$A:$N,5,FALSE)*(INDEX(02B_ESCENARIOS!$B$4:$D$11, MATCH("MULT_PRECIO", 02B_ESCENARIOS!$A$4:$A$11, 0), MATCH("Agresivo", 02B_ESCENARIOS!$B$3:$D$3, 0)))*INDEX(02B_ESCENARIOS!$B$15:$D$19, MATCH(VLOOKUP(A473,04_PROYECTOS!$A:$N,9,FALSE), 02B_ESCENARIOS!$A$15:$A$19, 0), MATCH("Agresivo", 02B_ESCENARIOS!$B$14:$D$14, 0))</f>
        <v/>
      </c>
      <c r="F473">
        <f>E473*VLOOKUP(A473,04_PROYECTOS!$A:$N,6,FALSE)</f>
        <v/>
      </c>
      <c r="G473">
        <f>E473+F473</f>
        <v/>
      </c>
      <c r="H473">
        <f>IF(VLOOKUP(A473,04_PROYECTOS!$A:$N,10,FALSE)="", IF(VLOOKUP(A473,04_PROYECTOS!$A:$N,4,FALSE)="Privado", INDEX(02B_ESCENARIOS!$B$4:$D$11, MATCH("DSO_PRIVADO_DEFAULT", 02B_ESCENARIOS!$A$4:$A$11, 0), MATCH("Agresivo", 02B_ESCENARIOS!$B$3:$D$3, 0)), IF(VLOOKUP(A473,04_PROYECTOS!$A:$N,4,FALSE)="Publico_&lt;10M",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VLOOKUP(A473,04_PROYECTOS!$A:$N,10,FALSE))</f>
        <v/>
      </c>
      <c r="I473">
        <f>ROUNDUP(H473/30,0)</f>
        <v/>
      </c>
      <c r="J473">
        <f>EDATE(C473,I473)</f>
        <v/>
      </c>
      <c r="K473">
        <f>G473</f>
        <v/>
      </c>
    </row>
    <row r="474">
      <c r="E474">
        <f>D474*VLOOKUP(A474,04_PROYECTOS!$A:$N,5,FALSE)*(INDEX(02B_ESCENARIOS!$B$4:$D$11, MATCH("MULT_PRECIO", 02B_ESCENARIOS!$A$4:$A$11, 0), MATCH("Agresivo", 02B_ESCENARIOS!$B$3:$D$3, 0)))*INDEX(02B_ESCENARIOS!$B$15:$D$19, MATCH(VLOOKUP(A474,04_PROYECTOS!$A:$N,9,FALSE), 02B_ESCENARIOS!$A$15:$A$19, 0), MATCH("Agresivo", 02B_ESCENARIOS!$B$14:$D$14, 0))</f>
        <v/>
      </c>
      <c r="F474">
        <f>E474*VLOOKUP(A474,04_PROYECTOS!$A:$N,6,FALSE)</f>
        <v/>
      </c>
      <c r="G474">
        <f>E474+F474</f>
        <v/>
      </c>
      <c r="H474">
        <f>IF(VLOOKUP(A474,04_PROYECTOS!$A:$N,10,FALSE)="", IF(VLOOKUP(A474,04_PROYECTOS!$A:$N,4,FALSE)="Privado", INDEX(02B_ESCENARIOS!$B$4:$D$11, MATCH("DSO_PRIVADO_DEFAULT", 02B_ESCENARIOS!$A$4:$A$11, 0), MATCH("Agresivo", 02B_ESCENARIOS!$B$3:$D$3, 0)), IF(VLOOKUP(A474,04_PROYECTOS!$A:$N,4,FALSE)="Publico_&lt;10M",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VLOOKUP(A474,04_PROYECTOS!$A:$N,10,FALSE))</f>
        <v/>
      </c>
      <c r="I474">
        <f>ROUNDUP(H474/30,0)</f>
        <v/>
      </c>
      <c r="J474">
        <f>EDATE(C474,I474)</f>
        <v/>
      </c>
      <c r="K474">
        <f>G474</f>
        <v/>
      </c>
    </row>
    <row r="475">
      <c r="E475">
        <f>D475*VLOOKUP(A475,04_PROYECTOS!$A:$N,5,FALSE)*(INDEX(02B_ESCENARIOS!$B$4:$D$11, MATCH("MULT_PRECIO", 02B_ESCENARIOS!$A$4:$A$11, 0), MATCH("Agresivo", 02B_ESCENARIOS!$B$3:$D$3, 0)))*INDEX(02B_ESCENARIOS!$B$15:$D$19, MATCH(VLOOKUP(A475,04_PROYECTOS!$A:$N,9,FALSE), 02B_ESCENARIOS!$A$15:$A$19, 0), MATCH("Agresivo", 02B_ESCENARIOS!$B$14:$D$14, 0))</f>
        <v/>
      </c>
      <c r="F475">
        <f>E475*VLOOKUP(A475,04_PROYECTOS!$A:$N,6,FALSE)</f>
        <v/>
      </c>
      <c r="G475">
        <f>E475+F475</f>
        <v/>
      </c>
      <c r="H475">
        <f>IF(VLOOKUP(A475,04_PROYECTOS!$A:$N,10,FALSE)="", IF(VLOOKUP(A475,04_PROYECTOS!$A:$N,4,FALSE)="Privado", INDEX(02B_ESCENARIOS!$B$4:$D$11, MATCH("DSO_PRIVADO_DEFAULT", 02B_ESCENARIOS!$A$4:$A$11, 0), MATCH("Agresivo", 02B_ESCENARIOS!$B$3:$D$3, 0)), IF(VLOOKUP(A475,04_PROYECTOS!$A:$N,4,FALSE)="Publico_&lt;10M",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VLOOKUP(A475,04_PROYECTOS!$A:$N,10,FALSE))</f>
        <v/>
      </c>
      <c r="I475">
        <f>ROUNDUP(H475/30,0)</f>
        <v/>
      </c>
      <c r="J475">
        <f>EDATE(C475,I475)</f>
        <v/>
      </c>
      <c r="K475">
        <f>G475</f>
        <v/>
      </c>
    </row>
    <row r="476">
      <c r="E476">
        <f>D476*VLOOKUP(A476,04_PROYECTOS!$A:$N,5,FALSE)*(INDEX(02B_ESCENARIOS!$B$4:$D$11, MATCH("MULT_PRECIO", 02B_ESCENARIOS!$A$4:$A$11, 0), MATCH("Agresivo", 02B_ESCENARIOS!$B$3:$D$3, 0)))*INDEX(02B_ESCENARIOS!$B$15:$D$19, MATCH(VLOOKUP(A476,04_PROYECTOS!$A:$N,9,FALSE), 02B_ESCENARIOS!$A$15:$A$19, 0), MATCH("Agresivo", 02B_ESCENARIOS!$B$14:$D$14, 0))</f>
        <v/>
      </c>
      <c r="F476">
        <f>E476*VLOOKUP(A476,04_PROYECTOS!$A:$N,6,FALSE)</f>
        <v/>
      </c>
      <c r="G476">
        <f>E476+F476</f>
        <v/>
      </c>
      <c r="H476">
        <f>IF(VLOOKUP(A476,04_PROYECTOS!$A:$N,10,FALSE)="", IF(VLOOKUP(A476,04_PROYECTOS!$A:$N,4,FALSE)="Privado", INDEX(02B_ESCENARIOS!$B$4:$D$11, MATCH("DSO_PRIVADO_DEFAULT", 02B_ESCENARIOS!$A$4:$A$11, 0), MATCH("Agresivo", 02B_ESCENARIOS!$B$3:$D$3, 0)), IF(VLOOKUP(A476,04_PROYECTOS!$A:$N,4,FALSE)="Publico_&lt;10M",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VLOOKUP(A476,04_PROYECTOS!$A:$N,10,FALSE))</f>
        <v/>
      </c>
      <c r="I476">
        <f>ROUNDUP(H476/30,0)</f>
        <v/>
      </c>
      <c r="J476">
        <f>EDATE(C476,I476)</f>
        <v/>
      </c>
      <c r="K476">
        <f>G476</f>
        <v/>
      </c>
    </row>
    <row r="477">
      <c r="E477">
        <f>D477*VLOOKUP(A477,04_PROYECTOS!$A:$N,5,FALSE)*(INDEX(02B_ESCENARIOS!$B$4:$D$11, MATCH("MULT_PRECIO", 02B_ESCENARIOS!$A$4:$A$11, 0), MATCH("Agresivo", 02B_ESCENARIOS!$B$3:$D$3, 0)))*INDEX(02B_ESCENARIOS!$B$15:$D$19, MATCH(VLOOKUP(A477,04_PROYECTOS!$A:$N,9,FALSE), 02B_ESCENARIOS!$A$15:$A$19, 0), MATCH("Agresivo", 02B_ESCENARIOS!$B$14:$D$14, 0))</f>
        <v/>
      </c>
      <c r="F477">
        <f>E477*VLOOKUP(A477,04_PROYECTOS!$A:$N,6,FALSE)</f>
        <v/>
      </c>
      <c r="G477">
        <f>E477+F477</f>
        <v/>
      </c>
      <c r="H477">
        <f>IF(VLOOKUP(A477,04_PROYECTOS!$A:$N,10,FALSE)="", IF(VLOOKUP(A477,04_PROYECTOS!$A:$N,4,FALSE)="Privado", INDEX(02B_ESCENARIOS!$B$4:$D$11, MATCH("DSO_PRIVADO_DEFAULT", 02B_ESCENARIOS!$A$4:$A$11, 0), MATCH("Agresivo", 02B_ESCENARIOS!$B$3:$D$3, 0)), IF(VLOOKUP(A477,04_PROYECTOS!$A:$N,4,FALSE)="Publico_&lt;10M",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VLOOKUP(A477,04_PROYECTOS!$A:$N,10,FALSE))</f>
        <v/>
      </c>
      <c r="I477">
        <f>ROUNDUP(H477/30,0)</f>
        <v/>
      </c>
      <c r="J477">
        <f>EDATE(C477,I477)</f>
        <v/>
      </c>
      <c r="K477">
        <f>G477</f>
        <v/>
      </c>
    </row>
    <row r="478">
      <c r="E478">
        <f>D478*VLOOKUP(A478,04_PROYECTOS!$A:$N,5,FALSE)*(INDEX(02B_ESCENARIOS!$B$4:$D$11, MATCH("MULT_PRECIO", 02B_ESCENARIOS!$A$4:$A$11, 0), MATCH("Agresivo", 02B_ESCENARIOS!$B$3:$D$3, 0)))*INDEX(02B_ESCENARIOS!$B$15:$D$19, MATCH(VLOOKUP(A478,04_PROYECTOS!$A:$N,9,FALSE), 02B_ESCENARIOS!$A$15:$A$19, 0), MATCH("Agresivo", 02B_ESCENARIOS!$B$14:$D$14, 0))</f>
        <v/>
      </c>
      <c r="F478">
        <f>E478*VLOOKUP(A478,04_PROYECTOS!$A:$N,6,FALSE)</f>
        <v/>
      </c>
      <c r="G478">
        <f>E478+F478</f>
        <v/>
      </c>
      <c r="H478">
        <f>IF(VLOOKUP(A478,04_PROYECTOS!$A:$N,10,FALSE)="", IF(VLOOKUP(A478,04_PROYECTOS!$A:$N,4,FALSE)="Privado", INDEX(02B_ESCENARIOS!$B$4:$D$11, MATCH("DSO_PRIVADO_DEFAULT", 02B_ESCENARIOS!$A$4:$A$11, 0), MATCH("Agresivo", 02B_ESCENARIOS!$B$3:$D$3, 0)), IF(VLOOKUP(A478,04_PROYECTOS!$A:$N,4,FALSE)="Publico_&lt;10M",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VLOOKUP(A478,04_PROYECTOS!$A:$N,10,FALSE))</f>
        <v/>
      </c>
      <c r="I478">
        <f>ROUNDUP(H478/30,0)</f>
        <v/>
      </c>
      <c r="J478">
        <f>EDATE(C478,I478)</f>
        <v/>
      </c>
      <c r="K478">
        <f>G478</f>
        <v/>
      </c>
    </row>
    <row r="479">
      <c r="E479">
        <f>D479*VLOOKUP(A479,04_PROYECTOS!$A:$N,5,FALSE)*(INDEX(02B_ESCENARIOS!$B$4:$D$11, MATCH("MULT_PRECIO", 02B_ESCENARIOS!$A$4:$A$11, 0), MATCH("Agresivo", 02B_ESCENARIOS!$B$3:$D$3, 0)))*INDEX(02B_ESCENARIOS!$B$15:$D$19, MATCH(VLOOKUP(A479,04_PROYECTOS!$A:$N,9,FALSE), 02B_ESCENARIOS!$A$15:$A$19, 0), MATCH("Agresivo", 02B_ESCENARIOS!$B$14:$D$14, 0))</f>
        <v/>
      </c>
      <c r="F479">
        <f>E479*VLOOKUP(A479,04_PROYECTOS!$A:$N,6,FALSE)</f>
        <v/>
      </c>
      <c r="G479">
        <f>E479+F479</f>
        <v/>
      </c>
      <c r="H479">
        <f>IF(VLOOKUP(A479,04_PROYECTOS!$A:$N,10,FALSE)="", IF(VLOOKUP(A479,04_PROYECTOS!$A:$N,4,FALSE)="Privado", INDEX(02B_ESCENARIOS!$B$4:$D$11, MATCH("DSO_PRIVADO_DEFAULT", 02B_ESCENARIOS!$A$4:$A$11, 0), MATCH("Agresivo", 02B_ESCENARIOS!$B$3:$D$3, 0)), IF(VLOOKUP(A479,04_PROYECTOS!$A:$N,4,FALSE)="Publico_&lt;10M",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VLOOKUP(A479,04_PROYECTOS!$A:$N,10,FALSE))</f>
        <v/>
      </c>
      <c r="I479">
        <f>ROUNDUP(H479/30,0)</f>
        <v/>
      </c>
      <c r="J479">
        <f>EDATE(C479,I479)</f>
        <v/>
      </c>
      <c r="K479">
        <f>G479</f>
        <v/>
      </c>
    </row>
    <row r="480">
      <c r="E480">
        <f>D480*VLOOKUP(A480,04_PROYECTOS!$A:$N,5,FALSE)*(INDEX(02B_ESCENARIOS!$B$4:$D$11, MATCH("MULT_PRECIO", 02B_ESCENARIOS!$A$4:$A$11, 0), MATCH("Agresivo", 02B_ESCENARIOS!$B$3:$D$3, 0)))*INDEX(02B_ESCENARIOS!$B$15:$D$19, MATCH(VLOOKUP(A480,04_PROYECTOS!$A:$N,9,FALSE), 02B_ESCENARIOS!$A$15:$A$19, 0), MATCH("Agresivo", 02B_ESCENARIOS!$B$14:$D$14, 0))</f>
        <v/>
      </c>
      <c r="F480">
        <f>E480*VLOOKUP(A480,04_PROYECTOS!$A:$N,6,FALSE)</f>
        <v/>
      </c>
      <c r="G480">
        <f>E480+F480</f>
        <v/>
      </c>
      <c r="H480">
        <f>IF(VLOOKUP(A480,04_PROYECTOS!$A:$N,10,FALSE)="", IF(VLOOKUP(A480,04_PROYECTOS!$A:$N,4,FALSE)="Privado", INDEX(02B_ESCENARIOS!$B$4:$D$11, MATCH("DSO_PRIVADO_DEFAULT", 02B_ESCENARIOS!$A$4:$A$11, 0), MATCH("Agresivo", 02B_ESCENARIOS!$B$3:$D$3, 0)), IF(VLOOKUP(A480,04_PROYECTOS!$A:$N,4,FALSE)="Publico_&lt;10M",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VLOOKUP(A480,04_PROYECTOS!$A:$N,10,FALSE))</f>
        <v/>
      </c>
      <c r="I480">
        <f>ROUNDUP(H480/30,0)</f>
        <v/>
      </c>
      <c r="J480">
        <f>EDATE(C480,I480)</f>
        <v/>
      </c>
      <c r="K480">
        <f>G480</f>
        <v/>
      </c>
    </row>
    <row r="481">
      <c r="E481">
        <f>D481*VLOOKUP(A481,04_PROYECTOS!$A:$N,5,FALSE)*(INDEX(02B_ESCENARIOS!$B$4:$D$11, MATCH("MULT_PRECIO", 02B_ESCENARIOS!$A$4:$A$11, 0), MATCH("Agresivo", 02B_ESCENARIOS!$B$3:$D$3, 0)))*INDEX(02B_ESCENARIOS!$B$15:$D$19, MATCH(VLOOKUP(A481,04_PROYECTOS!$A:$N,9,FALSE), 02B_ESCENARIOS!$A$15:$A$19, 0), MATCH("Agresivo", 02B_ESCENARIOS!$B$14:$D$14, 0))</f>
        <v/>
      </c>
      <c r="F481">
        <f>E481*VLOOKUP(A481,04_PROYECTOS!$A:$N,6,FALSE)</f>
        <v/>
      </c>
      <c r="G481">
        <f>E481+F481</f>
        <v/>
      </c>
      <c r="H481">
        <f>IF(VLOOKUP(A481,04_PROYECTOS!$A:$N,10,FALSE)="", IF(VLOOKUP(A481,04_PROYECTOS!$A:$N,4,FALSE)="Privado", INDEX(02B_ESCENARIOS!$B$4:$D$11, MATCH("DSO_PRIVADO_DEFAULT", 02B_ESCENARIOS!$A$4:$A$11, 0), MATCH("Agresivo", 02B_ESCENARIOS!$B$3:$D$3, 0)), IF(VLOOKUP(A481,04_PROYECTOS!$A:$N,4,FALSE)="Publico_&lt;10M",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VLOOKUP(A481,04_PROYECTOS!$A:$N,10,FALSE))</f>
        <v/>
      </c>
      <c r="I481">
        <f>ROUNDUP(H481/30,0)</f>
        <v/>
      </c>
      <c r="J481">
        <f>EDATE(C481,I481)</f>
        <v/>
      </c>
      <c r="K481">
        <f>G481</f>
        <v/>
      </c>
    </row>
    <row r="482">
      <c r="E482">
        <f>D482*VLOOKUP(A482,04_PROYECTOS!$A:$N,5,FALSE)*(INDEX(02B_ESCENARIOS!$B$4:$D$11, MATCH("MULT_PRECIO", 02B_ESCENARIOS!$A$4:$A$11, 0), MATCH("Agresivo", 02B_ESCENARIOS!$B$3:$D$3, 0)))*INDEX(02B_ESCENARIOS!$B$15:$D$19, MATCH(VLOOKUP(A482,04_PROYECTOS!$A:$N,9,FALSE), 02B_ESCENARIOS!$A$15:$A$19, 0), MATCH("Agresivo", 02B_ESCENARIOS!$B$14:$D$14, 0))</f>
        <v/>
      </c>
      <c r="F482">
        <f>E482*VLOOKUP(A482,04_PROYECTOS!$A:$N,6,FALSE)</f>
        <v/>
      </c>
      <c r="G482">
        <f>E482+F482</f>
        <v/>
      </c>
      <c r="H482">
        <f>IF(VLOOKUP(A482,04_PROYECTOS!$A:$N,10,FALSE)="", IF(VLOOKUP(A482,04_PROYECTOS!$A:$N,4,FALSE)="Privado", INDEX(02B_ESCENARIOS!$B$4:$D$11, MATCH("DSO_PRIVADO_DEFAULT", 02B_ESCENARIOS!$A$4:$A$11, 0), MATCH("Agresivo", 02B_ESCENARIOS!$B$3:$D$3, 0)), IF(VLOOKUP(A482,04_PROYECTOS!$A:$N,4,FALSE)="Publico_&lt;10M",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VLOOKUP(A482,04_PROYECTOS!$A:$N,10,FALSE))</f>
        <v/>
      </c>
      <c r="I482">
        <f>ROUNDUP(H482/30,0)</f>
        <v/>
      </c>
      <c r="J482">
        <f>EDATE(C482,I482)</f>
        <v/>
      </c>
      <c r="K482">
        <f>G482</f>
        <v/>
      </c>
    </row>
    <row r="483">
      <c r="E483">
        <f>D483*VLOOKUP(A483,04_PROYECTOS!$A:$N,5,FALSE)*(INDEX(02B_ESCENARIOS!$B$4:$D$11, MATCH("MULT_PRECIO", 02B_ESCENARIOS!$A$4:$A$11, 0), MATCH("Agresivo", 02B_ESCENARIOS!$B$3:$D$3, 0)))*INDEX(02B_ESCENARIOS!$B$15:$D$19, MATCH(VLOOKUP(A483,04_PROYECTOS!$A:$N,9,FALSE), 02B_ESCENARIOS!$A$15:$A$19, 0), MATCH("Agresivo", 02B_ESCENARIOS!$B$14:$D$14, 0))</f>
        <v/>
      </c>
      <c r="F483">
        <f>E483*VLOOKUP(A483,04_PROYECTOS!$A:$N,6,FALSE)</f>
        <v/>
      </c>
      <c r="G483">
        <f>E483+F483</f>
        <v/>
      </c>
      <c r="H483">
        <f>IF(VLOOKUP(A483,04_PROYECTOS!$A:$N,10,FALSE)="", IF(VLOOKUP(A483,04_PROYECTOS!$A:$N,4,FALSE)="Privado", INDEX(02B_ESCENARIOS!$B$4:$D$11, MATCH("DSO_PRIVADO_DEFAULT", 02B_ESCENARIOS!$A$4:$A$11, 0), MATCH("Agresivo", 02B_ESCENARIOS!$B$3:$D$3, 0)), IF(VLOOKUP(A483,04_PROYECTOS!$A:$N,4,FALSE)="Publico_&lt;10M",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VLOOKUP(A483,04_PROYECTOS!$A:$N,10,FALSE))</f>
        <v/>
      </c>
      <c r="I483">
        <f>ROUNDUP(H483/30,0)</f>
        <v/>
      </c>
      <c r="J483">
        <f>EDATE(C483,I483)</f>
        <v/>
      </c>
      <c r="K483">
        <f>G483</f>
        <v/>
      </c>
    </row>
    <row r="484">
      <c r="E484">
        <f>D484*VLOOKUP(A484,04_PROYECTOS!$A:$N,5,FALSE)*(INDEX(02B_ESCENARIOS!$B$4:$D$11, MATCH("MULT_PRECIO", 02B_ESCENARIOS!$A$4:$A$11, 0), MATCH("Agresivo", 02B_ESCENARIOS!$B$3:$D$3, 0)))*INDEX(02B_ESCENARIOS!$B$15:$D$19, MATCH(VLOOKUP(A484,04_PROYECTOS!$A:$N,9,FALSE), 02B_ESCENARIOS!$A$15:$A$19, 0), MATCH("Agresivo", 02B_ESCENARIOS!$B$14:$D$14, 0))</f>
        <v/>
      </c>
      <c r="F484">
        <f>E484*VLOOKUP(A484,04_PROYECTOS!$A:$N,6,FALSE)</f>
        <v/>
      </c>
      <c r="G484">
        <f>E484+F484</f>
        <v/>
      </c>
      <c r="H484">
        <f>IF(VLOOKUP(A484,04_PROYECTOS!$A:$N,10,FALSE)="", IF(VLOOKUP(A484,04_PROYECTOS!$A:$N,4,FALSE)="Privado", INDEX(02B_ESCENARIOS!$B$4:$D$11, MATCH("DSO_PRIVADO_DEFAULT", 02B_ESCENARIOS!$A$4:$A$11, 0), MATCH("Agresivo", 02B_ESCENARIOS!$B$3:$D$3, 0)), IF(VLOOKUP(A484,04_PROYECTOS!$A:$N,4,FALSE)="Publico_&lt;10M",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VLOOKUP(A484,04_PROYECTOS!$A:$N,10,FALSE))</f>
        <v/>
      </c>
      <c r="I484">
        <f>ROUNDUP(H484/30,0)</f>
        <v/>
      </c>
      <c r="J484">
        <f>EDATE(C484,I484)</f>
        <v/>
      </c>
      <c r="K484">
        <f>G484</f>
        <v/>
      </c>
    </row>
    <row r="485">
      <c r="E485">
        <f>D485*VLOOKUP(A485,04_PROYECTOS!$A:$N,5,FALSE)*(INDEX(02B_ESCENARIOS!$B$4:$D$11, MATCH("MULT_PRECIO", 02B_ESCENARIOS!$A$4:$A$11, 0), MATCH("Agresivo", 02B_ESCENARIOS!$B$3:$D$3, 0)))*INDEX(02B_ESCENARIOS!$B$15:$D$19, MATCH(VLOOKUP(A485,04_PROYECTOS!$A:$N,9,FALSE), 02B_ESCENARIOS!$A$15:$A$19, 0), MATCH("Agresivo", 02B_ESCENARIOS!$B$14:$D$14, 0))</f>
        <v/>
      </c>
      <c r="F485">
        <f>E485*VLOOKUP(A485,04_PROYECTOS!$A:$N,6,FALSE)</f>
        <v/>
      </c>
      <c r="G485">
        <f>E485+F485</f>
        <v/>
      </c>
      <c r="H485">
        <f>IF(VLOOKUP(A485,04_PROYECTOS!$A:$N,10,FALSE)="", IF(VLOOKUP(A485,04_PROYECTOS!$A:$N,4,FALSE)="Privado", INDEX(02B_ESCENARIOS!$B$4:$D$11, MATCH("DSO_PRIVADO_DEFAULT", 02B_ESCENARIOS!$A$4:$A$11, 0), MATCH("Agresivo", 02B_ESCENARIOS!$B$3:$D$3, 0)), IF(VLOOKUP(A485,04_PROYECTOS!$A:$N,4,FALSE)="Publico_&lt;10M",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VLOOKUP(A485,04_PROYECTOS!$A:$N,10,FALSE))</f>
        <v/>
      </c>
      <c r="I485">
        <f>ROUNDUP(H485/30,0)</f>
        <v/>
      </c>
      <c r="J485">
        <f>EDATE(C485,I485)</f>
        <v/>
      </c>
      <c r="K485">
        <f>G485</f>
        <v/>
      </c>
    </row>
    <row r="486">
      <c r="E486">
        <f>D486*VLOOKUP(A486,04_PROYECTOS!$A:$N,5,FALSE)*(INDEX(02B_ESCENARIOS!$B$4:$D$11, MATCH("MULT_PRECIO", 02B_ESCENARIOS!$A$4:$A$11, 0), MATCH("Agresivo", 02B_ESCENARIOS!$B$3:$D$3, 0)))*INDEX(02B_ESCENARIOS!$B$15:$D$19, MATCH(VLOOKUP(A486,04_PROYECTOS!$A:$N,9,FALSE), 02B_ESCENARIOS!$A$15:$A$19, 0), MATCH("Agresivo", 02B_ESCENARIOS!$B$14:$D$14, 0))</f>
        <v/>
      </c>
      <c r="F486">
        <f>E486*VLOOKUP(A486,04_PROYECTOS!$A:$N,6,FALSE)</f>
        <v/>
      </c>
      <c r="G486">
        <f>E486+F486</f>
        <v/>
      </c>
      <c r="H486">
        <f>IF(VLOOKUP(A486,04_PROYECTOS!$A:$N,10,FALSE)="", IF(VLOOKUP(A486,04_PROYECTOS!$A:$N,4,FALSE)="Privado", INDEX(02B_ESCENARIOS!$B$4:$D$11, MATCH("DSO_PRIVADO_DEFAULT", 02B_ESCENARIOS!$A$4:$A$11, 0), MATCH("Agresivo", 02B_ESCENARIOS!$B$3:$D$3, 0)), IF(VLOOKUP(A486,04_PROYECTOS!$A:$N,4,FALSE)="Publico_&lt;10M",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VLOOKUP(A486,04_PROYECTOS!$A:$N,10,FALSE))</f>
        <v/>
      </c>
      <c r="I486">
        <f>ROUNDUP(H486/30,0)</f>
        <v/>
      </c>
      <c r="J486">
        <f>EDATE(C486,I486)</f>
        <v/>
      </c>
      <c r="K486">
        <f>G486</f>
        <v/>
      </c>
    </row>
    <row r="487">
      <c r="E487">
        <f>D487*VLOOKUP(A487,04_PROYECTOS!$A:$N,5,FALSE)*(INDEX(02B_ESCENARIOS!$B$4:$D$11, MATCH("MULT_PRECIO", 02B_ESCENARIOS!$A$4:$A$11, 0), MATCH("Agresivo", 02B_ESCENARIOS!$B$3:$D$3, 0)))*INDEX(02B_ESCENARIOS!$B$15:$D$19, MATCH(VLOOKUP(A487,04_PROYECTOS!$A:$N,9,FALSE), 02B_ESCENARIOS!$A$15:$A$19, 0), MATCH("Agresivo", 02B_ESCENARIOS!$B$14:$D$14, 0))</f>
        <v/>
      </c>
      <c r="F487">
        <f>E487*VLOOKUP(A487,04_PROYECTOS!$A:$N,6,FALSE)</f>
        <v/>
      </c>
      <c r="G487">
        <f>E487+F487</f>
        <v/>
      </c>
      <c r="H487">
        <f>IF(VLOOKUP(A487,04_PROYECTOS!$A:$N,10,FALSE)="", IF(VLOOKUP(A487,04_PROYECTOS!$A:$N,4,FALSE)="Privado", INDEX(02B_ESCENARIOS!$B$4:$D$11, MATCH("DSO_PRIVADO_DEFAULT", 02B_ESCENARIOS!$A$4:$A$11, 0), MATCH("Agresivo", 02B_ESCENARIOS!$B$3:$D$3, 0)), IF(VLOOKUP(A487,04_PROYECTOS!$A:$N,4,FALSE)="Publico_&lt;10M",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VLOOKUP(A487,04_PROYECTOS!$A:$N,10,FALSE))</f>
        <v/>
      </c>
      <c r="I487">
        <f>ROUNDUP(H487/30,0)</f>
        <v/>
      </c>
      <c r="J487">
        <f>EDATE(C487,I487)</f>
        <v/>
      </c>
      <c r="K487">
        <f>G487</f>
        <v/>
      </c>
    </row>
    <row r="488">
      <c r="E488">
        <f>D488*VLOOKUP(A488,04_PROYECTOS!$A:$N,5,FALSE)*(INDEX(02B_ESCENARIOS!$B$4:$D$11, MATCH("MULT_PRECIO", 02B_ESCENARIOS!$A$4:$A$11, 0), MATCH("Agresivo", 02B_ESCENARIOS!$B$3:$D$3, 0)))*INDEX(02B_ESCENARIOS!$B$15:$D$19, MATCH(VLOOKUP(A488,04_PROYECTOS!$A:$N,9,FALSE), 02B_ESCENARIOS!$A$15:$A$19, 0), MATCH("Agresivo", 02B_ESCENARIOS!$B$14:$D$14, 0))</f>
        <v/>
      </c>
      <c r="F488">
        <f>E488*VLOOKUP(A488,04_PROYECTOS!$A:$N,6,FALSE)</f>
        <v/>
      </c>
      <c r="G488">
        <f>E488+F488</f>
        <v/>
      </c>
      <c r="H488">
        <f>IF(VLOOKUP(A488,04_PROYECTOS!$A:$N,10,FALSE)="", IF(VLOOKUP(A488,04_PROYECTOS!$A:$N,4,FALSE)="Privado", INDEX(02B_ESCENARIOS!$B$4:$D$11, MATCH("DSO_PRIVADO_DEFAULT", 02B_ESCENARIOS!$A$4:$A$11, 0), MATCH("Agresivo", 02B_ESCENARIOS!$B$3:$D$3, 0)), IF(VLOOKUP(A488,04_PROYECTOS!$A:$N,4,FALSE)="Publico_&lt;10M",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VLOOKUP(A488,04_PROYECTOS!$A:$N,10,FALSE))</f>
        <v/>
      </c>
      <c r="I488">
        <f>ROUNDUP(H488/30,0)</f>
        <v/>
      </c>
      <c r="J488">
        <f>EDATE(C488,I488)</f>
        <v/>
      </c>
      <c r="K488">
        <f>G488</f>
        <v/>
      </c>
    </row>
    <row r="489">
      <c r="E489">
        <f>D489*VLOOKUP(A489,04_PROYECTOS!$A:$N,5,FALSE)*(INDEX(02B_ESCENARIOS!$B$4:$D$11, MATCH("MULT_PRECIO", 02B_ESCENARIOS!$A$4:$A$11, 0), MATCH("Agresivo", 02B_ESCENARIOS!$B$3:$D$3, 0)))*INDEX(02B_ESCENARIOS!$B$15:$D$19, MATCH(VLOOKUP(A489,04_PROYECTOS!$A:$N,9,FALSE), 02B_ESCENARIOS!$A$15:$A$19, 0), MATCH("Agresivo", 02B_ESCENARIOS!$B$14:$D$14, 0))</f>
        <v/>
      </c>
      <c r="F489">
        <f>E489*VLOOKUP(A489,04_PROYECTOS!$A:$N,6,FALSE)</f>
        <v/>
      </c>
      <c r="G489">
        <f>E489+F489</f>
        <v/>
      </c>
      <c r="H489">
        <f>IF(VLOOKUP(A489,04_PROYECTOS!$A:$N,10,FALSE)="", IF(VLOOKUP(A489,04_PROYECTOS!$A:$N,4,FALSE)="Privado", INDEX(02B_ESCENARIOS!$B$4:$D$11, MATCH("DSO_PRIVADO_DEFAULT", 02B_ESCENARIOS!$A$4:$A$11, 0), MATCH("Agresivo", 02B_ESCENARIOS!$B$3:$D$3, 0)), IF(VLOOKUP(A489,04_PROYECTOS!$A:$N,4,FALSE)="Publico_&lt;10M",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VLOOKUP(A489,04_PROYECTOS!$A:$N,10,FALSE))</f>
        <v/>
      </c>
      <c r="I489">
        <f>ROUNDUP(H489/30,0)</f>
        <v/>
      </c>
      <c r="J489">
        <f>EDATE(C489,I489)</f>
        <v/>
      </c>
      <c r="K489">
        <f>G489</f>
        <v/>
      </c>
    </row>
    <row r="490">
      <c r="E490">
        <f>D490*VLOOKUP(A490,04_PROYECTOS!$A:$N,5,FALSE)*(INDEX(02B_ESCENARIOS!$B$4:$D$11, MATCH("MULT_PRECIO", 02B_ESCENARIOS!$A$4:$A$11, 0), MATCH("Agresivo", 02B_ESCENARIOS!$B$3:$D$3, 0)))*INDEX(02B_ESCENARIOS!$B$15:$D$19, MATCH(VLOOKUP(A490,04_PROYECTOS!$A:$N,9,FALSE), 02B_ESCENARIOS!$A$15:$A$19, 0), MATCH("Agresivo", 02B_ESCENARIOS!$B$14:$D$14, 0))</f>
        <v/>
      </c>
      <c r="F490">
        <f>E490*VLOOKUP(A490,04_PROYECTOS!$A:$N,6,FALSE)</f>
        <v/>
      </c>
      <c r="G490">
        <f>E490+F490</f>
        <v/>
      </c>
      <c r="H490">
        <f>IF(VLOOKUP(A490,04_PROYECTOS!$A:$N,10,FALSE)="", IF(VLOOKUP(A490,04_PROYECTOS!$A:$N,4,FALSE)="Privado", INDEX(02B_ESCENARIOS!$B$4:$D$11, MATCH("DSO_PRIVADO_DEFAULT", 02B_ESCENARIOS!$A$4:$A$11, 0), MATCH("Agresivo", 02B_ESCENARIOS!$B$3:$D$3, 0)), IF(VLOOKUP(A490,04_PROYECTOS!$A:$N,4,FALSE)="Publico_&lt;10M",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VLOOKUP(A490,04_PROYECTOS!$A:$N,10,FALSE))</f>
        <v/>
      </c>
      <c r="I490">
        <f>ROUNDUP(H490/30,0)</f>
        <v/>
      </c>
      <c r="J490">
        <f>EDATE(C490,I490)</f>
        <v/>
      </c>
      <c r="K490">
        <f>G490</f>
        <v/>
      </c>
    </row>
    <row r="491">
      <c r="E491">
        <f>D491*VLOOKUP(A491,04_PROYECTOS!$A:$N,5,FALSE)*(INDEX(02B_ESCENARIOS!$B$4:$D$11, MATCH("MULT_PRECIO", 02B_ESCENARIOS!$A$4:$A$11, 0), MATCH("Agresivo", 02B_ESCENARIOS!$B$3:$D$3, 0)))*INDEX(02B_ESCENARIOS!$B$15:$D$19, MATCH(VLOOKUP(A491,04_PROYECTOS!$A:$N,9,FALSE), 02B_ESCENARIOS!$A$15:$A$19, 0), MATCH("Agresivo", 02B_ESCENARIOS!$B$14:$D$14, 0))</f>
        <v/>
      </c>
      <c r="F491">
        <f>E491*VLOOKUP(A491,04_PROYECTOS!$A:$N,6,FALSE)</f>
        <v/>
      </c>
      <c r="G491">
        <f>E491+F491</f>
        <v/>
      </c>
      <c r="H491">
        <f>IF(VLOOKUP(A491,04_PROYECTOS!$A:$N,10,FALSE)="", IF(VLOOKUP(A491,04_PROYECTOS!$A:$N,4,FALSE)="Privado", INDEX(02B_ESCENARIOS!$B$4:$D$11, MATCH("DSO_PRIVADO_DEFAULT", 02B_ESCENARIOS!$A$4:$A$11, 0), MATCH("Agresivo", 02B_ESCENARIOS!$B$3:$D$3, 0)), IF(VLOOKUP(A491,04_PROYECTOS!$A:$N,4,FALSE)="Publico_&lt;10M",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VLOOKUP(A491,04_PROYECTOS!$A:$N,10,FALSE))</f>
        <v/>
      </c>
      <c r="I491">
        <f>ROUNDUP(H491/30,0)</f>
        <v/>
      </c>
      <c r="J491">
        <f>EDATE(C491,I491)</f>
        <v/>
      </c>
      <c r="K491">
        <f>G491</f>
        <v/>
      </c>
    </row>
    <row r="492">
      <c r="E492">
        <f>D492*VLOOKUP(A492,04_PROYECTOS!$A:$N,5,FALSE)*(INDEX(02B_ESCENARIOS!$B$4:$D$11, MATCH("MULT_PRECIO", 02B_ESCENARIOS!$A$4:$A$11, 0), MATCH("Agresivo", 02B_ESCENARIOS!$B$3:$D$3, 0)))*INDEX(02B_ESCENARIOS!$B$15:$D$19, MATCH(VLOOKUP(A492,04_PROYECTOS!$A:$N,9,FALSE), 02B_ESCENARIOS!$A$15:$A$19, 0), MATCH("Agresivo", 02B_ESCENARIOS!$B$14:$D$14, 0))</f>
        <v/>
      </c>
      <c r="F492">
        <f>E492*VLOOKUP(A492,04_PROYECTOS!$A:$N,6,FALSE)</f>
        <v/>
      </c>
      <c r="G492">
        <f>E492+F492</f>
        <v/>
      </c>
      <c r="H492">
        <f>IF(VLOOKUP(A492,04_PROYECTOS!$A:$N,10,FALSE)="", IF(VLOOKUP(A492,04_PROYECTOS!$A:$N,4,FALSE)="Privado", INDEX(02B_ESCENARIOS!$B$4:$D$11, MATCH("DSO_PRIVADO_DEFAULT", 02B_ESCENARIOS!$A$4:$A$11, 0), MATCH("Agresivo", 02B_ESCENARIOS!$B$3:$D$3, 0)), IF(VLOOKUP(A492,04_PROYECTOS!$A:$N,4,FALSE)="Publico_&lt;10M",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VLOOKUP(A492,04_PROYECTOS!$A:$N,10,FALSE))</f>
        <v/>
      </c>
      <c r="I492">
        <f>ROUNDUP(H492/30,0)</f>
        <v/>
      </c>
      <c r="J492">
        <f>EDATE(C492,I492)</f>
        <v/>
      </c>
      <c r="K492">
        <f>G492</f>
        <v/>
      </c>
    </row>
    <row r="493">
      <c r="E493">
        <f>D493*VLOOKUP(A493,04_PROYECTOS!$A:$N,5,FALSE)*(INDEX(02B_ESCENARIOS!$B$4:$D$11, MATCH("MULT_PRECIO", 02B_ESCENARIOS!$A$4:$A$11, 0), MATCH("Agresivo", 02B_ESCENARIOS!$B$3:$D$3, 0)))*INDEX(02B_ESCENARIOS!$B$15:$D$19, MATCH(VLOOKUP(A493,04_PROYECTOS!$A:$N,9,FALSE), 02B_ESCENARIOS!$A$15:$A$19, 0), MATCH("Agresivo", 02B_ESCENARIOS!$B$14:$D$14, 0))</f>
        <v/>
      </c>
      <c r="F493">
        <f>E493*VLOOKUP(A493,04_PROYECTOS!$A:$N,6,FALSE)</f>
        <v/>
      </c>
      <c r="G493">
        <f>E493+F493</f>
        <v/>
      </c>
      <c r="H493">
        <f>IF(VLOOKUP(A493,04_PROYECTOS!$A:$N,10,FALSE)="", IF(VLOOKUP(A493,04_PROYECTOS!$A:$N,4,FALSE)="Privado", INDEX(02B_ESCENARIOS!$B$4:$D$11, MATCH("DSO_PRIVADO_DEFAULT", 02B_ESCENARIOS!$A$4:$A$11, 0), MATCH("Agresivo", 02B_ESCENARIOS!$B$3:$D$3, 0)), IF(VLOOKUP(A493,04_PROYECTOS!$A:$N,4,FALSE)="Publico_&lt;10M",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VLOOKUP(A493,04_PROYECTOS!$A:$N,10,FALSE))</f>
        <v/>
      </c>
      <c r="I493">
        <f>ROUNDUP(H493/30,0)</f>
        <v/>
      </c>
      <c r="J493">
        <f>EDATE(C493,I493)</f>
        <v/>
      </c>
      <c r="K493">
        <f>G493</f>
        <v/>
      </c>
    </row>
    <row r="494">
      <c r="E494">
        <f>D494*VLOOKUP(A494,04_PROYECTOS!$A:$N,5,FALSE)*(INDEX(02B_ESCENARIOS!$B$4:$D$11, MATCH("MULT_PRECIO", 02B_ESCENARIOS!$A$4:$A$11, 0), MATCH("Agresivo", 02B_ESCENARIOS!$B$3:$D$3, 0)))*INDEX(02B_ESCENARIOS!$B$15:$D$19, MATCH(VLOOKUP(A494,04_PROYECTOS!$A:$N,9,FALSE), 02B_ESCENARIOS!$A$15:$A$19, 0), MATCH("Agresivo", 02B_ESCENARIOS!$B$14:$D$14, 0))</f>
        <v/>
      </c>
      <c r="F494">
        <f>E494*VLOOKUP(A494,04_PROYECTOS!$A:$N,6,FALSE)</f>
        <v/>
      </c>
      <c r="G494">
        <f>E494+F494</f>
        <v/>
      </c>
      <c r="H494">
        <f>IF(VLOOKUP(A494,04_PROYECTOS!$A:$N,10,FALSE)="", IF(VLOOKUP(A494,04_PROYECTOS!$A:$N,4,FALSE)="Privado", INDEX(02B_ESCENARIOS!$B$4:$D$11, MATCH("DSO_PRIVADO_DEFAULT", 02B_ESCENARIOS!$A$4:$A$11, 0), MATCH("Agresivo", 02B_ESCENARIOS!$B$3:$D$3, 0)), IF(VLOOKUP(A494,04_PROYECTOS!$A:$N,4,FALSE)="Publico_&lt;10M",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VLOOKUP(A494,04_PROYECTOS!$A:$N,10,FALSE))</f>
        <v/>
      </c>
      <c r="I494">
        <f>ROUNDUP(H494/30,0)</f>
        <v/>
      </c>
      <c r="J494">
        <f>EDATE(C494,I494)</f>
        <v/>
      </c>
      <c r="K494">
        <f>G494</f>
        <v/>
      </c>
    </row>
    <row r="495">
      <c r="E495">
        <f>D495*VLOOKUP(A495,04_PROYECTOS!$A:$N,5,FALSE)*(INDEX(02B_ESCENARIOS!$B$4:$D$11, MATCH("MULT_PRECIO", 02B_ESCENARIOS!$A$4:$A$11, 0), MATCH("Agresivo", 02B_ESCENARIOS!$B$3:$D$3, 0)))*INDEX(02B_ESCENARIOS!$B$15:$D$19, MATCH(VLOOKUP(A495,04_PROYECTOS!$A:$N,9,FALSE), 02B_ESCENARIOS!$A$15:$A$19, 0), MATCH("Agresivo", 02B_ESCENARIOS!$B$14:$D$14, 0))</f>
        <v/>
      </c>
      <c r="F495">
        <f>E495*VLOOKUP(A495,04_PROYECTOS!$A:$N,6,FALSE)</f>
        <v/>
      </c>
      <c r="G495">
        <f>E495+F495</f>
        <v/>
      </c>
      <c r="H495">
        <f>IF(VLOOKUP(A495,04_PROYECTOS!$A:$N,10,FALSE)="", IF(VLOOKUP(A495,04_PROYECTOS!$A:$N,4,FALSE)="Privado", INDEX(02B_ESCENARIOS!$B$4:$D$11, MATCH("DSO_PRIVADO_DEFAULT", 02B_ESCENARIOS!$A$4:$A$11, 0), MATCH("Agresivo", 02B_ESCENARIOS!$B$3:$D$3, 0)), IF(VLOOKUP(A495,04_PROYECTOS!$A:$N,4,FALSE)="Publico_&lt;10M",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VLOOKUP(A495,04_PROYECTOS!$A:$N,10,FALSE))</f>
        <v/>
      </c>
      <c r="I495">
        <f>ROUNDUP(H495/30,0)</f>
        <v/>
      </c>
      <c r="J495">
        <f>EDATE(C495,I495)</f>
        <v/>
      </c>
      <c r="K495">
        <f>G495</f>
        <v/>
      </c>
    </row>
    <row r="496">
      <c r="E496">
        <f>D496*VLOOKUP(A496,04_PROYECTOS!$A:$N,5,FALSE)*(INDEX(02B_ESCENARIOS!$B$4:$D$11, MATCH("MULT_PRECIO", 02B_ESCENARIOS!$A$4:$A$11, 0), MATCH("Agresivo", 02B_ESCENARIOS!$B$3:$D$3, 0)))*INDEX(02B_ESCENARIOS!$B$15:$D$19, MATCH(VLOOKUP(A496,04_PROYECTOS!$A:$N,9,FALSE), 02B_ESCENARIOS!$A$15:$A$19, 0), MATCH("Agresivo", 02B_ESCENARIOS!$B$14:$D$14, 0))</f>
        <v/>
      </c>
      <c r="F496">
        <f>E496*VLOOKUP(A496,04_PROYECTOS!$A:$N,6,FALSE)</f>
        <v/>
      </c>
      <c r="G496">
        <f>E496+F496</f>
        <v/>
      </c>
      <c r="H496">
        <f>IF(VLOOKUP(A496,04_PROYECTOS!$A:$N,10,FALSE)="", IF(VLOOKUP(A496,04_PROYECTOS!$A:$N,4,FALSE)="Privado", INDEX(02B_ESCENARIOS!$B$4:$D$11, MATCH("DSO_PRIVADO_DEFAULT", 02B_ESCENARIOS!$A$4:$A$11, 0), MATCH("Agresivo", 02B_ESCENARIOS!$B$3:$D$3, 0)), IF(VLOOKUP(A496,04_PROYECTOS!$A:$N,4,FALSE)="Publico_&lt;10M",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VLOOKUP(A496,04_PROYECTOS!$A:$N,10,FALSE))</f>
        <v/>
      </c>
      <c r="I496">
        <f>ROUNDUP(H496/30,0)</f>
        <v/>
      </c>
      <c r="J496">
        <f>EDATE(C496,I496)</f>
        <v/>
      </c>
      <c r="K496">
        <f>G496</f>
        <v/>
      </c>
    </row>
    <row r="497">
      <c r="E497">
        <f>D497*VLOOKUP(A497,04_PROYECTOS!$A:$N,5,FALSE)*(INDEX(02B_ESCENARIOS!$B$4:$D$11, MATCH("MULT_PRECIO", 02B_ESCENARIOS!$A$4:$A$11, 0), MATCH("Agresivo", 02B_ESCENARIOS!$B$3:$D$3, 0)))*INDEX(02B_ESCENARIOS!$B$15:$D$19, MATCH(VLOOKUP(A497,04_PROYECTOS!$A:$N,9,FALSE), 02B_ESCENARIOS!$A$15:$A$19, 0), MATCH("Agresivo", 02B_ESCENARIOS!$B$14:$D$14, 0))</f>
        <v/>
      </c>
      <c r="F497">
        <f>E497*VLOOKUP(A497,04_PROYECTOS!$A:$N,6,FALSE)</f>
        <v/>
      </c>
      <c r="G497">
        <f>E497+F497</f>
        <v/>
      </c>
      <c r="H497">
        <f>IF(VLOOKUP(A497,04_PROYECTOS!$A:$N,10,FALSE)="", IF(VLOOKUP(A497,04_PROYECTOS!$A:$N,4,FALSE)="Privado", INDEX(02B_ESCENARIOS!$B$4:$D$11, MATCH("DSO_PRIVADO_DEFAULT", 02B_ESCENARIOS!$A$4:$A$11, 0), MATCH("Agresivo", 02B_ESCENARIOS!$B$3:$D$3, 0)), IF(VLOOKUP(A497,04_PROYECTOS!$A:$N,4,FALSE)="Publico_&lt;10M",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VLOOKUP(A497,04_PROYECTOS!$A:$N,10,FALSE))</f>
        <v/>
      </c>
      <c r="I497">
        <f>ROUNDUP(H497/30,0)</f>
        <v/>
      </c>
      <c r="J497">
        <f>EDATE(C497,I497)</f>
        <v/>
      </c>
      <c r="K497">
        <f>G497</f>
        <v/>
      </c>
    </row>
    <row r="498">
      <c r="E498">
        <f>D498*VLOOKUP(A498,04_PROYECTOS!$A:$N,5,FALSE)*(INDEX(02B_ESCENARIOS!$B$4:$D$11, MATCH("MULT_PRECIO", 02B_ESCENARIOS!$A$4:$A$11, 0), MATCH("Agresivo", 02B_ESCENARIOS!$B$3:$D$3, 0)))*INDEX(02B_ESCENARIOS!$B$15:$D$19, MATCH(VLOOKUP(A498,04_PROYECTOS!$A:$N,9,FALSE), 02B_ESCENARIOS!$A$15:$A$19, 0), MATCH("Agresivo", 02B_ESCENARIOS!$B$14:$D$14, 0))</f>
        <v/>
      </c>
      <c r="F498">
        <f>E498*VLOOKUP(A498,04_PROYECTOS!$A:$N,6,FALSE)</f>
        <v/>
      </c>
      <c r="G498">
        <f>E498+F498</f>
        <v/>
      </c>
      <c r="H498">
        <f>IF(VLOOKUP(A498,04_PROYECTOS!$A:$N,10,FALSE)="", IF(VLOOKUP(A498,04_PROYECTOS!$A:$N,4,FALSE)="Privado", INDEX(02B_ESCENARIOS!$B$4:$D$11, MATCH("DSO_PRIVADO_DEFAULT", 02B_ESCENARIOS!$A$4:$A$11, 0), MATCH("Agresivo", 02B_ESCENARIOS!$B$3:$D$3, 0)), IF(VLOOKUP(A498,04_PROYECTOS!$A:$N,4,FALSE)="Publico_&lt;10M",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VLOOKUP(A498,04_PROYECTOS!$A:$N,10,FALSE))</f>
        <v/>
      </c>
      <c r="I498">
        <f>ROUNDUP(H498/30,0)</f>
        <v/>
      </c>
      <c r="J498">
        <f>EDATE(C498,I498)</f>
        <v/>
      </c>
      <c r="K498">
        <f>G498</f>
        <v/>
      </c>
    </row>
    <row r="499">
      <c r="E499">
        <f>D499*VLOOKUP(A499,04_PROYECTOS!$A:$N,5,FALSE)*(INDEX(02B_ESCENARIOS!$B$4:$D$11, MATCH("MULT_PRECIO", 02B_ESCENARIOS!$A$4:$A$11, 0), MATCH("Agresivo", 02B_ESCENARIOS!$B$3:$D$3, 0)))*INDEX(02B_ESCENARIOS!$B$15:$D$19, MATCH(VLOOKUP(A499,04_PROYECTOS!$A:$N,9,FALSE), 02B_ESCENARIOS!$A$15:$A$19, 0), MATCH("Agresivo", 02B_ESCENARIOS!$B$14:$D$14, 0))</f>
        <v/>
      </c>
      <c r="F499">
        <f>E499*VLOOKUP(A499,04_PROYECTOS!$A:$N,6,FALSE)</f>
        <v/>
      </c>
      <c r="G499">
        <f>E499+F499</f>
        <v/>
      </c>
      <c r="H499">
        <f>IF(VLOOKUP(A499,04_PROYECTOS!$A:$N,10,FALSE)="", IF(VLOOKUP(A499,04_PROYECTOS!$A:$N,4,FALSE)="Privado", INDEX(02B_ESCENARIOS!$B$4:$D$11, MATCH("DSO_PRIVADO_DEFAULT", 02B_ESCENARIOS!$A$4:$A$11, 0), MATCH("Agresivo", 02B_ESCENARIOS!$B$3:$D$3, 0)), IF(VLOOKUP(A499,04_PROYECTOS!$A:$N,4,FALSE)="Publico_&lt;10M",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VLOOKUP(A499,04_PROYECTOS!$A:$N,10,FALSE))</f>
        <v/>
      </c>
      <c r="I499">
        <f>ROUNDUP(H499/30,0)</f>
        <v/>
      </c>
      <c r="J499">
        <f>EDATE(C499,I499)</f>
        <v/>
      </c>
      <c r="K499">
        <f>G499</f>
        <v/>
      </c>
    </row>
    <row r="500">
      <c r="E500">
        <f>D500*VLOOKUP(A500,04_PROYECTOS!$A:$N,5,FALSE)*(INDEX(02B_ESCENARIOS!$B$4:$D$11, MATCH("MULT_PRECIO", 02B_ESCENARIOS!$A$4:$A$11, 0), MATCH("Agresivo", 02B_ESCENARIOS!$B$3:$D$3, 0)))*INDEX(02B_ESCENARIOS!$B$15:$D$19, MATCH(VLOOKUP(A500,04_PROYECTOS!$A:$N,9,FALSE), 02B_ESCENARIOS!$A$15:$A$19, 0), MATCH("Agresivo", 02B_ESCENARIOS!$B$14:$D$14, 0))</f>
        <v/>
      </c>
      <c r="F500">
        <f>E500*VLOOKUP(A500,04_PROYECTOS!$A:$N,6,FALSE)</f>
        <v/>
      </c>
      <c r="G500">
        <f>E500+F500</f>
        <v/>
      </c>
      <c r="H500">
        <f>IF(VLOOKUP(A500,04_PROYECTOS!$A:$N,10,FALSE)="", IF(VLOOKUP(A500,04_PROYECTOS!$A:$N,4,FALSE)="Privado", INDEX(02B_ESCENARIOS!$B$4:$D$11, MATCH("DSO_PRIVADO_DEFAULT", 02B_ESCENARIOS!$A$4:$A$11, 0), MATCH("Agresivo", 02B_ESCENARIOS!$B$3:$D$3, 0)), IF(VLOOKUP(A500,04_PROYECTOS!$A:$N,4,FALSE)="Publico_&lt;10M", INDEX(02B_ESCENARIOS!$B$4:$D$11, MATCH("DSO_PUBLICO_LT10M_DEFAULT", 02B_ESCENARIOS!$A$4:$A$11, 0), MATCH("Agresivo", 02B_ESCENARIOS!$B$3:$D$3, 0)), INDEX(02B_ESCENARIOS!$B$4:$D$11, MATCH("DSO_PUBLICO_GTE10M_DEFAULT", 02B_ESCENARIOS!$A$4:$A$11, 0), MATCH("Agresivo", 02B_ESCENARIOS!$B$3:$D$3, 0)))), VLOOKUP(A500,04_PROYECTOS!$A:$N,10,FALSE))</f>
        <v/>
      </c>
      <c r="I500">
        <f>ROUNDUP(H500/30,0)</f>
        <v/>
      </c>
      <c r="J500">
        <f>EDATE(C500,I500)</f>
        <v/>
      </c>
      <c r="K500">
        <f>G500</f>
        <v/>
      </c>
    </row>
  </sheetData>
  <mergeCells count="1">
    <mergeCell ref="A1:M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</cols>
  <sheetData>
    <row r="1">
      <c r="A1" s="7" t="inlineStr">
        <is>
          <t>OPEX — PLAN MENSUAL NETO (Calculado)</t>
        </is>
      </c>
    </row>
    <row r="3">
      <c r="A3" s="8" t="inlineStr">
        <is>
          <t>OPEX_ID</t>
        </is>
      </c>
      <c r="B3" s="8" t="inlineStr">
        <is>
          <t>Concepto</t>
        </is>
      </c>
      <c r="C3" s="8" t="inlineStr">
        <is>
          <t>Recurrencia</t>
        </is>
      </c>
      <c r="D3" s="8" t="inlineStr">
        <is>
          <t>IVA_afecto</t>
        </is>
      </c>
      <c r="E3" s="31" t="n">
        <v>46053</v>
      </c>
      <c r="F3" s="31" t="n">
        <v>46081</v>
      </c>
      <c r="G3" s="31" t="n">
        <v>46112</v>
      </c>
      <c r="H3" s="31" t="n">
        <v>46142</v>
      </c>
      <c r="I3" s="31" t="n">
        <v>46173</v>
      </c>
      <c r="J3" s="31" t="n">
        <v>46203</v>
      </c>
      <c r="K3" s="31" t="n">
        <v>46234</v>
      </c>
      <c r="L3" s="31" t="n">
        <v>46265</v>
      </c>
      <c r="M3" s="31" t="n">
        <v>46295</v>
      </c>
      <c r="N3" s="31" t="n">
        <v>46326</v>
      </c>
      <c r="O3" s="31" t="n">
        <v>46356</v>
      </c>
      <c r="P3" s="31" t="n">
        <v>46387</v>
      </c>
      <c r="Q3" s="8" t="inlineStr">
        <is>
          <t>Total_Año</t>
        </is>
      </c>
    </row>
    <row r="4">
      <c r="A4" s="36" t="inlineStr">
        <is>
          <t>OPEX-001</t>
        </is>
      </c>
      <c r="B4" s="36">
        <f>IFERROR(VLOOKUP($A4,06_OPEX!$A:$L,2,FALSE),"")</f>
        <v/>
      </c>
      <c r="C4" s="37">
        <f>IFERROR(VLOOKUP($A4,06_OPEX!$A:$L,4,FALSE),"")</f>
        <v/>
      </c>
      <c r="D4" s="37">
        <f>IFERROR(VLOOKUP($A4,06_OPEX!$A:$L,7,FALSE),"")</f>
        <v/>
      </c>
      <c r="E4" s="52">
        <f>(IF($C4="Mensual",IF(AND(E$3&gt;=VLOOKUP($A4,06_OPEX!$A:$L,8,FALSE),E$3&lt;=VLOOKUP($A4,06_OPEX!$A:$L,9,FALSE)),-VLOOKUP($A4,06_OPEX!$A:$L,6,FALSE),0),IF($C4="Unico",IF(E$3=VLOOKUP($A4,06_OPEX!$A:$L,10,FALSE),-VLOOKUP($A4,06_OPEX!$A:$L,6,FALSE),0),IF($C4="Custom",-IFERROR(VLOOKUP($A4,06C_OPEX_CUSTOM!$A:$O,2+MATCH(E$3,06C_OPEX_CUSTOM!$C$3:$N$3,0),FALSE),0),0))))*IFERROR(IF(VLOOKUP($A4,06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F4" s="52">
        <f>(IF($C4="Mensual",IF(AND(F$3&gt;=VLOOKUP($A4,06_OPEX!$A:$L,8,FALSE),F$3&lt;=VLOOKUP($A4,06_OPEX!$A:$L,9,FALSE)),-VLOOKUP($A4,06_OPEX!$A:$L,6,FALSE),0),IF($C4="Unico",IF(F$3=VLOOKUP($A4,06_OPEX!$A:$L,10,FALSE),-VLOOKUP($A4,06_OPEX!$A:$L,6,FALSE),0),IF($C4="Custom",-IFERROR(VLOOKUP($A4,06C_OPEX_CUSTOM!$A:$O,2+MATCH(F$3,06C_OPEX_CUSTOM!$C$3:$N$3,0),FALSE),0),0))))*IFERROR(IF(VLOOKUP($A4,06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G4" s="52">
        <f>(IF($C4="Mensual",IF(AND(G$3&gt;=VLOOKUP($A4,06_OPEX!$A:$L,8,FALSE),G$3&lt;=VLOOKUP($A4,06_OPEX!$A:$L,9,FALSE)),-VLOOKUP($A4,06_OPEX!$A:$L,6,FALSE),0),IF($C4="Unico",IF(G$3=VLOOKUP($A4,06_OPEX!$A:$L,10,FALSE),-VLOOKUP($A4,06_OPEX!$A:$L,6,FALSE),0),IF($C4="Custom",-IFERROR(VLOOKUP($A4,06C_OPEX_CUSTOM!$A:$O,2+MATCH(G$3,06C_OPEX_CUSTOM!$C$3:$N$3,0),FALSE),0),0))))*IFERROR(IF(VLOOKUP($A4,06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H4" s="52">
        <f>(IF($C4="Mensual",IF(AND(H$3&gt;=VLOOKUP($A4,06_OPEX!$A:$L,8,FALSE),H$3&lt;=VLOOKUP($A4,06_OPEX!$A:$L,9,FALSE)),-VLOOKUP($A4,06_OPEX!$A:$L,6,FALSE),0),IF($C4="Unico",IF(H$3=VLOOKUP($A4,06_OPEX!$A:$L,10,FALSE),-VLOOKUP($A4,06_OPEX!$A:$L,6,FALSE),0),IF($C4="Custom",-IFERROR(VLOOKUP($A4,06C_OPEX_CUSTOM!$A:$O,2+MATCH(H$3,06C_OPEX_CUSTOM!$C$3:$N$3,0),FALSE),0),0))))*IFERROR(IF(VLOOKUP($A4,06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I4" s="52">
        <f>(IF($C4="Mensual",IF(AND(I$3&gt;=VLOOKUP($A4,06_OPEX!$A:$L,8,FALSE),I$3&lt;=VLOOKUP($A4,06_OPEX!$A:$L,9,FALSE)),-VLOOKUP($A4,06_OPEX!$A:$L,6,FALSE),0),IF($C4="Unico",IF(I$3=VLOOKUP($A4,06_OPEX!$A:$L,10,FALSE),-VLOOKUP($A4,06_OPEX!$A:$L,6,FALSE),0),IF($C4="Custom",-IFERROR(VLOOKUP($A4,06C_OPEX_CUSTOM!$A:$O,2+MATCH(I$3,06C_OPEX_CUSTOM!$C$3:$N$3,0),FALSE),0),0))))*IFERROR(IF(VLOOKUP($A4,06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J4" s="52">
        <f>(IF($C4="Mensual",IF(AND(J$3&gt;=VLOOKUP($A4,06_OPEX!$A:$L,8,FALSE),J$3&lt;=VLOOKUP($A4,06_OPEX!$A:$L,9,FALSE)),-VLOOKUP($A4,06_OPEX!$A:$L,6,FALSE),0),IF($C4="Unico",IF(J$3=VLOOKUP($A4,06_OPEX!$A:$L,10,FALSE),-VLOOKUP($A4,06_OPEX!$A:$L,6,FALSE),0),IF($C4="Custom",-IFERROR(VLOOKUP($A4,06C_OPEX_CUSTOM!$A:$O,2+MATCH(J$3,06C_OPEX_CUSTOM!$C$3:$N$3,0),FALSE),0),0))))*IFERROR(IF(VLOOKUP($A4,06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K4" s="52">
        <f>(IF($C4="Mensual",IF(AND(K$3&gt;=VLOOKUP($A4,06_OPEX!$A:$L,8,FALSE),K$3&lt;=VLOOKUP($A4,06_OPEX!$A:$L,9,FALSE)),-VLOOKUP($A4,06_OPEX!$A:$L,6,FALSE),0),IF($C4="Unico",IF(K$3=VLOOKUP($A4,06_OPEX!$A:$L,10,FALSE),-VLOOKUP($A4,06_OPEX!$A:$L,6,FALSE),0),IF($C4="Custom",-IFERROR(VLOOKUP($A4,06C_OPEX_CUSTOM!$A:$O,2+MATCH(K$3,06C_OPEX_CUSTOM!$C$3:$N$3,0),FALSE),0),0))))*IFERROR(IF(VLOOKUP($A4,06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L4" s="52">
        <f>(IF($C4="Mensual",IF(AND(L$3&gt;=VLOOKUP($A4,06_OPEX!$A:$L,8,FALSE),L$3&lt;=VLOOKUP($A4,06_OPEX!$A:$L,9,FALSE)),-VLOOKUP($A4,06_OPEX!$A:$L,6,FALSE),0),IF($C4="Unico",IF(L$3=VLOOKUP($A4,06_OPEX!$A:$L,10,FALSE),-VLOOKUP($A4,06_OPEX!$A:$L,6,FALSE),0),IF($C4="Custom",-IFERROR(VLOOKUP($A4,06C_OPEX_CUSTOM!$A:$O,2+MATCH(L$3,06C_OPEX_CUSTOM!$C$3:$N$3,0),FALSE),0),0))))*IFERROR(IF(VLOOKUP($A4,06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M4" s="52">
        <f>(IF($C4="Mensual",IF(AND(M$3&gt;=VLOOKUP($A4,06_OPEX!$A:$L,8,FALSE),M$3&lt;=VLOOKUP($A4,06_OPEX!$A:$L,9,FALSE)),-VLOOKUP($A4,06_OPEX!$A:$L,6,FALSE),0),IF($C4="Unico",IF(M$3=VLOOKUP($A4,06_OPEX!$A:$L,10,FALSE),-VLOOKUP($A4,06_OPEX!$A:$L,6,FALSE),0),IF($C4="Custom",-IFERROR(VLOOKUP($A4,06C_OPEX_CUSTOM!$A:$O,2+MATCH(M$3,06C_OPEX_CUSTOM!$C$3:$N$3,0),FALSE),0),0))))*IFERROR(IF(VLOOKUP($A4,06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N4" s="52">
        <f>(IF($C4="Mensual",IF(AND(N$3&gt;=VLOOKUP($A4,06_OPEX!$A:$L,8,FALSE),N$3&lt;=VLOOKUP($A4,06_OPEX!$A:$L,9,FALSE)),-VLOOKUP($A4,06_OPEX!$A:$L,6,FALSE),0),IF($C4="Unico",IF(N$3=VLOOKUP($A4,06_OPEX!$A:$L,10,FALSE),-VLOOKUP($A4,06_OPEX!$A:$L,6,FALSE),0),IF($C4="Custom",-IFERROR(VLOOKUP($A4,06C_OPEX_CUSTOM!$A:$O,2+MATCH(N$3,06C_OPEX_CUSTOM!$C$3:$N$3,0),FALSE),0),0))))*IFERROR(IF(VLOOKUP($A4,06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O4" s="52">
        <f>(IF($C4="Mensual",IF(AND(O$3&gt;=VLOOKUP($A4,06_OPEX!$A:$L,8,FALSE),O$3&lt;=VLOOKUP($A4,06_OPEX!$A:$L,9,FALSE)),-VLOOKUP($A4,06_OPEX!$A:$L,6,FALSE),0),IF($C4="Unico",IF(O$3=VLOOKUP($A4,06_OPEX!$A:$L,10,FALSE),-VLOOKUP($A4,06_OPEX!$A:$L,6,FALSE),0),IF($C4="Custom",-IFERROR(VLOOKUP($A4,06C_OPEX_CUSTOM!$A:$O,2+MATCH(O$3,06C_OPEX_CUSTOM!$C$3:$N$3,0),FALSE),0),0))))*IFERROR(IF(VLOOKUP($A4,06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P4" s="52">
        <f>(IF($C4="Mensual",IF(AND(P$3&gt;=VLOOKUP($A4,06_OPEX!$A:$L,8,FALSE),P$3&lt;=VLOOKUP($A4,06_OPEX!$A:$L,9,FALSE)),-VLOOKUP($A4,06_OPEX!$A:$L,6,FALSE),0),IF($C4="Unico",IF(P$3=VLOOKUP($A4,06_OPEX!$A:$L,10,FALSE),-VLOOKUP($A4,06_OPEX!$A:$L,6,FALSE),0),IF($C4="Custom",-IFERROR(VLOOKUP($A4,06C_OPEX_CUSTOM!$A:$O,2+MATCH(P$3,06C_OPEX_CUSTOM!$C$3:$N$3,0),FALSE),0),0))))*IFERROR(IF(VLOOKUP($A4,06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Q4" s="56">
        <f>SUM(E4:P4)</f>
        <v/>
      </c>
    </row>
    <row r="5">
      <c r="A5" s="36" t="inlineStr">
        <is>
          <t>OPEX-002</t>
        </is>
      </c>
      <c r="B5" s="36">
        <f>IFERROR(VLOOKUP($A5,06_OPEX!$A:$L,2,FALSE),"")</f>
        <v/>
      </c>
      <c r="C5" s="37">
        <f>IFERROR(VLOOKUP($A5,06_OPEX!$A:$L,4,FALSE),"")</f>
        <v/>
      </c>
      <c r="D5" s="37">
        <f>IFERROR(VLOOKUP($A5,06_OPEX!$A:$L,7,FALSE),"")</f>
        <v/>
      </c>
      <c r="E5" s="52">
        <f>(IF($C5="Mensual",IF(AND(E$3&gt;=VLOOKUP($A5,06_OPEX!$A:$L,8,FALSE),E$3&lt;=VLOOKUP($A5,06_OPEX!$A:$L,9,FALSE)),-VLOOKUP($A5,06_OPEX!$A:$L,6,FALSE),0),IF($C5="Unico",IF(E$3=VLOOKUP($A5,06_OPEX!$A:$L,10,FALSE),-VLOOKUP($A5,06_OPEX!$A:$L,6,FALSE),0),IF($C5="Custom",-IFERROR(VLOOKUP($A5,06C_OPEX_CUSTOM!$A:$O,2+MATCH(E$3,06C_OPEX_CUSTOM!$C$3:$N$3,0),FALSE),0),0))))*IFERROR(IF(VLOOKUP($A5,06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F5" s="52">
        <f>(IF($C5="Mensual",IF(AND(F$3&gt;=VLOOKUP($A5,06_OPEX!$A:$L,8,FALSE),F$3&lt;=VLOOKUP($A5,06_OPEX!$A:$L,9,FALSE)),-VLOOKUP($A5,06_OPEX!$A:$L,6,FALSE),0),IF($C5="Unico",IF(F$3=VLOOKUP($A5,06_OPEX!$A:$L,10,FALSE),-VLOOKUP($A5,06_OPEX!$A:$L,6,FALSE),0),IF($C5="Custom",-IFERROR(VLOOKUP($A5,06C_OPEX_CUSTOM!$A:$O,2+MATCH(F$3,06C_OPEX_CUSTOM!$C$3:$N$3,0),FALSE),0),0))))*IFERROR(IF(VLOOKUP($A5,06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G5" s="52">
        <f>(IF($C5="Mensual",IF(AND(G$3&gt;=VLOOKUP($A5,06_OPEX!$A:$L,8,FALSE),G$3&lt;=VLOOKUP($A5,06_OPEX!$A:$L,9,FALSE)),-VLOOKUP($A5,06_OPEX!$A:$L,6,FALSE),0),IF($C5="Unico",IF(G$3=VLOOKUP($A5,06_OPEX!$A:$L,10,FALSE),-VLOOKUP($A5,06_OPEX!$A:$L,6,FALSE),0),IF($C5="Custom",-IFERROR(VLOOKUP($A5,06C_OPEX_CUSTOM!$A:$O,2+MATCH(G$3,06C_OPEX_CUSTOM!$C$3:$N$3,0),FALSE),0),0))))*IFERROR(IF(VLOOKUP($A5,06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H5" s="52">
        <f>(IF($C5="Mensual",IF(AND(H$3&gt;=VLOOKUP($A5,06_OPEX!$A:$L,8,FALSE),H$3&lt;=VLOOKUP($A5,06_OPEX!$A:$L,9,FALSE)),-VLOOKUP($A5,06_OPEX!$A:$L,6,FALSE),0),IF($C5="Unico",IF(H$3=VLOOKUP($A5,06_OPEX!$A:$L,10,FALSE),-VLOOKUP($A5,06_OPEX!$A:$L,6,FALSE),0),IF($C5="Custom",-IFERROR(VLOOKUP($A5,06C_OPEX_CUSTOM!$A:$O,2+MATCH(H$3,06C_OPEX_CUSTOM!$C$3:$N$3,0),FALSE),0),0))))*IFERROR(IF(VLOOKUP($A5,06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I5" s="52">
        <f>(IF($C5="Mensual",IF(AND(I$3&gt;=VLOOKUP($A5,06_OPEX!$A:$L,8,FALSE),I$3&lt;=VLOOKUP($A5,06_OPEX!$A:$L,9,FALSE)),-VLOOKUP($A5,06_OPEX!$A:$L,6,FALSE),0),IF($C5="Unico",IF(I$3=VLOOKUP($A5,06_OPEX!$A:$L,10,FALSE),-VLOOKUP($A5,06_OPEX!$A:$L,6,FALSE),0),IF($C5="Custom",-IFERROR(VLOOKUP($A5,06C_OPEX_CUSTOM!$A:$O,2+MATCH(I$3,06C_OPEX_CUSTOM!$C$3:$N$3,0),FALSE),0),0))))*IFERROR(IF(VLOOKUP($A5,06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J5" s="52">
        <f>(IF($C5="Mensual",IF(AND(J$3&gt;=VLOOKUP($A5,06_OPEX!$A:$L,8,FALSE),J$3&lt;=VLOOKUP($A5,06_OPEX!$A:$L,9,FALSE)),-VLOOKUP($A5,06_OPEX!$A:$L,6,FALSE),0),IF($C5="Unico",IF(J$3=VLOOKUP($A5,06_OPEX!$A:$L,10,FALSE),-VLOOKUP($A5,06_OPEX!$A:$L,6,FALSE),0),IF($C5="Custom",-IFERROR(VLOOKUP($A5,06C_OPEX_CUSTOM!$A:$O,2+MATCH(J$3,06C_OPEX_CUSTOM!$C$3:$N$3,0),FALSE),0),0))))*IFERROR(IF(VLOOKUP($A5,06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K5" s="52">
        <f>(IF($C5="Mensual",IF(AND(K$3&gt;=VLOOKUP($A5,06_OPEX!$A:$L,8,FALSE),K$3&lt;=VLOOKUP($A5,06_OPEX!$A:$L,9,FALSE)),-VLOOKUP($A5,06_OPEX!$A:$L,6,FALSE),0),IF($C5="Unico",IF(K$3=VLOOKUP($A5,06_OPEX!$A:$L,10,FALSE),-VLOOKUP($A5,06_OPEX!$A:$L,6,FALSE),0),IF($C5="Custom",-IFERROR(VLOOKUP($A5,06C_OPEX_CUSTOM!$A:$O,2+MATCH(K$3,06C_OPEX_CUSTOM!$C$3:$N$3,0),FALSE),0),0))))*IFERROR(IF(VLOOKUP($A5,06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L5" s="52">
        <f>(IF($C5="Mensual",IF(AND(L$3&gt;=VLOOKUP($A5,06_OPEX!$A:$L,8,FALSE),L$3&lt;=VLOOKUP($A5,06_OPEX!$A:$L,9,FALSE)),-VLOOKUP($A5,06_OPEX!$A:$L,6,FALSE),0),IF($C5="Unico",IF(L$3=VLOOKUP($A5,06_OPEX!$A:$L,10,FALSE),-VLOOKUP($A5,06_OPEX!$A:$L,6,FALSE),0),IF($C5="Custom",-IFERROR(VLOOKUP($A5,06C_OPEX_CUSTOM!$A:$O,2+MATCH(L$3,06C_OPEX_CUSTOM!$C$3:$N$3,0),FALSE),0),0))))*IFERROR(IF(VLOOKUP($A5,06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M5" s="52">
        <f>(IF($C5="Mensual",IF(AND(M$3&gt;=VLOOKUP($A5,06_OPEX!$A:$L,8,FALSE),M$3&lt;=VLOOKUP($A5,06_OPEX!$A:$L,9,FALSE)),-VLOOKUP($A5,06_OPEX!$A:$L,6,FALSE),0),IF($C5="Unico",IF(M$3=VLOOKUP($A5,06_OPEX!$A:$L,10,FALSE),-VLOOKUP($A5,06_OPEX!$A:$L,6,FALSE),0),IF($C5="Custom",-IFERROR(VLOOKUP($A5,06C_OPEX_CUSTOM!$A:$O,2+MATCH(M$3,06C_OPEX_CUSTOM!$C$3:$N$3,0),FALSE),0),0))))*IFERROR(IF(VLOOKUP($A5,06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N5" s="52">
        <f>(IF($C5="Mensual",IF(AND(N$3&gt;=VLOOKUP($A5,06_OPEX!$A:$L,8,FALSE),N$3&lt;=VLOOKUP($A5,06_OPEX!$A:$L,9,FALSE)),-VLOOKUP($A5,06_OPEX!$A:$L,6,FALSE),0),IF($C5="Unico",IF(N$3=VLOOKUP($A5,06_OPEX!$A:$L,10,FALSE),-VLOOKUP($A5,06_OPEX!$A:$L,6,FALSE),0),IF($C5="Custom",-IFERROR(VLOOKUP($A5,06C_OPEX_CUSTOM!$A:$O,2+MATCH(N$3,06C_OPEX_CUSTOM!$C$3:$N$3,0),FALSE),0),0))))*IFERROR(IF(VLOOKUP($A5,06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O5" s="52">
        <f>(IF($C5="Mensual",IF(AND(O$3&gt;=VLOOKUP($A5,06_OPEX!$A:$L,8,FALSE),O$3&lt;=VLOOKUP($A5,06_OPEX!$A:$L,9,FALSE)),-VLOOKUP($A5,06_OPEX!$A:$L,6,FALSE),0),IF($C5="Unico",IF(O$3=VLOOKUP($A5,06_OPEX!$A:$L,10,FALSE),-VLOOKUP($A5,06_OPEX!$A:$L,6,FALSE),0),IF($C5="Custom",-IFERROR(VLOOKUP($A5,06C_OPEX_CUSTOM!$A:$O,2+MATCH(O$3,06C_OPEX_CUSTOM!$C$3:$N$3,0),FALSE),0),0))))*IFERROR(IF(VLOOKUP($A5,06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P5" s="52">
        <f>(IF($C5="Mensual",IF(AND(P$3&gt;=VLOOKUP($A5,06_OPEX!$A:$L,8,FALSE),P$3&lt;=VLOOKUP($A5,06_OPEX!$A:$L,9,FALSE)),-VLOOKUP($A5,06_OPEX!$A:$L,6,FALSE),0),IF($C5="Unico",IF(P$3=VLOOKUP($A5,06_OPEX!$A:$L,10,FALSE),-VLOOKUP($A5,06_OPEX!$A:$L,6,FALSE),0),IF($C5="Custom",-IFERROR(VLOOKUP($A5,06C_OPEX_CUSTOM!$A:$O,2+MATCH(P$3,06C_OPEX_CUSTOM!$C$3:$N$3,0),FALSE),0),0))))*IFERROR(IF(VLOOKUP($A5,06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Q5" s="56">
        <f>SUM(E5:P5)</f>
        <v/>
      </c>
    </row>
    <row r="6">
      <c r="A6" s="36" t="inlineStr">
        <is>
          <t>OPEX-003</t>
        </is>
      </c>
      <c r="B6" s="36">
        <f>IFERROR(VLOOKUP($A6,06_OPEX!$A:$L,2,FALSE),"")</f>
        <v/>
      </c>
      <c r="C6" s="37">
        <f>IFERROR(VLOOKUP($A6,06_OPEX!$A:$L,4,FALSE),"")</f>
        <v/>
      </c>
      <c r="D6" s="37">
        <f>IFERROR(VLOOKUP($A6,06_OPEX!$A:$L,7,FALSE),"")</f>
        <v/>
      </c>
      <c r="E6" s="52">
        <f>(IF($C6="Mensual",IF(AND(E$3&gt;=VLOOKUP($A6,06_OPEX!$A:$L,8,FALSE),E$3&lt;=VLOOKUP($A6,06_OPEX!$A:$L,9,FALSE)),-VLOOKUP($A6,06_OPEX!$A:$L,6,FALSE),0),IF($C6="Unico",IF(E$3=VLOOKUP($A6,06_OPEX!$A:$L,10,FALSE),-VLOOKUP($A6,06_OPEX!$A:$L,6,FALSE),0),IF($C6="Custom",-IFERROR(VLOOKUP($A6,06C_OPEX_CUSTOM!$A:$O,2+MATCH(E$3,06C_OPEX_CUSTOM!$C$3:$N$3,0),FALSE),0),0))))*IFERROR(IF(VLOOKUP($A6,06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F6" s="52">
        <f>(IF($C6="Mensual",IF(AND(F$3&gt;=VLOOKUP($A6,06_OPEX!$A:$L,8,FALSE),F$3&lt;=VLOOKUP($A6,06_OPEX!$A:$L,9,FALSE)),-VLOOKUP($A6,06_OPEX!$A:$L,6,FALSE),0),IF($C6="Unico",IF(F$3=VLOOKUP($A6,06_OPEX!$A:$L,10,FALSE),-VLOOKUP($A6,06_OPEX!$A:$L,6,FALSE),0),IF($C6="Custom",-IFERROR(VLOOKUP($A6,06C_OPEX_CUSTOM!$A:$O,2+MATCH(F$3,06C_OPEX_CUSTOM!$C$3:$N$3,0),FALSE),0),0))))*IFERROR(IF(VLOOKUP($A6,06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G6" s="52">
        <f>(IF($C6="Mensual",IF(AND(G$3&gt;=VLOOKUP($A6,06_OPEX!$A:$L,8,FALSE),G$3&lt;=VLOOKUP($A6,06_OPEX!$A:$L,9,FALSE)),-VLOOKUP($A6,06_OPEX!$A:$L,6,FALSE),0),IF($C6="Unico",IF(G$3=VLOOKUP($A6,06_OPEX!$A:$L,10,FALSE),-VLOOKUP($A6,06_OPEX!$A:$L,6,FALSE),0),IF($C6="Custom",-IFERROR(VLOOKUP($A6,06C_OPEX_CUSTOM!$A:$O,2+MATCH(G$3,06C_OPEX_CUSTOM!$C$3:$N$3,0),FALSE),0),0))))*IFERROR(IF(VLOOKUP($A6,06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H6" s="52">
        <f>(IF($C6="Mensual",IF(AND(H$3&gt;=VLOOKUP($A6,06_OPEX!$A:$L,8,FALSE),H$3&lt;=VLOOKUP($A6,06_OPEX!$A:$L,9,FALSE)),-VLOOKUP($A6,06_OPEX!$A:$L,6,FALSE),0),IF($C6="Unico",IF(H$3=VLOOKUP($A6,06_OPEX!$A:$L,10,FALSE),-VLOOKUP($A6,06_OPEX!$A:$L,6,FALSE),0),IF($C6="Custom",-IFERROR(VLOOKUP($A6,06C_OPEX_CUSTOM!$A:$O,2+MATCH(H$3,06C_OPEX_CUSTOM!$C$3:$N$3,0),FALSE),0),0))))*IFERROR(IF(VLOOKUP($A6,06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I6" s="52">
        <f>(IF($C6="Mensual",IF(AND(I$3&gt;=VLOOKUP($A6,06_OPEX!$A:$L,8,FALSE),I$3&lt;=VLOOKUP($A6,06_OPEX!$A:$L,9,FALSE)),-VLOOKUP($A6,06_OPEX!$A:$L,6,FALSE),0),IF($C6="Unico",IF(I$3=VLOOKUP($A6,06_OPEX!$A:$L,10,FALSE),-VLOOKUP($A6,06_OPEX!$A:$L,6,FALSE),0),IF($C6="Custom",-IFERROR(VLOOKUP($A6,06C_OPEX_CUSTOM!$A:$O,2+MATCH(I$3,06C_OPEX_CUSTOM!$C$3:$N$3,0),FALSE),0),0))))*IFERROR(IF(VLOOKUP($A6,06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J6" s="52">
        <f>(IF($C6="Mensual",IF(AND(J$3&gt;=VLOOKUP($A6,06_OPEX!$A:$L,8,FALSE),J$3&lt;=VLOOKUP($A6,06_OPEX!$A:$L,9,FALSE)),-VLOOKUP($A6,06_OPEX!$A:$L,6,FALSE),0),IF($C6="Unico",IF(J$3=VLOOKUP($A6,06_OPEX!$A:$L,10,FALSE),-VLOOKUP($A6,06_OPEX!$A:$L,6,FALSE),0),IF($C6="Custom",-IFERROR(VLOOKUP($A6,06C_OPEX_CUSTOM!$A:$O,2+MATCH(J$3,06C_OPEX_CUSTOM!$C$3:$N$3,0),FALSE),0),0))))*IFERROR(IF(VLOOKUP($A6,06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K6" s="52">
        <f>(IF($C6="Mensual",IF(AND(K$3&gt;=VLOOKUP($A6,06_OPEX!$A:$L,8,FALSE),K$3&lt;=VLOOKUP($A6,06_OPEX!$A:$L,9,FALSE)),-VLOOKUP($A6,06_OPEX!$A:$L,6,FALSE),0),IF($C6="Unico",IF(K$3=VLOOKUP($A6,06_OPEX!$A:$L,10,FALSE),-VLOOKUP($A6,06_OPEX!$A:$L,6,FALSE),0),IF($C6="Custom",-IFERROR(VLOOKUP($A6,06C_OPEX_CUSTOM!$A:$O,2+MATCH(K$3,06C_OPEX_CUSTOM!$C$3:$N$3,0),FALSE),0),0))))*IFERROR(IF(VLOOKUP($A6,06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L6" s="52">
        <f>(IF($C6="Mensual",IF(AND(L$3&gt;=VLOOKUP($A6,06_OPEX!$A:$L,8,FALSE),L$3&lt;=VLOOKUP($A6,06_OPEX!$A:$L,9,FALSE)),-VLOOKUP($A6,06_OPEX!$A:$L,6,FALSE),0),IF($C6="Unico",IF(L$3=VLOOKUP($A6,06_OPEX!$A:$L,10,FALSE),-VLOOKUP($A6,06_OPEX!$A:$L,6,FALSE),0),IF($C6="Custom",-IFERROR(VLOOKUP($A6,06C_OPEX_CUSTOM!$A:$O,2+MATCH(L$3,06C_OPEX_CUSTOM!$C$3:$N$3,0),FALSE),0),0))))*IFERROR(IF(VLOOKUP($A6,06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M6" s="52">
        <f>(IF($C6="Mensual",IF(AND(M$3&gt;=VLOOKUP($A6,06_OPEX!$A:$L,8,FALSE),M$3&lt;=VLOOKUP($A6,06_OPEX!$A:$L,9,FALSE)),-VLOOKUP($A6,06_OPEX!$A:$L,6,FALSE),0),IF($C6="Unico",IF(M$3=VLOOKUP($A6,06_OPEX!$A:$L,10,FALSE),-VLOOKUP($A6,06_OPEX!$A:$L,6,FALSE),0),IF($C6="Custom",-IFERROR(VLOOKUP($A6,06C_OPEX_CUSTOM!$A:$O,2+MATCH(M$3,06C_OPEX_CUSTOM!$C$3:$N$3,0),FALSE),0),0))))*IFERROR(IF(VLOOKUP($A6,06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N6" s="52">
        <f>(IF($C6="Mensual",IF(AND(N$3&gt;=VLOOKUP($A6,06_OPEX!$A:$L,8,FALSE),N$3&lt;=VLOOKUP($A6,06_OPEX!$A:$L,9,FALSE)),-VLOOKUP($A6,06_OPEX!$A:$L,6,FALSE),0),IF($C6="Unico",IF(N$3=VLOOKUP($A6,06_OPEX!$A:$L,10,FALSE),-VLOOKUP($A6,06_OPEX!$A:$L,6,FALSE),0),IF($C6="Custom",-IFERROR(VLOOKUP($A6,06C_OPEX_CUSTOM!$A:$O,2+MATCH(N$3,06C_OPEX_CUSTOM!$C$3:$N$3,0),FALSE),0),0))))*IFERROR(IF(VLOOKUP($A6,06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O6" s="52">
        <f>(IF($C6="Mensual",IF(AND(O$3&gt;=VLOOKUP($A6,06_OPEX!$A:$L,8,FALSE),O$3&lt;=VLOOKUP($A6,06_OPEX!$A:$L,9,FALSE)),-VLOOKUP($A6,06_OPEX!$A:$L,6,FALSE),0),IF($C6="Unico",IF(O$3=VLOOKUP($A6,06_OPEX!$A:$L,10,FALSE),-VLOOKUP($A6,06_OPEX!$A:$L,6,FALSE),0),IF($C6="Custom",-IFERROR(VLOOKUP($A6,06C_OPEX_CUSTOM!$A:$O,2+MATCH(O$3,06C_OPEX_CUSTOM!$C$3:$N$3,0),FALSE),0),0))))*IFERROR(IF(VLOOKUP($A6,06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P6" s="52">
        <f>(IF($C6="Mensual",IF(AND(P$3&gt;=VLOOKUP($A6,06_OPEX!$A:$L,8,FALSE),P$3&lt;=VLOOKUP($A6,06_OPEX!$A:$L,9,FALSE)),-VLOOKUP($A6,06_OPEX!$A:$L,6,FALSE),0),IF($C6="Unico",IF(P$3=VLOOKUP($A6,06_OPEX!$A:$L,10,FALSE),-VLOOKUP($A6,06_OPEX!$A:$L,6,FALSE),0),IF($C6="Custom",-IFERROR(VLOOKUP($A6,06C_OPEX_CUSTOM!$A:$O,2+MATCH(P$3,06C_OPEX_CUSTOM!$C$3:$N$3,0),FALSE),0),0))))*IFERROR(IF(VLOOKUP($A6,06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Q6" s="56">
        <f>SUM(E6:P6)</f>
        <v/>
      </c>
    </row>
    <row r="7">
      <c r="A7" s="36" t="inlineStr">
        <is>
          <t>OPEX-004</t>
        </is>
      </c>
      <c r="B7" s="36">
        <f>IFERROR(VLOOKUP($A7,06_OPEX!$A:$L,2,FALSE),"")</f>
        <v/>
      </c>
      <c r="C7" s="37">
        <f>IFERROR(VLOOKUP($A7,06_OPEX!$A:$L,4,FALSE),"")</f>
        <v/>
      </c>
      <c r="D7" s="37">
        <f>IFERROR(VLOOKUP($A7,06_OPEX!$A:$L,7,FALSE),"")</f>
        <v/>
      </c>
      <c r="E7" s="52">
        <f>(IF($C7="Mensual",IF(AND(E$3&gt;=VLOOKUP($A7,06_OPEX!$A:$L,8,FALSE),E$3&lt;=VLOOKUP($A7,06_OPEX!$A:$L,9,FALSE)),-VLOOKUP($A7,06_OPEX!$A:$L,6,FALSE),0),IF($C7="Unico",IF(E$3=VLOOKUP($A7,06_OPEX!$A:$L,10,FALSE),-VLOOKUP($A7,06_OPEX!$A:$L,6,FALSE),0),IF($C7="Custom",-IFERROR(VLOOKUP($A7,06C_OPEX_CUSTOM!$A:$O,2+MATCH(E$3,06C_OPEX_CUSTOM!$C$3:$N$3,0),FALSE),0),0))))*IFERROR(IF(VLOOKUP($A7,06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F7" s="52">
        <f>(IF($C7="Mensual",IF(AND(F$3&gt;=VLOOKUP($A7,06_OPEX!$A:$L,8,FALSE),F$3&lt;=VLOOKUP($A7,06_OPEX!$A:$L,9,FALSE)),-VLOOKUP($A7,06_OPEX!$A:$L,6,FALSE),0),IF($C7="Unico",IF(F$3=VLOOKUP($A7,06_OPEX!$A:$L,10,FALSE),-VLOOKUP($A7,06_OPEX!$A:$L,6,FALSE),0),IF($C7="Custom",-IFERROR(VLOOKUP($A7,06C_OPEX_CUSTOM!$A:$O,2+MATCH(F$3,06C_OPEX_CUSTOM!$C$3:$N$3,0),FALSE),0),0))))*IFERROR(IF(VLOOKUP($A7,06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G7" s="52">
        <f>(IF($C7="Mensual",IF(AND(G$3&gt;=VLOOKUP($A7,06_OPEX!$A:$L,8,FALSE),G$3&lt;=VLOOKUP($A7,06_OPEX!$A:$L,9,FALSE)),-VLOOKUP($A7,06_OPEX!$A:$L,6,FALSE),0),IF($C7="Unico",IF(G$3=VLOOKUP($A7,06_OPEX!$A:$L,10,FALSE),-VLOOKUP($A7,06_OPEX!$A:$L,6,FALSE),0),IF($C7="Custom",-IFERROR(VLOOKUP($A7,06C_OPEX_CUSTOM!$A:$O,2+MATCH(G$3,06C_OPEX_CUSTOM!$C$3:$N$3,0),FALSE),0),0))))*IFERROR(IF(VLOOKUP($A7,06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H7" s="52">
        <f>(IF($C7="Mensual",IF(AND(H$3&gt;=VLOOKUP($A7,06_OPEX!$A:$L,8,FALSE),H$3&lt;=VLOOKUP($A7,06_OPEX!$A:$L,9,FALSE)),-VLOOKUP($A7,06_OPEX!$A:$L,6,FALSE),0),IF($C7="Unico",IF(H$3=VLOOKUP($A7,06_OPEX!$A:$L,10,FALSE),-VLOOKUP($A7,06_OPEX!$A:$L,6,FALSE),0),IF($C7="Custom",-IFERROR(VLOOKUP($A7,06C_OPEX_CUSTOM!$A:$O,2+MATCH(H$3,06C_OPEX_CUSTOM!$C$3:$N$3,0),FALSE),0),0))))*IFERROR(IF(VLOOKUP($A7,06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I7" s="52">
        <f>(IF($C7="Mensual",IF(AND(I$3&gt;=VLOOKUP($A7,06_OPEX!$A:$L,8,FALSE),I$3&lt;=VLOOKUP($A7,06_OPEX!$A:$L,9,FALSE)),-VLOOKUP($A7,06_OPEX!$A:$L,6,FALSE),0),IF($C7="Unico",IF(I$3=VLOOKUP($A7,06_OPEX!$A:$L,10,FALSE),-VLOOKUP($A7,06_OPEX!$A:$L,6,FALSE),0),IF($C7="Custom",-IFERROR(VLOOKUP($A7,06C_OPEX_CUSTOM!$A:$O,2+MATCH(I$3,06C_OPEX_CUSTOM!$C$3:$N$3,0),FALSE),0),0))))*IFERROR(IF(VLOOKUP($A7,06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J7" s="52">
        <f>(IF($C7="Mensual",IF(AND(J$3&gt;=VLOOKUP($A7,06_OPEX!$A:$L,8,FALSE),J$3&lt;=VLOOKUP($A7,06_OPEX!$A:$L,9,FALSE)),-VLOOKUP($A7,06_OPEX!$A:$L,6,FALSE),0),IF($C7="Unico",IF(J$3=VLOOKUP($A7,06_OPEX!$A:$L,10,FALSE),-VLOOKUP($A7,06_OPEX!$A:$L,6,FALSE),0),IF($C7="Custom",-IFERROR(VLOOKUP($A7,06C_OPEX_CUSTOM!$A:$O,2+MATCH(J$3,06C_OPEX_CUSTOM!$C$3:$N$3,0),FALSE),0),0))))*IFERROR(IF(VLOOKUP($A7,06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K7" s="52">
        <f>(IF($C7="Mensual",IF(AND(K$3&gt;=VLOOKUP($A7,06_OPEX!$A:$L,8,FALSE),K$3&lt;=VLOOKUP($A7,06_OPEX!$A:$L,9,FALSE)),-VLOOKUP($A7,06_OPEX!$A:$L,6,FALSE),0),IF($C7="Unico",IF(K$3=VLOOKUP($A7,06_OPEX!$A:$L,10,FALSE),-VLOOKUP($A7,06_OPEX!$A:$L,6,FALSE),0),IF($C7="Custom",-IFERROR(VLOOKUP($A7,06C_OPEX_CUSTOM!$A:$O,2+MATCH(K$3,06C_OPEX_CUSTOM!$C$3:$N$3,0),FALSE),0),0))))*IFERROR(IF(VLOOKUP($A7,06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L7" s="52">
        <f>(IF($C7="Mensual",IF(AND(L$3&gt;=VLOOKUP($A7,06_OPEX!$A:$L,8,FALSE),L$3&lt;=VLOOKUP($A7,06_OPEX!$A:$L,9,FALSE)),-VLOOKUP($A7,06_OPEX!$A:$L,6,FALSE),0),IF($C7="Unico",IF(L$3=VLOOKUP($A7,06_OPEX!$A:$L,10,FALSE),-VLOOKUP($A7,06_OPEX!$A:$L,6,FALSE),0),IF($C7="Custom",-IFERROR(VLOOKUP($A7,06C_OPEX_CUSTOM!$A:$O,2+MATCH(L$3,06C_OPEX_CUSTOM!$C$3:$N$3,0),FALSE),0),0))))*IFERROR(IF(VLOOKUP($A7,06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M7" s="52">
        <f>(IF($C7="Mensual",IF(AND(M$3&gt;=VLOOKUP($A7,06_OPEX!$A:$L,8,FALSE),M$3&lt;=VLOOKUP($A7,06_OPEX!$A:$L,9,FALSE)),-VLOOKUP($A7,06_OPEX!$A:$L,6,FALSE),0),IF($C7="Unico",IF(M$3=VLOOKUP($A7,06_OPEX!$A:$L,10,FALSE),-VLOOKUP($A7,06_OPEX!$A:$L,6,FALSE),0),IF($C7="Custom",-IFERROR(VLOOKUP($A7,06C_OPEX_CUSTOM!$A:$O,2+MATCH(M$3,06C_OPEX_CUSTOM!$C$3:$N$3,0),FALSE),0),0))))*IFERROR(IF(VLOOKUP($A7,06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N7" s="52">
        <f>(IF($C7="Mensual",IF(AND(N$3&gt;=VLOOKUP($A7,06_OPEX!$A:$L,8,FALSE),N$3&lt;=VLOOKUP($A7,06_OPEX!$A:$L,9,FALSE)),-VLOOKUP($A7,06_OPEX!$A:$L,6,FALSE),0),IF($C7="Unico",IF(N$3=VLOOKUP($A7,06_OPEX!$A:$L,10,FALSE),-VLOOKUP($A7,06_OPEX!$A:$L,6,FALSE),0),IF($C7="Custom",-IFERROR(VLOOKUP($A7,06C_OPEX_CUSTOM!$A:$O,2+MATCH(N$3,06C_OPEX_CUSTOM!$C$3:$N$3,0),FALSE),0),0))))*IFERROR(IF(VLOOKUP($A7,06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O7" s="52">
        <f>(IF($C7="Mensual",IF(AND(O$3&gt;=VLOOKUP($A7,06_OPEX!$A:$L,8,FALSE),O$3&lt;=VLOOKUP($A7,06_OPEX!$A:$L,9,FALSE)),-VLOOKUP($A7,06_OPEX!$A:$L,6,FALSE),0),IF($C7="Unico",IF(O$3=VLOOKUP($A7,06_OPEX!$A:$L,10,FALSE),-VLOOKUP($A7,06_OPEX!$A:$L,6,FALSE),0),IF($C7="Custom",-IFERROR(VLOOKUP($A7,06C_OPEX_CUSTOM!$A:$O,2+MATCH(O$3,06C_OPEX_CUSTOM!$C$3:$N$3,0),FALSE),0),0))))*IFERROR(IF(VLOOKUP($A7,06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P7" s="52">
        <f>(IF($C7="Mensual",IF(AND(P$3&gt;=VLOOKUP($A7,06_OPEX!$A:$L,8,FALSE),P$3&lt;=VLOOKUP($A7,06_OPEX!$A:$L,9,FALSE)),-VLOOKUP($A7,06_OPEX!$A:$L,6,FALSE),0),IF($C7="Unico",IF(P$3=VLOOKUP($A7,06_OPEX!$A:$L,10,FALSE),-VLOOKUP($A7,06_OPEX!$A:$L,6,FALSE),0),IF($C7="Custom",-IFERROR(VLOOKUP($A7,06C_OPEX_CUSTOM!$A:$O,2+MATCH(P$3,06C_OPEX_CUSTOM!$C$3:$N$3,0),FALSE),0),0))))*IFERROR(IF(VLOOKUP($A7,06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Q7" s="56">
        <f>SUM(E7:P7)</f>
        <v/>
      </c>
    </row>
    <row r="8">
      <c r="A8" s="36" t="inlineStr">
        <is>
          <t>OPEX-005</t>
        </is>
      </c>
      <c r="B8" s="36">
        <f>IFERROR(VLOOKUP($A8,06_OPEX!$A:$L,2,FALSE),"")</f>
        <v/>
      </c>
      <c r="C8" s="37">
        <f>IFERROR(VLOOKUP($A8,06_OPEX!$A:$L,4,FALSE),"")</f>
        <v/>
      </c>
      <c r="D8" s="37">
        <f>IFERROR(VLOOKUP($A8,06_OPEX!$A:$L,7,FALSE),"")</f>
        <v/>
      </c>
      <c r="E8" s="52">
        <f>(IF($C8="Mensual",IF(AND(E$3&gt;=VLOOKUP($A8,06_OPEX!$A:$L,8,FALSE),E$3&lt;=VLOOKUP($A8,06_OPEX!$A:$L,9,FALSE)),-VLOOKUP($A8,06_OPEX!$A:$L,6,FALSE),0),IF($C8="Unico",IF(E$3=VLOOKUP($A8,06_OPEX!$A:$L,10,FALSE),-VLOOKUP($A8,06_OPEX!$A:$L,6,FALSE),0),IF($C8="Custom",-IFERROR(VLOOKUP($A8,06C_OPEX_CUSTOM!$A:$O,2+MATCH(E$3,06C_OPEX_CUSTOM!$C$3:$N$3,0),FALSE),0),0))))*IFERROR(IF(VLOOKUP($A8,06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F8" s="52">
        <f>(IF($C8="Mensual",IF(AND(F$3&gt;=VLOOKUP($A8,06_OPEX!$A:$L,8,FALSE),F$3&lt;=VLOOKUP($A8,06_OPEX!$A:$L,9,FALSE)),-VLOOKUP($A8,06_OPEX!$A:$L,6,FALSE),0),IF($C8="Unico",IF(F$3=VLOOKUP($A8,06_OPEX!$A:$L,10,FALSE),-VLOOKUP($A8,06_OPEX!$A:$L,6,FALSE),0),IF($C8="Custom",-IFERROR(VLOOKUP($A8,06C_OPEX_CUSTOM!$A:$O,2+MATCH(F$3,06C_OPEX_CUSTOM!$C$3:$N$3,0),FALSE),0),0))))*IFERROR(IF(VLOOKUP($A8,06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G8" s="52">
        <f>(IF($C8="Mensual",IF(AND(G$3&gt;=VLOOKUP($A8,06_OPEX!$A:$L,8,FALSE),G$3&lt;=VLOOKUP($A8,06_OPEX!$A:$L,9,FALSE)),-VLOOKUP($A8,06_OPEX!$A:$L,6,FALSE),0),IF($C8="Unico",IF(G$3=VLOOKUP($A8,06_OPEX!$A:$L,10,FALSE),-VLOOKUP($A8,06_OPEX!$A:$L,6,FALSE),0),IF($C8="Custom",-IFERROR(VLOOKUP($A8,06C_OPEX_CUSTOM!$A:$O,2+MATCH(G$3,06C_OPEX_CUSTOM!$C$3:$N$3,0),FALSE),0),0))))*IFERROR(IF(VLOOKUP($A8,06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H8" s="52">
        <f>(IF($C8="Mensual",IF(AND(H$3&gt;=VLOOKUP($A8,06_OPEX!$A:$L,8,FALSE),H$3&lt;=VLOOKUP($A8,06_OPEX!$A:$L,9,FALSE)),-VLOOKUP($A8,06_OPEX!$A:$L,6,FALSE),0),IF($C8="Unico",IF(H$3=VLOOKUP($A8,06_OPEX!$A:$L,10,FALSE),-VLOOKUP($A8,06_OPEX!$A:$L,6,FALSE),0),IF($C8="Custom",-IFERROR(VLOOKUP($A8,06C_OPEX_CUSTOM!$A:$O,2+MATCH(H$3,06C_OPEX_CUSTOM!$C$3:$N$3,0),FALSE),0),0))))*IFERROR(IF(VLOOKUP($A8,06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I8" s="52">
        <f>(IF($C8="Mensual",IF(AND(I$3&gt;=VLOOKUP($A8,06_OPEX!$A:$L,8,FALSE),I$3&lt;=VLOOKUP($A8,06_OPEX!$A:$L,9,FALSE)),-VLOOKUP($A8,06_OPEX!$A:$L,6,FALSE),0),IF($C8="Unico",IF(I$3=VLOOKUP($A8,06_OPEX!$A:$L,10,FALSE),-VLOOKUP($A8,06_OPEX!$A:$L,6,FALSE),0),IF($C8="Custom",-IFERROR(VLOOKUP($A8,06C_OPEX_CUSTOM!$A:$O,2+MATCH(I$3,06C_OPEX_CUSTOM!$C$3:$N$3,0),FALSE),0),0))))*IFERROR(IF(VLOOKUP($A8,06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J8" s="52">
        <f>(IF($C8="Mensual",IF(AND(J$3&gt;=VLOOKUP($A8,06_OPEX!$A:$L,8,FALSE),J$3&lt;=VLOOKUP($A8,06_OPEX!$A:$L,9,FALSE)),-VLOOKUP($A8,06_OPEX!$A:$L,6,FALSE),0),IF($C8="Unico",IF(J$3=VLOOKUP($A8,06_OPEX!$A:$L,10,FALSE),-VLOOKUP($A8,06_OPEX!$A:$L,6,FALSE),0),IF($C8="Custom",-IFERROR(VLOOKUP($A8,06C_OPEX_CUSTOM!$A:$O,2+MATCH(J$3,06C_OPEX_CUSTOM!$C$3:$N$3,0),FALSE),0),0))))*IFERROR(IF(VLOOKUP($A8,06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K8" s="52">
        <f>(IF($C8="Mensual",IF(AND(K$3&gt;=VLOOKUP($A8,06_OPEX!$A:$L,8,FALSE),K$3&lt;=VLOOKUP($A8,06_OPEX!$A:$L,9,FALSE)),-VLOOKUP($A8,06_OPEX!$A:$L,6,FALSE),0),IF($C8="Unico",IF(K$3=VLOOKUP($A8,06_OPEX!$A:$L,10,FALSE),-VLOOKUP($A8,06_OPEX!$A:$L,6,FALSE),0),IF($C8="Custom",-IFERROR(VLOOKUP($A8,06C_OPEX_CUSTOM!$A:$O,2+MATCH(K$3,06C_OPEX_CUSTOM!$C$3:$N$3,0),FALSE),0),0))))*IFERROR(IF(VLOOKUP($A8,06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L8" s="52">
        <f>(IF($C8="Mensual",IF(AND(L$3&gt;=VLOOKUP($A8,06_OPEX!$A:$L,8,FALSE),L$3&lt;=VLOOKUP($A8,06_OPEX!$A:$L,9,FALSE)),-VLOOKUP($A8,06_OPEX!$A:$L,6,FALSE),0),IF($C8="Unico",IF(L$3=VLOOKUP($A8,06_OPEX!$A:$L,10,FALSE),-VLOOKUP($A8,06_OPEX!$A:$L,6,FALSE),0),IF($C8="Custom",-IFERROR(VLOOKUP($A8,06C_OPEX_CUSTOM!$A:$O,2+MATCH(L$3,06C_OPEX_CUSTOM!$C$3:$N$3,0),FALSE),0),0))))*IFERROR(IF(VLOOKUP($A8,06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M8" s="52">
        <f>(IF($C8="Mensual",IF(AND(M$3&gt;=VLOOKUP($A8,06_OPEX!$A:$L,8,FALSE),M$3&lt;=VLOOKUP($A8,06_OPEX!$A:$L,9,FALSE)),-VLOOKUP($A8,06_OPEX!$A:$L,6,FALSE),0),IF($C8="Unico",IF(M$3=VLOOKUP($A8,06_OPEX!$A:$L,10,FALSE),-VLOOKUP($A8,06_OPEX!$A:$L,6,FALSE),0),IF($C8="Custom",-IFERROR(VLOOKUP($A8,06C_OPEX_CUSTOM!$A:$O,2+MATCH(M$3,06C_OPEX_CUSTOM!$C$3:$N$3,0),FALSE),0),0))))*IFERROR(IF(VLOOKUP($A8,06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N8" s="52">
        <f>(IF($C8="Mensual",IF(AND(N$3&gt;=VLOOKUP($A8,06_OPEX!$A:$L,8,FALSE),N$3&lt;=VLOOKUP($A8,06_OPEX!$A:$L,9,FALSE)),-VLOOKUP($A8,06_OPEX!$A:$L,6,FALSE),0),IF($C8="Unico",IF(N$3=VLOOKUP($A8,06_OPEX!$A:$L,10,FALSE),-VLOOKUP($A8,06_OPEX!$A:$L,6,FALSE),0),IF($C8="Custom",-IFERROR(VLOOKUP($A8,06C_OPEX_CUSTOM!$A:$O,2+MATCH(N$3,06C_OPEX_CUSTOM!$C$3:$N$3,0),FALSE),0),0))))*IFERROR(IF(VLOOKUP($A8,06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O8" s="52">
        <f>(IF($C8="Mensual",IF(AND(O$3&gt;=VLOOKUP($A8,06_OPEX!$A:$L,8,FALSE),O$3&lt;=VLOOKUP($A8,06_OPEX!$A:$L,9,FALSE)),-VLOOKUP($A8,06_OPEX!$A:$L,6,FALSE),0),IF($C8="Unico",IF(O$3=VLOOKUP($A8,06_OPEX!$A:$L,10,FALSE),-VLOOKUP($A8,06_OPEX!$A:$L,6,FALSE),0),IF($C8="Custom",-IFERROR(VLOOKUP($A8,06C_OPEX_CUSTOM!$A:$O,2+MATCH(O$3,06C_OPEX_CUSTOM!$C$3:$N$3,0),FALSE),0),0))))*IFERROR(IF(VLOOKUP($A8,06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P8" s="52">
        <f>(IF($C8="Mensual",IF(AND(P$3&gt;=VLOOKUP($A8,06_OPEX!$A:$L,8,FALSE),P$3&lt;=VLOOKUP($A8,06_OPEX!$A:$L,9,FALSE)),-VLOOKUP($A8,06_OPEX!$A:$L,6,FALSE),0),IF($C8="Unico",IF(P$3=VLOOKUP($A8,06_OPEX!$A:$L,10,FALSE),-VLOOKUP($A8,06_OPEX!$A:$L,6,FALSE),0),IF($C8="Custom",-IFERROR(VLOOKUP($A8,06C_OPEX_CUSTOM!$A:$O,2+MATCH(P$3,06C_OPEX_CUSTOM!$C$3:$N$3,0),FALSE),0),0))))*IFERROR(IF(VLOOKUP($A8,06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Q8" s="56">
        <f>SUM(E8:P8)</f>
        <v/>
      </c>
    </row>
    <row r="9">
      <c r="A9" s="36" t="inlineStr">
        <is>
          <t>OPEX-006</t>
        </is>
      </c>
      <c r="B9" s="36">
        <f>IFERROR(VLOOKUP($A9,06_OPEX!$A:$L,2,FALSE),"")</f>
        <v/>
      </c>
      <c r="C9" s="37">
        <f>IFERROR(VLOOKUP($A9,06_OPEX!$A:$L,4,FALSE),"")</f>
        <v/>
      </c>
      <c r="D9" s="37">
        <f>IFERROR(VLOOKUP($A9,06_OPEX!$A:$L,7,FALSE),"")</f>
        <v/>
      </c>
      <c r="E9" s="52">
        <f>(IF($C9="Mensual",IF(AND(E$3&gt;=VLOOKUP($A9,06_OPEX!$A:$L,8,FALSE),E$3&lt;=VLOOKUP($A9,06_OPEX!$A:$L,9,FALSE)),-VLOOKUP($A9,06_OPEX!$A:$L,6,FALSE),0),IF($C9="Unico",IF(E$3=VLOOKUP($A9,06_OPEX!$A:$L,10,FALSE),-VLOOKUP($A9,06_OPEX!$A:$L,6,FALSE),0),IF($C9="Custom",-IFERROR(VLOOKUP($A9,06C_OPEX_CUSTOM!$A:$O,2+MATCH(E$3,06C_OPEX_CUSTOM!$C$3:$N$3,0),FALSE),0),0))))*IFERROR(IF(VLOOKUP($A9,06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F9" s="52">
        <f>(IF($C9="Mensual",IF(AND(F$3&gt;=VLOOKUP($A9,06_OPEX!$A:$L,8,FALSE),F$3&lt;=VLOOKUP($A9,06_OPEX!$A:$L,9,FALSE)),-VLOOKUP($A9,06_OPEX!$A:$L,6,FALSE),0),IF($C9="Unico",IF(F$3=VLOOKUP($A9,06_OPEX!$A:$L,10,FALSE),-VLOOKUP($A9,06_OPEX!$A:$L,6,FALSE),0),IF($C9="Custom",-IFERROR(VLOOKUP($A9,06C_OPEX_CUSTOM!$A:$O,2+MATCH(F$3,06C_OPEX_CUSTOM!$C$3:$N$3,0),FALSE),0),0))))*IFERROR(IF(VLOOKUP($A9,06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G9" s="52">
        <f>(IF($C9="Mensual",IF(AND(G$3&gt;=VLOOKUP($A9,06_OPEX!$A:$L,8,FALSE),G$3&lt;=VLOOKUP($A9,06_OPEX!$A:$L,9,FALSE)),-VLOOKUP($A9,06_OPEX!$A:$L,6,FALSE),0),IF($C9="Unico",IF(G$3=VLOOKUP($A9,06_OPEX!$A:$L,10,FALSE),-VLOOKUP($A9,06_OPEX!$A:$L,6,FALSE),0),IF($C9="Custom",-IFERROR(VLOOKUP($A9,06C_OPEX_CUSTOM!$A:$O,2+MATCH(G$3,06C_OPEX_CUSTOM!$C$3:$N$3,0),FALSE),0),0))))*IFERROR(IF(VLOOKUP($A9,06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H9" s="52">
        <f>(IF($C9="Mensual",IF(AND(H$3&gt;=VLOOKUP($A9,06_OPEX!$A:$L,8,FALSE),H$3&lt;=VLOOKUP($A9,06_OPEX!$A:$L,9,FALSE)),-VLOOKUP($A9,06_OPEX!$A:$L,6,FALSE),0),IF($C9="Unico",IF(H$3=VLOOKUP($A9,06_OPEX!$A:$L,10,FALSE),-VLOOKUP($A9,06_OPEX!$A:$L,6,FALSE),0),IF($C9="Custom",-IFERROR(VLOOKUP($A9,06C_OPEX_CUSTOM!$A:$O,2+MATCH(H$3,06C_OPEX_CUSTOM!$C$3:$N$3,0),FALSE),0),0))))*IFERROR(IF(VLOOKUP($A9,06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I9" s="52">
        <f>(IF($C9="Mensual",IF(AND(I$3&gt;=VLOOKUP($A9,06_OPEX!$A:$L,8,FALSE),I$3&lt;=VLOOKUP($A9,06_OPEX!$A:$L,9,FALSE)),-VLOOKUP($A9,06_OPEX!$A:$L,6,FALSE),0),IF($C9="Unico",IF(I$3=VLOOKUP($A9,06_OPEX!$A:$L,10,FALSE),-VLOOKUP($A9,06_OPEX!$A:$L,6,FALSE),0),IF($C9="Custom",-IFERROR(VLOOKUP($A9,06C_OPEX_CUSTOM!$A:$O,2+MATCH(I$3,06C_OPEX_CUSTOM!$C$3:$N$3,0),FALSE),0),0))))*IFERROR(IF(VLOOKUP($A9,06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J9" s="52">
        <f>(IF($C9="Mensual",IF(AND(J$3&gt;=VLOOKUP($A9,06_OPEX!$A:$L,8,FALSE),J$3&lt;=VLOOKUP($A9,06_OPEX!$A:$L,9,FALSE)),-VLOOKUP($A9,06_OPEX!$A:$L,6,FALSE),0),IF($C9="Unico",IF(J$3=VLOOKUP($A9,06_OPEX!$A:$L,10,FALSE),-VLOOKUP($A9,06_OPEX!$A:$L,6,FALSE),0),IF($C9="Custom",-IFERROR(VLOOKUP($A9,06C_OPEX_CUSTOM!$A:$O,2+MATCH(J$3,06C_OPEX_CUSTOM!$C$3:$N$3,0),FALSE),0),0))))*IFERROR(IF(VLOOKUP($A9,06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K9" s="52">
        <f>(IF($C9="Mensual",IF(AND(K$3&gt;=VLOOKUP($A9,06_OPEX!$A:$L,8,FALSE),K$3&lt;=VLOOKUP($A9,06_OPEX!$A:$L,9,FALSE)),-VLOOKUP($A9,06_OPEX!$A:$L,6,FALSE),0),IF($C9="Unico",IF(K$3=VLOOKUP($A9,06_OPEX!$A:$L,10,FALSE),-VLOOKUP($A9,06_OPEX!$A:$L,6,FALSE),0),IF($C9="Custom",-IFERROR(VLOOKUP($A9,06C_OPEX_CUSTOM!$A:$O,2+MATCH(K$3,06C_OPEX_CUSTOM!$C$3:$N$3,0),FALSE),0),0))))*IFERROR(IF(VLOOKUP($A9,06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L9" s="52">
        <f>(IF($C9="Mensual",IF(AND(L$3&gt;=VLOOKUP($A9,06_OPEX!$A:$L,8,FALSE),L$3&lt;=VLOOKUP($A9,06_OPEX!$A:$L,9,FALSE)),-VLOOKUP($A9,06_OPEX!$A:$L,6,FALSE),0),IF($C9="Unico",IF(L$3=VLOOKUP($A9,06_OPEX!$A:$L,10,FALSE),-VLOOKUP($A9,06_OPEX!$A:$L,6,FALSE),0),IF($C9="Custom",-IFERROR(VLOOKUP($A9,06C_OPEX_CUSTOM!$A:$O,2+MATCH(L$3,06C_OPEX_CUSTOM!$C$3:$N$3,0),FALSE),0),0))))*IFERROR(IF(VLOOKUP($A9,06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M9" s="52">
        <f>(IF($C9="Mensual",IF(AND(M$3&gt;=VLOOKUP($A9,06_OPEX!$A:$L,8,FALSE),M$3&lt;=VLOOKUP($A9,06_OPEX!$A:$L,9,FALSE)),-VLOOKUP($A9,06_OPEX!$A:$L,6,FALSE),0),IF($C9="Unico",IF(M$3=VLOOKUP($A9,06_OPEX!$A:$L,10,FALSE),-VLOOKUP($A9,06_OPEX!$A:$L,6,FALSE),0),IF($C9="Custom",-IFERROR(VLOOKUP($A9,06C_OPEX_CUSTOM!$A:$O,2+MATCH(M$3,06C_OPEX_CUSTOM!$C$3:$N$3,0),FALSE),0),0))))*IFERROR(IF(VLOOKUP($A9,06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N9" s="52">
        <f>(IF($C9="Mensual",IF(AND(N$3&gt;=VLOOKUP($A9,06_OPEX!$A:$L,8,FALSE),N$3&lt;=VLOOKUP($A9,06_OPEX!$A:$L,9,FALSE)),-VLOOKUP($A9,06_OPEX!$A:$L,6,FALSE),0),IF($C9="Unico",IF(N$3=VLOOKUP($A9,06_OPEX!$A:$L,10,FALSE),-VLOOKUP($A9,06_OPEX!$A:$L,6,FALSE),0),IF($C9="Custom",-IFERROR(VLOOKUP($A9,06C_OPEX_CUSTOM!$A:$O,2+MATCH(N$3,06C_OPEX_CUSTOM!$C$3:$N$3,0),FALSE),0),0))))*IFERROR(IF(VLOOKUP($A9,06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O9" s="52">
        <f>(IF($C9="Mensual",IF(AND(O$3&gt;=VLOOKUP($A9,06_OPEX!$A:$L,8,FALSE),O$3&lt;=VLOOKUP($A9,06_OPEX!$A:$L,9,FALSE)),-VLOOKUP($A9,06_OPEX!$A:$L,6,FALSE),0),IF($C9="Unico",IF(O$3=VLOOKUP($A9,06_OPEX!$A:$L,10,FALSE),-VLOOKUP($A9,06_OPEX!$A:$L,6,FALSE),0),IF($C9="Custom",-IFERROR(VLOOKUP($A9,06C_OPEX_CUSTOM!$A:$O,2+MATCH(O$3,06C_OPEX_CUSTOM!$C$3:$N$3,0),FALSE),0),0))))*IFERROR(IF(VLOOKUP($A9,06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P9" s="52">
        <f>(IF($C9="Mensual",IF(AND(P$3&gt;=VLOOKUP($A9,06_OPEX!$A:$L,8,FALSE),P$3&lt;=VLOOKUP($A9,06_OPEX!$A:$L,9,FALSE)),-VLOOKUP($A9,06_OPEX!$A:$L,6,FALSE),0),IF($C9="Unico",IF(P$3=VLOOKUP($A9,06_OPEX!$A:$L,10,FALSE),-VLOOKUP($A9,06_OPEX!$A:$L,6,FALSE),0),IF($C9="Custom",-IFERROR(VLOOKUP($A9,06C_OPEX_CUSTOM!$A:$O,2+MATCH(P$3,06C_OPEX_CUSTOM!$C$3:$N$3,0),FALSE),0),0))))*IFERROR(IF(VLOOKUP($A9,06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Q9" s="56">
        <f>SUM(E9:P9)</f>
        <v/>
      </c>
    </row>
    <row r="10">
      <c r="A10" s="36" t="inlineStr">
        <is>
          <t>OPEX-007</t>
        </is>
      </c>
      <c r="B10" s="36">
        <f>IFERROR(VLOOKUP($A10,06_OPEX!$A:$L,2,FALSE),"")</f>
        <v/>
      </c>
      <c r="C10" s="37">
        <f>IFERROR(VLOOKUP($A10,06_OPEX!$A:$L,4,FALSE),"")</f>
        <v/>
      </c>
      <c r="D10" s="37">
        <f>IFERROR(VLOOKUP($A10,06_OPEX!$A:$L,7,FALSE),"")</f>
        <v/>
      </c>
      <c r="E10" s="52">
        <f>(IF($C10="Mensual",IF(AND(E$3&gt;=VLOOKUP($A10,06_OPEX!$A:$L,8,FALSE),E$3&lt;=VLOOKUP($A10,06_OPEX!$A:$L,9,FALSE)),-VLOOKUP($A10,06_OPEX!$A:$L,6,FALSE),0),IF($C10="Unico",IF(E$3=VLOOKUP($A10,06_OPEX!$A:$L,10,FALSE),-VLOOKUP($A10,06_OPEX!$A:$L,6,FALSE),0),IF($C10="Custom",-IFERROR(VLOOKUP($A10,06C_OPEX_CUSTOM!$A:$O,2+MATCH(E$3,06C_OPEX_CUSTOM!$C$3:$N$3,0),FALSE),0),0))))*IFERROR(IF(VLOOKUP($A10,06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F10" s="52">
        <f>(IF($C10="Mensual",IF(AND(F$3&gt;=VLOOKUP($A10,06_OPEX!$A:$L,8,FALSE),F$3&lt;=VLOOKUP($A10,06_OPEX!$A:$L,9,FALSE)),-VLOOKUP($A10,06_OPEX!$A:$L,6,FALSE),0),IF($C10="Unico",IF(F$3=VLOOKUP($A10,06_OPEX!$A:$L,10,FALSE),-VLOOKUP($A10,06_OPEX!$A:$L,6,FALSE),0),IF($C10="Custom",-IFERROR(VLOOKUP($A10,06C_OPEX_CUSTOM!$A:$O,2+MATCH(F$3,06C_OPEX_CUSTOM!$C$3:$N$3,0),FALSE),0),0))))*IFERROR(IF(VLOOKUP($A10,06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G10" s="52">
        <f>(IF($C10="Mensual",IF(AND(G$3&gt;=VLOOKUP($A10,06_OPEX!$A:$L,8,FALSE),G$3&lt;=VLOOKUP($A10,06_OPEX!$A:$L,9,FALSE)),-VLOOKUP($A10,06_OPEX!$A:$L,6,FALSE),0),IF($C10="Unico",IF(G$3=VLOOKUP($A10,06_OPEX!$A:$L,10,FALSE),-VLOOKUP($A10,06_OPEX!$A:$L,6,FALSE),0),IF($C10="Custom",-IFERROR(VLOOKUP($A10,06C_OPEX_CUSTOM!$A:$O,2+MATCH(G$3,06C_OPEX_CUSTOM!$C$3:$N$3,0),FALSE),0),0))))*IFERROR(IF(VLOOKUP($A10,06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H10" s="52">
        <f>(IF($C10="Mensual",IF(AND(H$3&gt;=VLOOKUP($A10,06_OPEX!$A:$L,8,FALSE),H$3&lt;=VLOOKUP($A10,06_OPEX!$A:$L,9,FALSE)),-VLOOKUP($A10,06_OPEX!$A:$L,6,FALSE),0),IF($C10="Unico",IF(H$3=VLOOKUP($A10,06_OPEX!$A:$L,10,FALSE),-VLOOKUP($A10,06_OPEX!$A:$L,6,FALSE),0),IF($C10="Custom",-IFERROR(VLOOKUP($A10,06C_OPEX_CUSTOM!$A:$O,2+MATCH(H$3,06C_OPEX_CUSTOM!$C$3:$N$3,0),FALSE),0),0))))*IFERROR(IF(VLOOKUP($A10,06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I10" s="52">
        <f>(IF($C10="Mensual",IF(AND(I$3&gt;=VLOOKUP($A10,06_OPEX!$A:$L,8,FALSE),I$3&lt;=VLOOKUP($A10,06_OPEX!$A:$L,9,FALSE)),-VLOOKUP($A10,06_OPEX!$A:$L,6,FALSE),0),IF($C10="Unico",IF(I$3=VLOOKUP($A10,06_OPEX!$A:$L,10,FALSE),-VLOOKUP($A10,06_OPEX!$A:$L,6,FALSE),0),IF($C10="Custom",-IFERROR(VLOOKUP($A10,06C_OPEX_CUSTOM!$A:$O,2+MATCH(I$3,06C_OPEX_CUSTOM!$C$3:$N$3,0),FALSE),0),0))))*IFERROR(IF(VLOOKUP($A10,06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J10" s="52">
        <f>(IF($C10="Mensual",IF(AND(J$3&gt;=VLOOKUP($A10,06_OPEX!$A:$L,8,FALSE),J$3&lt;=VLOOKUP($A10,06_OPEX!$A:$L,9,FALSE)),-VLOOKUP($A10,06_OPEX!$A:$L,6,FALSE),0),IF($C10="Unico",IF(J$3=VLOOKUP($A10,06_OPEX!$A:$L,10,FALSE),-VLOOKUP($A10,06_OPEX!$A:$L,6,FALSE),0),IF($C10="Custom",-IFERROR(VLOOKUP($A10,06C_OPEX_CUSTOM!$A:$O,2+MATCH(J$3,06C_OPEX_CUSTOM!$C$3:$N$3,0),FALSE),0),0))))*IFERROR(IF(VLOOKUP($A10,06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K10" s="52">
        <f>(IF($C10="Mensual",IF(AND(K$3&gt;=VLOOKUP($A10,06_OPEX!$A:$L,8,FALSE),K$3&lt;=VLOOKUP($A10,06_OPEX!$A:$L,9,FALSE)),-VLOOKUP($A10,06_OPEX!$A:$L,6,FALSE),0),IF($C10="Unico",IF(K$3=VLOOKUP($A10,06_OPEX!$A:$L,10,FALSE),-VLOOKUP($A10,06_OPEX!$A:$L,6,FALSE),0),IF($C10="Custom",-IFERROR(VLOOKUP($A10,06C_OPEX_CUSTOM!$A:$O,2+MATCH(K$3,06C_OPEX_CUSTOM!$C$3:$N$3,0),FALSE),0),0))))*IFERROR(IF(VLOOKUP($A10,06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L10" s="52">
        <f>(IF($C10="Mensual",IF(AND(L$3&gt;=VLOOKUP($A10,06_OPEX!$A:$L,8,FALSE),L$3&lt;=VLOOKUP($A10,06_OPEX!$A:$L,9,FALSE)),-VLOOKUP($A10,06_OPEX!$A:$L,6,FALSE),0),IF($C10="Unico",IF(L$3=VLOOKUP($A10,06_OPEX!$A:$L,10,FALSE),-VLOOKUP($A10,06_OPEX!$A:$L,6,FALSE),0),IF($C10="Custom",-IFERROR(VLOOKUP($A10,06C_OPEX_CUSTOM!$A:$O,2+MATCH(L$3,06C_OPEX_CUSTOM!$C$3:$N$3,0),FALSE),0),0))))*IFERROR(IF(VLOOKUP($A10,06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M10" s="52">
        <f>(IF($C10="Mensual",IF(AND(M$3&gt;=VLOOKUP($A10,06_OPEX!$A:$L,8,FALSE),M$3&lt;=VLOOKUP($A10,06_OPEX!$A:$L,9,FALSE)),-VLOOKUP($A10,06_OPEX!$A:$L,6,FALSE),0),IF($C10="Unico",IF(M$3=VLOOKUP($A10,06_OPEX!$A:$L,10,FALSE),-VLOOKUP($A10,06_OPEX!$A:$L,6,FALSE),0),IF($C10="Custom",-IFERROR(VLOOKUP($A10,06C_OPEX_CUSTOM!$A:$O,2+MATCH(M$3,06C_OPEX_CUSTOM!$C$3:$N$3,0),FALSE),0),0))))*IFERROR(IF(VLOOKUP($A10,06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N10" s="52">
        <f>(IF($C10="Mensual",IF(AND(N$3&gt;=VLOOKUP($A10,06_OPEX!$A:$L,8,FALSE),N$3&lt;=VLOOKUP($A10,06_OPEX!$A:$L,9,FALSE)),-VLOOKUP($A10,06_OPEX!$A:$L,6,FALSE),0),IF($C10="Unico",IF(N$3=VLOOKUP($A10,06_OPEX!$A:$L,10,FALSE),-VLOOKUP($A10,06_OPEX!$A:$L,6,FALSE),0),IF($C10="Custom",-IFERROR(VLOOKUP($A10,06C_OPEX_CUSTOM!$A:$O,2+MATCH(N$3,06C_OPEX_CUSTOM!$C$3:$N$3,0),FALSE),0),0))))*IFERROR(IF(VLOOKUP($A10,06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O10" s="52">
        <f>(IF($C10="Mensual",IF(AND(O$3&gt;=VLOOKUP($A10,06_OPEX!$A:$L,8,FALSE),O$3&lt;=VLOOKUP($A10,06_OPEX!$A:$L,9,FALSE)),-VLOOKUP($A10,06_OPEX!$A:$L,6,FALSE),0),IF($C10="Unico",IF(O$3=VLOOKUP($A10,06_OPEX!$A:$L,10,FALSE),-VLOOKUP($A10,06_OPEX!$A:$L,6,FALSE),0),IF($C10="Custom",-IFERROR(VLOOKUP($A10,06C_OPEX_CUSTOM!$A:$O,2+MATCH(O$3,06C_OPEX_CUSTOM!$C$3:$N$3,0),FALSE),0),0))))*IFERROR(IF(VLOOKUP($A10,06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P10" s="52">
        <f>(IF($C10="Mensual",IF(AND(P$3&gt;=VLOOKUP($A10,06_OPEX!$A:$L,8,FALSE),P$3&lt;=VLOOKUP($A10,06_OPEX!$A:$L,9,FALSE)),-VLOOKUP($A10,06_OPEX!$A:$L,6,FALSE),0),IF($C10="Unico",IF(P$3=VLOOKUP($A10,06_OPEX!$A:$L,10,FALSE),-VLOOKUP($A10,06_OPEX!$A:$L,6,FALSE),0),IF($C10="Custom",-IFERROR(VLOOKUP($A10,06C_OPEX_CUSTOM!$A:$O,2+MATCH(P$3,06C_OPEX_CUSTOM!$C$3:$N$3,0),FALSE),0),0))))*IFERROR(IF(VLOOKUP($A10,06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Q10" s="56">
        <f>SUM(E10:P10)</f>
        <v/>
      </c>
    </row>
    <row r="11">
      <c r="A11" s="36" t="inlineStr">
        <is>
          <t>OPEX-008</t>
        </is>
      </c>
      <c r="B11" s="36">
        <f>IFERROR(VLOOKUP($A11,06_OPEX!$A:$L,2,FALSE),"")</f>
        <v/>
      </c>
      <c r="C11" s="37">
        <f>IFERROR(VLOOKUP($A11,06_OPEX!$A:$L,4,FALSE),"")</f>
        <v/>
      </c>
      <c r="D11" s="37">
        <f>IFERROR(VLOOKUP($A11,06_OPEX!$A:$L,7,FALSE),"")</f>
        <v/>
      </c>
      <c r="E11" s="52">
        <f>(IF($C11="Mensual",IF(AND(E$3&gt;=VLOOKUP($A11,06_OPEX!$A:$L,8,FALSE),E$3&lt;=VLOOKUP($A11,06_OPEX!$A:$L,9,FALSE)),-VLOOKUP($A11,06_OPEX!$A:$L,6,FALSE),0),IF($C11="Unico",IF(E$3=VLOOKUP($A11,06_OPEX!$A:$L,10,FALSE),-VLOOKUP($A11,06_OPEX!$A:$L,6,FALSE),0),IF($C11="Custom",-IFERROR(VLOOKUP($A11,06C_OPEX_CUSTOM!$A:$O,2+MATCH(E$3,06C_OPEX_CUSTOM!$C$3:$N$3,0),FALSE),0),0))))*IFERROR(IF(VLOOKUP($A11,06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F11" s="52">
        <f>(IF($C11="Mensual",IF(AND(F$3&gt;=VLOOKUP($A11,06_OPEX!$A:$L,8,FALSE),F$3&lt;=VLOOKUP($A11,06_OPEX!$A:$L,9,FALSE)),-VLOOKUP($A11,06_OPEX!$A:$L,6,FALSE),0),IF($C11="Unico",IF(F$3=VLOOKUP($A11,06_OPEX!$A:$L,10,FALSE),-VLOOKUP($A11,06_OPEX!$A:$L,6,FALSE),0),IF($C11="Custom",-IFERROR(VLOOKUP($A11,06C_OPEX_CUSTOM!$A:$O,2+MATCH(F$3,06C_OPEX_CUSTOM!$C$3:$N$3,0),FALSE),0),0))))*IFERROR(IF(VLOOKUP($A11,06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G11" s="52">
        <f>(IF($C11="Mensual",IF(AND(G$3&gt;=VLOOKUP($A11,06_OPEX!$A:$L,8,FALSE),G$3&lt;=VLOOKUP($A11,06_OPEX!$A:$L,9,FALSE)),-VLOOKUP($A11,06_OPEX!$A:$L,6,FALSE),0),IF($C11="Unico",IF(G$3=VLOOKUP($A11,06_OPEX!$A:$L,10,FALSE),-VLOOKUP($A11,06_OPEX!$A:$L,6,FALSE),0),IF($C11="Custom",-IFERROR(VLOOKUP($A11,06C_OPEX_CUSTOM!$A:$O,2+MATCH(G$3,06C_OPEX_CUSTOM!$C$3:$N$3,0),FALSE),0),0))))*IFERROR(IF(VLOOKUP($A11,06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H11" s="52">
        <f>(IF($C11="Mensual",IF(AND(H$3&gt;=VLOOKUP($A11,06_OPEX!$A:$L,8,FALSE),H$3&lt;=VLOOKUP($A11,06_OPEX!$A:$L,9,FALSE)),-VLOOKUP($A11,06_OPEX!$A:$L,6,FALSE),0),IF($C11="Unico",IF(H$3=VLOOKUP($A11,06_OPEX!$A:$L,10,FALSE),-VLOOKUP($A11,06_OPEX!$A:$L,6,FALSE),0),IF($C11="Custom",-IFERROR(VLOOKUP($A11,06C_OPEX_CUSTOM!$A:$O,2+MATCH(H$3,06C_OPEX_CUSTOM!$C$3:$N$3,0),FALSE),0),0))))*IFERROR(IF(VLOOKUP($A11,06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I11" s="52">
        <f>(IF($C11="Mensual",IF(AND(I$3&gt;=VLOOKUP($A11,06_OPEX!$A:$L,8,FALSE),I$3&lt;=VLOOKUP($A11,06_OPEX!$A:$L,9,FALSE)),-VLOOKUP($A11,06_OPEX!$A:$L,6,FALSE),0),IF($C11="Unico",IF(I$3=VLOOKUP($A11,06_OPEX!$A:$L,10,FALSE),-VLOOKUP($A11,06_OPEX!$A:$L,6,FALSE),0),IF($C11="Custom",-IFERROR(VLOOKUP($A11,06C_OPEX_CUSTOM!$A:$O,2+MATCH(I$3,06C_OPEX_CUSTOM!$C$3:$N$3,0),FALSE),0),0))))*IFERROR(IF(VLOOKUP($A11,06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J11" s="52">
        <f>(IF($C11="Mensual",IF(AND(J$3&gt;=VLOOKUP($A11,06_OPEX!$A:$L,8,FALSE),J$3&lt;=VLOOKUP($A11,06_OPEX!$A:$L,9,FALSE)),-VLOOKUP($A11,06_OPEX!$A:$L,6,FALSE),0),IF($C11="Unico",IF(J$3=VLOOKUP($A11,06_OPEX!$A:$L,10,FALSE),-VLOOKUP($A11,06_OPEX!$A:$L,6,FALSE),0),IF($C11="Custom",-IFERROR(VLOOKUP($A11,06C_OPEX_CUSTOM!$A:$O,2+MATCH(J$3,06C_OPEX_CUSTOM!$C$3:$N$3,0),FALSE),0),0))))*IFERROR(IF(VLOOKUP($A11,06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K11" s="52">
        <f>(IF($C11="Mensual",IF(AND(K$3&gt;=VLOOKUP($A11,06_OPEX!$A:$L,8,FALSE),K$3&lt;=VLOOKUP($A11,06_OPEX!$A:$L,9,FALSE)),-VLOOKUP($A11,06_OPEX!$A:$L,6,FALSE),0),IF($C11="Unico",IF(K$3=VLOOKUP($A11,06_OPEX!$A:$L,10,FALSE),-VLOOKUP($A11,06_OPEX!$A:$L,6,FALSE),0),IF($C11="Custom",-IFERROR(VLOOKUP($A11,06C_OPEX_CUSTOM!$A:$O,2+MATCH(K$3,06C_OPEX_CUSTOM!$C$3:$N$3,0),FALSE),0),0))))*IFERROR(IF(VLOOKUP($A11,06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L11" s="52">
        <f>(IF($C11="Mensual",IF(AND(L$3&gt;=VLOOKUP($A11,06_OPEX!$A:$L,8,FALSE),L$3&lt;=VLOOKUP($A11,06_OPEX!$A:$L,9,FALSE)),-VLOOKUP($A11,06_OPEX!$A:$L,6,FALSE),0),IF($C11="Unico",IF(L$3=VLOOKUP($A11,06_OPEX!$A:$L,10,FALSE),-VLOOKUP($A11,06_OPEX!$A:$L,6,FALSE),0),IF($C11="Custom",-IFERROR(VLOOKUP($A11,06C_OPEX_CUSTOM!$A:$O,2+MATCH(L$3,06C_OPEX_CUSTOM!$C$3:$N$3,0),FALSE),0),0))))*IFERROR(IF(VLOOKUP($A11,06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M11" s="52">
        <f>(IF($C11="Mensual",IF(AND(M$3&gt;=VLOOKUP($A11,06_OPEX!$A:$L,8,FALSE),M$3&lt;=VLOOKUP($A11,06_OPEX!$A:$L,9,FALSE)),-VLOOKUP($A11,06_OPEX!$A:$L,6,FALSE),0),IF($C11="Unico",IF(M$3=VLOOKUP($A11,06_OPEX!$A:$L,10,FALSE),-VLOOKUP($A11,06_OPEX!$A:$L,6,FALSE),0),IF($C11="Custom",-IFERROR(VLOOKUP($A11,06C_OPEX_CUSTOM!$A:$O,2+MATCH(M$3,06C_OPEX_CUSTOM!$C$3:$N$3,0),FALSE),0),0))))*IFERROR(IF(VLOOKUP($A11,06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N11" s="52">
        <f>(IF($C11="Mensual",IF(AND(N$3&gt;=VLOOKUP($A11,06_OPEX!$A:$L,8,FALSE),N$3&lt;=VLOOKUP($A11,06_OPEX!$A:$L,9,FALSE)),-VLOOKUP($A11,06_OPEX!$A:$L,6,FALSE),0),IF($C11="Unico",IF(N$3=VLOOKUP($A11,06_OPEX!$A:$L,10,FALSE),-VLOOKUP($A11,06_OPEX!$A:$L,6,FALSE),0),IF($C11="Custom",-IFERROR(VLOOKUP($A11,06C_OPEX_CUSTOM!$A:$O,2+MATCH(N$3,06C_OPEX_CUSTOM!$C$3:$N$3,0),FALSE),0),0))))*IFERROR(IF(VLOOKUP($A11,06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O11" s="52">
        <f>(IF($C11="Mensual",IF(AND(O$3&gt;=VLOOKUP($A11,06_OPEX!$A:$L,8,FALSE),O$3&lt;=VLOOKUP($A11,06_OPEX!$A:$L,9,FALSE)),-VLOOKUP($A11,06_OPEX!$A:$L,6,FALSE),0),IF($C11="Unico",IF(O$3=VLOOKUP($A11,06_OPEX!$A:$L,10,FALSE),-VLOOKUP($A11,06_OPEX!$A:$L,6,FALSE),0),IF($C11="Custom",-IFERROR(VLOOKUP($A11,06C_OPEX_CUSTOM!$A:$O,2+MATCH(O$3,06C_OPEX_CUSTOM!$C$3:$N$3,0),FALSE),0),0))))*IFERROR(IF(VLOOKUP($A11,06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P11" s="52">
        <f>(IF($C11="Mensual",IF(AND(P$3&gt;=VLOOKUP($A11,06_OPEX!$A:$L,8,FALSE),P$3&lt;=VLOOKUP($A11,06_OPEX!$A:$L,9,FALSE)),-VLOOKUP($A11,06_OPEX!$A:$L,6,FALSE),0),IF($C11="Unico",IF(P$3=VLOOKUP($A11,06_OPEX!$A:$L,10,FALSE),-VLOOKUP($A11,06_OPEX!$A:$L,6,FALSE),0),IF($C11="Custom",-IFERROR(VLOOKUP($A11,06C_OPEX_CUSTOM!$A:$O,2+MATCH(P$3,06C_OPEX_CUSTOM!$C$3:$N$3,0),FALSE),0),0))))*IFERROR(IF(VLOOKUP($A11,06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Q11" s="56">
        <f>SUM(E11:P11)</f>
        <v/>
      </c>
    </row>
    <row r="12">
      <c r="A12" s="36" t="inlineStr">
        <is>
          <t>OPEX-009</t>
        </is>
      </c>
      <c r="B12" s="36">
        <f>IFERROR(VLOOKUP($A12,06_OPEX!$A:$L,2,FALSE),"")</f>
        <v/>
      </c>
      <c r="C12" s="37">
        <f>IFERROR(VLOOKUP($A12,06_OPEX!$A:$L,4,FALSE),"")</f>
        <v/>
      </c>
      <c r="D12" s="37">
        <f>IFERROR(VLOOKUP($A12,06_OPEX!$A:$L,7,FALSE),"")</f>
        <v/>
      </c>
      <c r="E12" s="52">
        <f>(IF($C12="Mensual",IF(AND(E$3&gt;=VLOOKUP($A12,06_OPEX!$A:$L,8,FALSE),E$3&lt;=VLOOKUP($A12,06_OPEX!$A:$L,9,FALSE)),-VLOOKUP($A12,06_OPEX!$A:$L,6,FALSE),0),IF($C12="Unico",IF(E$3=VLOOKUP($A12,06_OPEX!$A:$L,10,FALSE),-VLOOKUP($A12,06_OPEX!$A:$L,6,FALSE),0),IF($C12="Custom",-IFERROR(VLOOKUP($A12,06C_OPEX_CUSTOM!$A:$O,2+MATCH(E$3,06C_OPEX_CUSTOM!$C$3:$N$3,0),FALSE),0),0))))*IFERROR(IF(VLOOKUP($A12,06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F12" s="52">
        <f>(IF($C12="Mensual",IF(AND(F$3&gt;=VLOOKUP($A12,06_OPEX!$A:$L,8,FALSE),F$3&lt;=VLOOKUP($A12,06_OPEX!$A:$L,9,FALSE)),-VLOOKUP($A12,06_OPEX!$A:$L,6,FALSE),0),IF($C12="Unico",IF(F$3=VLOOKUP($A12,06_OPEX!$A:$L,10,FALSE),-VLOOKUP($A12,06_OPEX!$A:$L,6,FALSE),0),IF($C12="Custom",-IFERROR(VLOOKUP($A12,06C_OPEX_CUSTOM!$A:$O,2+MATCH(F$3,06C_OPEX_CUSTOM!$C$3:$N$3,0),FALSE),0),0))))*IFERROR(IF(VLOOKUP($A12,06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G12" s="52">
        <f>(IF($C12="Mensual",IF(AND(G$3&gt;=VLOOKUP($A12,06_OPEX!$A:$L,8,FALSE),G$3&lt;=VLOOKUP($A12,06_OPEX!$A:$L,9,FALSE)),-VLOOKUP($A12,06_OPEX!$A:$L,6,FALSE),0),IF($C12="Unico",IF(G$3=VLOOKUP($A12,06_OPEX!$A:$L,10,FALSE),-VLOOKUP($A12,06_OPEX!$A:$L,6,FALSE),0),IF($C12="Custom",-IFERROR(VLOOKUP($A12,06C_OPEX_CUSTOM!$A:$O,2+MATCH(G$3,06C_OPEX_CUSTOM!$C$3:$N$3,0),FALSE),0),0))))*IFERROR(IF(VLOOKUP($A12,06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H12" s="52">
        <f>(IF($C12="Mensual",IF(AND(H$3&gt;=VLOOKUP($A12,06_OPEX!$A:$L,8,FALSE),H$3&lt;=VLOOKUP($A12,06_OPEX!$A:$L,9,FALSE)),-VLOOKUP($A12,06_OPEX!$A:$L,6,FALSE),0),IF($C12="Unico",IF(H$3=VLOOKUP($A12,06_OPEX!$A:$L,10,FALSE),-VLOOKUP($A12,06_OPEX!$A:$L,6,FALSE),0),IF($C12="Custom",-IFERROR(VLOOKUP($A12,06C_OPEX_CUSTOM!$A:$O,2+MATCH(H$3,06C_OPEX_CUSTOM!$C$3:$N$3,0),FALSE),0),0))))*IFERROR(IF(VLOOKUP($A12,06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I12" s="52">
        <f>(IF($C12="Mensual",IF(AND(I$3&gt;=VLOOKUP($A12,06_OPEX!$A:$L,8,FALSE),I$3&lt;=VLOOKUP($A12,06_OPEX!$A:$L,9,FALSE)),-VLOOKUP($A12,06_OPEX!$A:$L,6,FALSE),0),IF($C12="Unico",IF(I$3=VLOOKUP($A12,06_OPEX!$A:$L,10,FALSE),-VLOOKUP($A12,06_OPEX!$A:$L,6,FALSE),0),IF($C12="Custom",-IFERROR(VLOOKUP($A12,06C_OPEX_CUSTOM!$A:$O,2+MATCH(I$3,06C_OPEX_CUSTOM!$C$3:$N$3,0),FALSE),0),0))))*IFERROR(IF(VLOOKUP($A12,06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J12" s="52">
        <f>(IF($C12="Mensual",IF(AND(J$3&gt;=VLOOKUP($A12,06_OPEX!$A:$L,8,FALSE),J$3&lt;=VLOOKUP($A12,06_OPEX!$A:$L,9,FALSE)),-VLOOKUP($A12,06_OPEX!$A:$L,6,FALSE),0),IF($C12="Unico",IF(J$3=VLOOKUP($A12,06_OPEX!$A:$L,10,FALSE),-VLOOKUP($A12,06_OPEX!$A:$L,6,FALSE),0),IF($C12="Custom",-IFERROR(VLOOKUP($A12,06C_OPEX_CUSTOM!$A:$O,2+MATCH(J$3,06C_OPEX_CUSTOM!$C$3:$N$3,0),FALSE),0),0))))*IFERROR(IF(VLOOKUP($A12,06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K12" s="52">
        <f>(IF($C12="Mensual",IF(AND(K$3&gt;=VLOOKUP($A12,06_OPEX!$A:$L,8,FALSE),K$3&lt;=VLOOKUP($A12,06_OPEX!$A:$L,9,FALSE)),-VLOOKUP($A12,06_OPEX!$A:$L,6,FALSE),0),IF($C12="Unico",IF(K$3=VLOOKUP($A12,06_OPEX!$A:$L,10,FALSE),-VLOOKUP($A12,06_OPEX!$A:$L,6,FALSE),0),IF($C12="Custom",-IFERROR(VLOOKUP($A12,06C_OPEX_CUSTOM!$A:$O,2+MATCH(K$3,06C_OPEX_CUSTOM!$C$3:$N$3,0),FALSE),0),0))))*IFERROR(IF(VLOOKUP($A12,06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L12" s="52">
        <f>(IF($C12="Mensual",IF(AND(L$3&gt;=VLOOKUP($A12,06_OPEX!$A:$L,8,FALSE),L$3&lt;=VLOOKUP($A12,06_OPEX!$A:$L,9,FALSE)),-VLOOKUP($A12,06_OPEX!$A:$L,6,FALSE),0),IF($C12="Unico",IF(L$3=VLOOKUP($A12,06_OPEX!$A:$L,10,FALSE),-VLOOKUP($A12,06_OPEX!$A:$L,6,FALSE),0),IF($C12="Custom",-IFERROR(VLOOKUP($A12,06C_OPEX_CUSTOM!$A:$O,2+MATCH(L$3,06C_OPEX_CUSTOM!$C$3:$N$3,0),FALSE),0),0))))*IFERROR(IF(VLOOKUP($A12,06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M12" s="52">
        <f>(IF($C12="Mensual",IF(AND(M$3&gt;=VLOOKUP($A12,06_OPEX!$A:$L,8,FALSE),M$3&lt;=VLOOKUP($A12,06_OPEX!$A:$L,9,FALSE)),-VLOOKUP($A12,06_OPEX!$A:$L,6,FALSE),0),IF($C12="Unico",IF(M$3=VLOOKUP($A12,06_OPEX!$A:$L,10,FALSE),-VLOOKUP($A12,06_OPEX!$A:$L,6,FALSE),0),IF($C12="Custom",-IFERROR(VLOOKUP($A12,06C_OPEX_CUSTOM!$A:$O,2+MATCH(M$3,06C_OPEX_CUSTOM!$C$3:$N$3,0),FALSE),0),0))))*IFERROR(IF(VLOOKUP($A12,06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N12" s="52">
        <f>(IF($C12="Mensual",IF(AND(N$3&gt;=VLOOKUP($A12,06_OPEX!$A:$L,8,FALSE),N$3&lt;=VLOOKUP($A12,06_OPEX!$A:$L,9,FALSE)),-VLOOKUP($A12,06_OPEX!$A:$L,6,FALSE),0),IF($C12="Unico",IF(N$3=VLOOKUP($A12,06_OPEX!$A:$L,10,FALSE),-VLOOKUP($A12,06_OPEX!$A:$L,6,FALSE),0),IF($C12="Custom",-IFERROR(VLOOKUP($A12,06C_OPEX_CUSTOM!$A:$O,2+MATCH(N$3,06C_OPEX_CUSTOM!$C$3:$N$3,0),FALSE),0),0))))*IFERROR(IF(VLOOKUP($A12,06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O12" s="52">
        <f>(IF($C12="Mensual",IF(AND(O$3&gt;=VLOOKUP($A12,06_OPEX!$A:$L,8,FALSE),O$3&lt;=VLOOKUP($A12,06_OPEX!$A:$L,9,FALSE)),-VLOOKUP($A12,06_OPEX!$A:$L,6,FALSE),0),IF($C12="Unico",IF(O$3=VLOOKUP($A12,06_OPEX!$A:$L,10,FALSE),-VLOOKUP($A12,06_OPEX!$A:$L,6,FALSE),0),IF($C12="Custom",-IFERROR(VLOOKUP($A12,06C_OPEX_CUSTOM!$A:$O,2+MATCH(O$3,06C_OPEX_CUSTOM!$C$3:$N$3,0),FALSE),0),0))))*IFERROR(IF(VLOOKUP($A12,06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P12" s="52">
        <f>(IF($C12="Mensual",IF(AND(P$3&gt;=VLOOKUP($A12,06_OPEX!$A:$L,8,FALSE),P$3&lt;=VLOOKUP($A12,06_OPEX!$A:$L,9,FALSE)),-VLOOKUP($A12,06_OPEX!$A:$L,6,FALSE),0),IF($C12="Unico",IF(P$3=VLOOKUP($A12,06_OPEX!$A:$L,10,FALSE),-VLOOKUP($A12,06_OPEX!$A:$L,6,FALSE),0),IF($C12="Custom",-IFERROR(VLOOKUP($A12,06C_OPEX_CUSTOM!$A:$O,2+MATCH(P$3,06C_OPEX_CUSTOM!$C$3:$N$3,0),FALSE),0),0))))*IFERROR(IF(VLOOKUP($A12,06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Q12" s="56">
        <f>SUM(E12:P12)</f>
        <v/>
      </c>
    </row>
    <row r="13">
      <c r="A13" s="36" t="inlineStr">
        <is>
          <t>OPEX-010</t>
        </is>
      </c>
      <c r="B13" s="36">
        <f>IFERROR(VLOOKUP($A13,06_OPEX!$A:$L,2,FALSE),"")</f>
        <v/>
      </c>
      <c r="C13" s="37">
        <f>IFERROR(VLOOKUP($A13,06_OPEX!$A:$L,4,FALSE),"")</f>
        <v/>
      </c>
      <c r="D13" s="37">
        <f>IFERROR(VLOOKUP($A13,06_OPEX!$A:$L,7,FALSE),"")</f>
        <v/>
      </c>
      <c r="E13" s="52">
        <f>(IF($C13="Mensual",IF(AND(E$3&gt;=VLOOKUP($A13,06_OPEX!$A:$L,8,FALSE),E$3&lt;=VLOOKUP($A13,06_OPEX!$A:$L,9,FALSE)),-VLOOKUP($A13,06_OPEX!$A:$L,6,FALSE),0),IF($C13="Unico",IF(E$3=VLOOKUP($A13,06_OPEX!$A:$L,10,FALSE),-VLOOKUP($A13,06_OPEX!$A:$L,6,FALSE),0),IF($C13="Custom",-IFERROR(VLOOKUP($A13,06C_OPEX_CUSTOM!$A:$O,2+MATCH(E$3,06C_OPEX_CUSTOM!$C$3:$N$3,0),FALSE),0),0))))*IFERROR(IF(VLOOKUP($A13,06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F13" s="52">
        <f>(IF($C13="Mensual",IF(AND(F$3&gt;=VLOOKUP($A13,06_OPEX!$A:$L,8,FALSE),F$3&lt;=VLOOKUP($A13,06_OPEX!$A:$L,9,FALSE)),-VLOOKUP($A13,06_OPEX!$A:$L,6,FALSE),0),IF($C13="Unico",IF(F$3=VLOOKUP($A13,06_OPEX!$A:$L,10,FALSE),-VLOOKUP($A13,06_OPEX!$A:$L,6,FALSE),0),IF($C13="Custom",-IFERROR(VLOOKUP($A13,06C_OPEX_CUSTOM!$A:$O,2+MATCH(F$3,06C_OPEX_CUSTOM!$C$3:$N$3,0),FALSE),0),0))))*IFERROR(IF(VLOOKUP($A13,06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G13" s="52">
        <f>(IF($C13="Mensual",IF(AND(G$3&gt;=VLOOKUP($A13,06_OPEX!$A:$L,8,FALSE),G$3&lt;=VLOOKUP($A13,06_OPEX!$A:$L,9,FALSE)),-VLOOKUP($A13,06_OPEX!$A:$L,6,FALSE),0),IF($C13="Unico",IF(G$3=VLOOKUP($A13,06_OPEX!$A:$L,10,FALSE),-VLOOKUP($A13,06_OPEX!$A:$L,6,FALSE),0),IF($C13="Custom",-IFERROR(VLOOKUP($A13,06C_OPEX_CUSTOM!$A:$O,2+MATCH(G$3,06C_OPEX_CUSTOM!$C$3:$N$3,0),FALSE),0),0))))*IFERROR(IF(VLOOKUP($A13,06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H13" s="52">
        <f>(IF($C13="Mensual",IF(AND(H$3&gt;=VLOOKUP($A13,06_OPEX!$A:$L,8,FALSE),H$3&lt;=VLOOKUP($A13,06_OPEX!$A:$L,9,FALSE)),-VLOOKUP($A13,06_OPEX!$A:$L,6,FALSE),0),IF($C13="Unico",IF(H$3=VLOOKUP($A13,06_OPEX!$A:$L,10,FALSE),-VLOOKUP($A13,06_OPEX!$A:$L,6,FALSE),0),IF($C13="Custom",-IFERROR(VLOOKUP($A13,06C_OPEX_CUSTOM!$A:$O,2+MATCH(H$3,06C_OPEX_CUSTOM!$C$3:$N$3,0),FALSE),0),0))))*IFERROR(IF(VLOOKUP($A13,06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I13" s="52">
        <f>(IF($C13="Mensual",IF(AND(I$3&gt;=VLOOKUP($A13,06_OPEX!$A:$L,8,FALSE),I$3&lt;=VLOOKUP($A13,06_OPEX!$A:$L,9,FALSE)),-VLOOKUP($A13,06_OPEX!$A:$L,6,FALSE),0),IF($C13="Unico",IF(I$3=VLOOKUP($A13,06_OPEX!$A:$L,10,FALSE),-VLOOKUP($A13,06_OPEX!$A:$L,6,FALSE),0),IF($C13="Custom",-IFERROR(VLOOKUP($A13,06C_OPEX_CUSTOM!$A:$O,2+MATCH(I$3,06C_OPEX_CUSTOM!$C$3:$N$3,0),FALSE),0),0))))*IFERROR(IF(VLOOKUP($A13,06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J13" s="52">
        <f>(IF($C13="Mensual",IF(AND(J$3&gt;=VLOOKUP($A13,06_OPEX!$A:$L,8,FALSE),J$3&lt;=VLOOKUP($A13,06_OPEX!$A:$L,9,FALSE)),-VLOOKUP($A13,06_OPEX!$A:$L,6,FALSE),0),IF($C13="Unico",IF(J$3=VLOOKUP($A13,06_OPEX!$A:$L,10,FALSE),-VLOOKUP($A13,06_OPEX!$A:$L,6,FALSE),0),IF($C13="Custom",-IFERROR(VLOOKUP($A13,06C_OPEX_CUSTOM!$A:$O,2+MATCH(J$3,06C_OPEX_CUSTOM!$C$3:$N$3,0),FALSE),0),0))))*IFERROR(IF(VLOOKUP($A13,06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K13" s="52">
        <f>(IF($C13="Mensual",IF(AND(K$3&gt;=VLOOKUP($A13,06_OPEX!$A:$L,8,FALSE),K$3&lt;=VLOOKUP($A13,06_OPEX!$A:$L,9,FALSE)),-VLOOKUP($A13,06_OPEX!$A:$L,6,FALSE),0),IF($C13="Unico",IF(K$3=VLOOKUP($A13,06_OPEX!$A:$L,10,FALSE),-VLOOKUP($A13,06_OPEX!$A:$L,6,FALSE),0),IF($C13="Custom",-IFERROR(VLOOKUP($A13,06C_OPEX_CUSTOM!$A:$O,2+MATCH(K$3,06C_OPEX_CUSTOM!$C$3:$N$3,0),FALSE),0),0))))*IFERROR(IF(VLOOKUP($A13,06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L13" s="52">
        <f>(IF($C13="Mensual",IF(AND(L$3&gt;=VLOOKUP($A13,06_OPEX!$A:$L,8,FALSE),L$3&lt;=VLOOKUP($A13,06_OPEX!$A:$L,9,FALSE)),-VLOOKUP($A13,06_OPEX!$A:$L,6,FALSE),0),IF($C13="Unico",IF(L$3=VLOOKUP($A13,06_OPEX!$A:$L,10,FALSE),-VLOOKUP($A13,06_OPEX!$A:$L,6,FALSE),0),IF($C13="Custom",-IFERROR(VLOOKUP($A13,06C_OPEX_CUSTOM!$A:$O,2+MATCH(L$3,06C_OPEX_CUSTOM!$C$3:$N$3,0),FALSE),0),0))))*IFERROR(IF(VLOOKUP($A13,06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M13" s="52">
        <f>(IF($C13="Mensual",IF(AND(M$3&gt;=VLOOKUP($A13,06_OPEX!$A:$L,8,FALSE),M$3&lt;=VLOOKUP($A13,06_OPEX!$A:$L,9,FALSE)),-VLOOKUP($A13,06_OPEX!$A:$L,6,FALSE),0),IF($C13="Unico",IF(M$3=VLOOKUP($A13,06_OPEX!$A:$L,10,FALSE),-VLOOKUP($A13,06_OPEX!$A:$L,6,FALSE),0),IF($C13="Custom",-IFERROR(VLOOKUP($A13,06C_OPEX_CUSTOM!$A:$O,2+MATCH(M$3,06C_OPEX_CUSTOM!$C$3:$N$3,0),FALSE),0),0))))*IFERROR(IF(VLOOKUP($A13,06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N13" s="52">
        <f>(IF($C13="Mensual",IF(AND(N$3&gt;=VLOOKUP($A13,06_OPEX!$A:$L,8,FALSE),N$3&lt;=VLOOKUP($A13,06_OPEX!$A:$L,9,FALSE)),-VLOOKUP($A13,06_OPEX!$A:$L,6,FALSE),0),IF($C13="Unico",IF(N$3=VLOOKUP($A13,06_OPEX!$A:$L,10,FALSE),-VLOOKUP($A13,06_OPEX!$A:$L,6,FALSE),0),IF($C13="Custom",-IFERROR(VLOOKUP($A13,06C_OPEX_CUSTOM!$A:$O,2+MATCH(N$3,06C_OPEX_CUSTOM!$C$3:$N$3,0),FALSE),0),0))))*IFERROR(IF(VLOOKUP($A13,06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O13" s="52">
        <f>(IF($C13="Mensual",IF(AND(O$3&gt;=VLOOKUP($A13,06_OPEX!$A:$L,8,FALSE),O$3&lt;=VLOOKUP($A13,06_OPEX!$A:$L,9,FALSE)),-VLOOKUP($A13,06_OPEX!$A:$L,6,FALSE),0),IF($C13="Unico",IF(O$3=VLOOKUP($A13,06_OPEX!$A:$L,10,FALSE),-VLOOKUP($A13,06_OPEX!$A:$L,6,FALSE),0),IF($C13="Custom",-IFERROR(VLOOKUP($A13,06C_OPEX_CUSTOM!$A:$O,2+MATCH(O$3,06C_OPEX_CUSTOM!$C$3:$N$3,0),FALSE),0),0))))*IFERROR(IF(VLOOKUP($A13,06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P13" s="52">
        <f>(IF($C13="Mensual",IF(AND(P$3&gt;=VLOOKUP($A13,06_OPEX!$A:$L,8,FALSE),P$3&lt;=VLOOKUP($A13,06_OPEX!$A:$L,9,FALSE)),-VLOOKUP($A13,06_OPEX!$A:$L,6,FALSE),0),IF($C13="Unico",IF(P$3=VLOOKUP($A13,06_OPEX!$A:$L,10,FALSE),-VLOOKUP($A13,06_OPEX!$A:$L,6,FALSE),0),IF($C13="Custom",-IFERROR(VLOOKUP($A13,06C_OPEX_CUSTOM!$A:$O,2+MATCH(P$3,06C_OPEX_CUSTOM!$C$3:$N$3,0),FALSE),0),0))))*IFERROR(IF(VLOOKUP($A13,06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Q13" s="56">
        <f>SUM(E13:P13)</f>
        <v/>
      </c>
    </row>
    <row r="14">
      <c r="A14" s="36" t="inlineStr">
        <is>
          <t>OPEX-011</t>
        </is>
      </c>
      <c r="B14" s="36">
        <f>IFERROR(VLOOKUP($A14,06_OPEX!$A:$L,2,FALSE),"")</f>
        <v/>
      </c>
      <c r="C14" s="37">
        <f>IFERROR(VLOOKUP($A14,06_OPEX!$A:$L,4,FALSE),"")</f>
        <v/>
      </c>
      <c r="D14" s="37">
        <f>IFERROR(VLOOKUP($A14,06_OPEX!$A:$L,7,FALSE),"")</f>
        <v/>
      </c>
      <c r="E14" s="52">
        <f>(IF($C14="Mensual",IF(AND(E$3&gt;=VLOOKUP($A14,06_OPEX!$A:$L,8,FALSE),E$3&lt;=VLOOKUP($A14,06_OPEX!$A:$L,9,FALSE)),-VLOOKUP($A14,06_OPEX!$A:$L,6,FALSE),0),IF($C14="Unico",IF(E$3=VLOOKUP($A14,06_OPEX!$A:$L,10,FALSE),-VLOOKUP($A14,06_OPEX!$A:$L,6,FALSE),0),IF($C14="Custom",-IFERROR(VLOOKUP($A14,06C_OPEX_CUSTOM!$A:$O,2+MATCH(E$3,06C_OPEX_CUSTOM!$C$3:$N$3,0),FALSE),0),0))))*IFERROR(IF(VLOOKUP($A14,06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F14" s="52">
        <f>(IF($C14="Mensual",IF(AND(F$3&gt;=VLOOKUP($A14,06_OPEX!$A:$L,8,FALSE),F$3&lt;=VLOOKUP($A14,06_OPEX!$A:$L,9,FALSE)),-VLOOKUP($A14,06_OPEX!$A:$L,6,FALSE),0),IF($C14="Unico",IF(F$3=VLOOKUP($A14,06_OPEX!$A:$L,10,FALSE),-VLOOKUP($A14,06_OPEX!$A:$L,6,FALSE),0),IF($C14="Custom",-IFERROR(VLOOKUP($A14,06C_OPEX_CUSTOM!$A:$O,2+MATCH(F$3,06C_OPEX_CUSTOM!$C$3:$N$3,0),FALSE),0),0))))*IFERROR(IF(VLOOKUP($A14,06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G14" s="52">
        <f>(IF($C14="Mensual",IF(AND(G$3&gt;=VLOOKUP($A14,06_OPEX!$A:$L,8,FALSE),G$3&lt;=VLOOKUP($A14,06_OPEX!$A:$L,9,FALSE)),-VLOOKUP($A14,06_OPEX!$A:$L,6,FALSE),0),IF($C14="Unico",IF(G$3=VLOOKUP($A14,06_OPEX!$A:$L,10,FALSE),-VLOOKUP($A14,06_OPEX!$A:$L,6,FALSE),0),IF($C14="Custom",-IFERROR(VLOOKUP($A14,06C_OPEX_CUSTOM!$A:$O,2+MATCH(G$3,06C_OPEX_CUSTOM!$C$3:$N$3,0),FALSE),0),0))))*IFERROR(IF(VLOOKUP($A14,06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H14" s="52">
        <f>(IF($C14="Mensual",IF(AND(H$3&gt;=VLOOKUP($A14,06_OPEX!$A:$L,8,FALSE),H$3&lt;=VLOOKUP($A14,06_OPEX!$A:$L,9,FALSE)),-VLOOKUP($A14,06_OPEX!$A:$L,6,FALSE),0),IF($C14="Unico",IF(H$3=VLOOKUP($A14,06_OPEX!$A:$L,10,FALSE),-VLOOKUP($A14,06_OPEX!$A:$L,6,FALSE),0),IF($C14="Custom",-IFERROR(VLOOKUP($A14,06C_OPEX_CUSTOM!$A:$O,2+MATCH(H$3,06C_OPEX_CUSTOM!$C$3:$N$3,0),FALSE),0),0))))*IFERROR(IF(VLOOKUP($A14,06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I14" s="52">
        <f>(IF($C14="Mensual",IF(AND(I$3&gt;=VLOOKUP($A14,06_OPEX!$A:$L,8,FALSE),I$3&lt;=VLOOKUP($A14,06_OPEX!$A:$L,9,FALSE)),-VLOOKUP($A14,06_OPEX!$A:$L,6,FALSE),0),IF($C14="Unico",IF(I$3=VLOOKUP($A14,06_OPEX!$A:$L,10,FALSE),-VLOOKUP($A14,06_OPEX!$A:$L,6,FALSE),0),IF($C14="Custom",-IFERROR(VLOOKUP($A14,06C_OPEX_CUSTOM!$A:$O,2+MATCH(I$3,06C_OPEX_CUSTOM!$C$3:$N$3,0),FALSE),0),0))))*IFERROR(IF(VLOOKUP($A14,06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J14" s="52">
        <f>(IF($C14="Mensual",IF(AND(J$3&gt;=VLOOKUP($A14,06_OPEX!$A:$L,8,FALSE),J$3&lt;=VLOOKUP($A14,06_OPEX!$A:$L,9,FALSE)),-VLOOKUP($A14,06_OPEX!$A:$L,6,FALSE),0),IF($C14="Unico",IF(J$3=VLOOKUP($A14,06_OPEX!$A:$L,10,FALSE),-VLOOKUP($A14,06_OPEX!$A:$L,6,FALSE),0),IF($C14="Custom",-IFERROR(VLOOKUP($A14,06C_OPEX_CUSTOM!$A:$O,2+MATCH(J$3,06C_OPEX_CUSTOM!$C$3:$N$3,0),FALSE),0),0))))*IFERROR(IF(VLOOKUP($A14,06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K14" s="52">
        <f>(IF($C14="Mensual",IF(AND(K$3&gt;=VLOOKUP($A14,06_OPEX!$A:$L,8,FALSE),K$3&lt;=VLOOKUP($A14,06_OPEX!$A:$L,9,FALSE)),-VLOOKUP($A14,06_OPEX!$A:$L,6,FALSE),0),IF($C14="Unico",IF(K$3=VLOOKUP($A14,06_OPEX!$A:$L,10,FALSE),-VLOOKUP($A14,06_OPEX!$A:$L,6,FALSE),0),IF($C14="Custom",-IFERROR(VLOOKUP($A14,06C_OPEX_CUSTOM!$A:$O,2+MATCH(K$3,06C_OPEX_CUSTOM!$C$3:$N$3,0),FALSE),0),0))))*IFERROR(IF(VLOOKUP($A14,06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L14" s="52">
        <f>(IF($C14="Mensual",IF(AND(L$3&gt;=VLOOKUP($A14,06_OPEX!$A:$L,8,FALSE),L$3&lt;=VLOOKUP($A14,06_OPEX!$A:$L,9,FALSE)),-VLOOKUP($A14,06_OPEX!$A:$L,6,FALSE),0),IF($C14="Unico",IF(L$3=VLOOKUP($A14,06_OPEX!$A:$L,10,FALSE),-VLOOKUP($A14,06_OPEX!$A:$L,6,FALSE),0),IF($C14="Custom",-IFERROR(VLOOKUP($A14,06C_OPEX_CUSTOM!$A:$O,2+MATCH(L$3,06C_OPEX_CUSTOM!$C$3:$N$3,0),FALSE),0),0))))*IFERROR(IF(VLOOKUP($A14,06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M14" s="52">
        <f>(IF($C14="Mensual",IF(AND(M$3&gt;=VLOOKUP($A14,06_OPEX!$A:$L,8,FALSE),M$3&lt;=VLOOKUP($A14,06_OPEX!$A:$L,9,FALSE)),-VLOOKUP($A14,06_OPEX!$A:$L,6,FALSE),0),IF($C14="Unico",IF(M$3=VLOOKUP($A14,06_OPEX!$A:$L,10,FALSE),-VLOOKUP($A14,06_OPEX!$A:$L,6,FALSE),0),IF($C14="Custom",-IFERROR(VLOOKUP($A14,06C_OPEX_CUSTOM!$A:$O,2+MATCH(M$3,06C_OPEX_CUSTOM!$C$3:$N$3,0),FALSE),0),0))))*IFERROR(IF(VLOOKUP($A14,06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N14" s="52">
        <f>(IF($C14="Mensual",IF(AND(N$3&gt;=VLOOKUP($A14,06_OPEX!$A:$L,8,FALSE),N$3&lt;=VLOOKUP($A14,06_OPEX!$A:$L,9,FALSE)),-VLOOKUP($A14,06_OPEX!$A:$L,6,FALSE),0),IF($C14="Unico",IF(N$3=VLOOKUP($A14,06_OPEX!$A:$L,10,FALSE),-VLOOKUP($A14,06_OPEX!$A:$L,6,FALSE),0),IF($C14="Custom",-IFERROR(VLOOKUP($A14,06C_OPEX_CUSTOM!$A:$O,2+MATCH(N$3,06C_OPEX_CUSTOM!$C$3:$N$3,0),FALSE),0),0))))*IFERROR(IF(VLOOKUP($A14,06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O14" s="52">
        <f>(IF($C14="Mensual",IF(AND(O$3&gt;=VLOOKUP($A14,06_OPEX!$A:$L,8,FALSE),O$3&lt;=VLOOKUP($A14,06_OPEX!$A:$L,9,FALSE)),-VLOOKUP($A14,06_OPEX!$A:$L,6,FALSE),0),IF($C14="Unico",IF(O$3=VLOOKUP($A14,06_OPEX!$A:$L,10,FALSE),-VLOOKUP($A14,06_OPEX!$A:$L,6,FALSE),0),IF($C14="Custom",-IFERROR(VLOOKUP($A14,06C_OPEX_CUSTOM!$A:$O,2+MATCH(O$3,06C_OPEX_CUSTOM!$C$3:$N$3,0),FALSE),0),0))))*IFERROR(IF(VLOOKUP($A14,06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P14" s="52">
        <f>(IF($C14="Mensual",IF(AND(P$3&gt;=VLOOKUP($A14,06_OPEX!$A:$L,8,FALSE),P$3&lt;=VLOOKUP($A14,06_OPEX!$A:$L,9,FALSE)),-VLOOKUP($A14,06_OPEX!$A:$L,6,FALSE),0),IF($C14="Unico",IF(P$3=VLOOKUP($A14,06_OPEX!$A:$L,10,FALSE),-VLOOKUP($A14,06_OPEX!$A:$L,6,FALSE),0),IF($C14="Custom",-IFERROR(VLOOKUP($A14,06C_OPEX_CUSTOM!$A:$O,2+MATCH(P$3,06C_OPEX_CUSTOM!$C$3:$N$3,0),FALSE),0),0))))*IFERROR(IF(VLOOKUP($A14,06_OPEX!$A:$L,5,FALSE)="Variable",(INDEX(02B_ESCENARIOS!$B$4:$D$11, MATCH("(INDEX(02B_ESCENARIOS!$B$4:$D$11, MATCH("MULT_OPEX_VARIABLE", 02B_ESCENARIOS!$A$4:$A$11, 0), MATCH("Agresivo", 02B_ESCENARIOS!$B$3:$D$3, 0)))", 02B_ESCENARIOS!$A$4:$A$11, 0), MATCH("Agresivo", 02B_ESCENARIOS!$B$3:$D$3, 0))),(INDEX(02B_ESCENARIOS!$B$4:$D$11, MATCH("(INDEX(02B_ESCENARIOS!$B$4:$D$11, MATCH("MULT_OPEX_FIJO", 02B_ESCENARIOS!$A$4:$A$11, 0), MATCH("Agresivo", 02B_ESCENARIOS!$B$3:$D$3, 0)))", 02B_ESCENARIOS!$A$4:$A$11, 0), MATCH("Agresivo", 02B_ESCENARIOS!$B$3:$D$3, 0)))),1)</f>
        <v/>
      </c>
      <c r="Q14" s="56">
        <f>SUM(E14:P14)</f>
        <v/>
      </c>
    </row>
    <row r="16">
      <c r="A16" s="34" t="inlineStr">
        <is>
          <t>TOTAL_OPEX</t>
        </is>
      </c>
      <c r="E16" s="57">
        <f>SUM(E4:E15)</f>
        <v/>
      </c>
      <c r="F16" s="57">
        <f>SUM(F4:F15)</f>
        <v/>
      </c>
      <c r="G16" s="57">
        <f>SUM(G4:G15)</f>
        <v/>
      </c>
      <c r="H16" s="57">
        <f>SUM(H4:H15)</f>
        <v/>
      </c>
      <c r="I16" s="57">
        <f>SUM(I4:I15)</f>
        <v/>
      </c>
      <c r="J16" s="57">
        <f>SUM(J4:J15)</f>
        <v/>
      </c>
      <c r="K16" s="57">
        <f>SUM(K4:K15)</f>
        <v/>
      </c>
      <c r="L16" s="57">
        <f>SUM(L4:L15)</f>
        <v/>
      </c>
      <c r="M16" s="57">
        <f>SUM(M4:M15)</f>
        <v/>
      </c>
      <c r="N16" s="57">
        <f>SUM(N4:N15)</f>
        <v/>
      </c>
      <c r="O16" s="57">
        <f>SUM(O4:O15)</f>
        <v/>
      </c>
      <c r="P16" s="57">
        <f>SUM(P4:P15)</f>
        <v/>
      </c>
      <c r="Q16" s="57">
        <f>SUM(Q4:Q15)</f>
        <v/>
      </c>
    </row>
  </sheetData>
  <mergeCells count="2">
    <mergeCell ref="A1:Q1"/>
    <mergeCell ref="A16:D16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</cols>
  <sheetData>
    <row r="1">
      <c r="A1" s="7" t="inlineStr">
        <is>
          <t>FACTURACIÓN (Devengo) — Neto vs IVA vs Bruto (Calculado)</t>
        </is>
      </c>
    </row>
    <row r="3">
      <c r="A3" s="8" t="inlineStr">
        <is>
          <t>Concepto</t>
        </is>
      </c>
      <c r="B3" s="31" t="n">
        <v>46053</v>
      </c>
      <c r="C3" s="31" t="n">
        <v>46081</v>
      </c>
      <c r="D3" s="31" t="n">
        <v>46112</v>
      </c>
      <c r="E3" s="31" t="n">
        <v>46142</v>
      </c>
      <c r="F3" s="31" t="n">
        <v>46173</v>
      </c>
      <c r="G3" s="31" t="n">
        <v>46203</v>
      </c>
      <c r="H3" s="31" t="n">
        <v>46234</v>
      </c>
      <c r="I3" s="31" t="n">
        <v>46265</v>
      </c>
      <c r="J3" s="31" t="n">
        <v>46295</v>
      </c>
      <c r="K3" s="31" t="n">
        <v>46326</v>
      </c>
      <c r="L3" s="31" t="n">
        <v>46356</v>
      </c>
      <c r="M3" s="31" t="n">
        <v>46387</v>
      </c>
      <c r="N3" s="8" t="inlineStr">
        <is>
          <t>Total_Año</t>
        </is>
      </c>
    </row>
    <row r="4">
      <c r="A4" s="38" t="inlineStr">
        <is>
          <t>Ventas_netas_sin_IVA</t>
        </is>
      </c>
      <c r="B4" s="52">
        <f>SUMIFS(04B_HITOS_AGR!$E$4:$E$500,04B_HITOS_AGR!$C$4:$C$500,B$3)</f>
        <v/>
      </c>
      <c r="C4" s="52">
        <f>SUMIFS(04B_HITOS_AGR!$E$4:$E$500,04B_HITOS_AGR!$C$4:$C$500,C$3)</f>
        <v/>
      </c>
      <c r="D4" s="52">
        <f>SUMIFS(04B_HITOS_AGR!$E$4:$E$500,04B_HITOS_AGR!$C$4:$C$500,D$3)</f>
        <v/>
      </c>
      <c r="E4" s="52">
        <f>SUMIFS(04B_HITOS_AGR!$E$4:$E$500,04B_HITOS_AGR!$C$4:$C$500,E$3)</f>
        <v/>
      </c>
      <c r="F4" s="52">
        <f>SUMIFS(04B_HITOS_AGR!$E$4:$E$500,04B_HITOS_AGR!$C$4:$C$500,F$3)</f>
        <v/>
      </c>
      <c r="G4" s="52">
        <f>SUMIFS(04B_HITOS_AGR!$E$4:$E$500,04B_HITOS_AGR!$C$4:$C$500,G$3)</f>
        <v/>
      </c>
      <c r="H4" s="52">
        <f>SUMIFS(04B_HITOS_AGR!$E$4:$E$500,04B_HITOS_AGR!$C$4:$C$500,H$3)</f>
        <v/>
      </c>
      <c r="I4" s="52">
        <f>SUMIFS(04B_HITOS_AGR!$E$4:$E$500,04B_HITOS_AGR!$C$4:$C$500,I$3)</f>
        <v/>
      </c>
      <c r="J4" s="52">
        <f>SUMIFS(04B_HITOS_AGR!$E$4:$E$500,04B_HITOS_AGR!$C$4:$C$500,J$3)</f>
        <v/>
      </c>
      <c r="K4" s="52">
        <f>SUMIFS(04B_HITOS_AGR!$E$4:$E$500,04B_HITOS_AGR!$C$4:$C$500,K$3)</f>
        <v/>
      </c>
      <c r="L4" s="52">
        <f>SUMIFS(04B_HITOS_AGR!$E$4:$E$500,04B_HITOS_AGR!$C$4:$C$500,L$3)</f>
        <v/>
      </c>
      <c r="M4" s="52">
        <f>SUMIFS(04B_HITOS_AGR!$E$4:$E$500,04B_HITOS_AGR!$C$4:$C$500,M$3)</f>
        <v/>
      </c>
      <c r="N4" s="52">
        <f>SUM(B4:M4)</f>
        <v/>
      </c>
    </row>
    <row r="5">
      <c r="A5" s="36" t="inlineStr">
        <is>
          <t>IVA_debito</t>
        </is>
      </c>
      <c r="B5" s="52">
        <f>SUMIFS(04B_HITOS_AGR!$F$4:$F$500,04B_HITOS_AGR!$C$4:$C$500,B$3)</f>
        <v/>
      </c>
      <c r="C5" s="52">
        <f>SUMIFS(04B_HITOS_AGR!$F$4:$F$500,04B_HITOS_AGR!$C$4:$C$500,C$3)</f>
        <v/>
      </c>
      <c r="D5" s="52">
        <f>SUMIFS(04B_HITOS_AGR!$F$4:$F$500,04B_HITOS_AGR!$C$4:$C$500,D$3)</f>
        <v/>
      </c>
      <c r="E5" s="52">
        <f>SUMIFS(04B_HITOS_AGR!$F$4:$F$500,04B_HITOS_AGR!$C$4:$C$500,E$3)</f>
        <v/>
      </c>
      <c r="F5" s="52">
        <f>SUMIFS(04B_HITOS_AGR!$F$4:$F$500,04B_HITOS_AGR!$C$4:$C$500,F$3)</f>
        <v/>
      </c>
      <c r="G5" s="52">
        <f>SUMIFS(04B_HITOS_AGR!$F$4:$F$500,04B_HITOS_AGR!$C$4:$C$500,G$3)</f>
        <v/>
      </c>
      <c r="H5" s="52">
        <f>SUMIFS(04B_HITOS_AGR!$F$4:$F$500,04B_HITOS_AGR!$C$4:$C$500,H$3)</f>
        <v/>
      </c>
      <c r="I5" s="52">
        <f>SUMIFS(04B_HITOS_AGR!$F$4:$F$500,04B_HITOS_AGR!$C$4:$C$500,I$3)</f>
        <v/>
      </c>
      <c r="J5" s="52">
        <f>SUMIFS(04B_HITOS_AGR!$F$4:$F$500,04B_HITOS_AGR!$C$4:$C$500,J$3)</f>
        <v/>
      </c>
      <c r="K5" s="52">
        <f>SUMIFS(04B_HITOS_AGR!$F$4:$F$500,04B_HITOS_AGR!$C$4:$C$500,K$3)</f>
        <v/>
      </c>
      <c r="L5" s="52">
        <f>SUMIFS(04B_HITOS_AGR!$F$4:$F$500,04B_HITOS_AGR!$C$4:$C$500,L$3)</f>
        <v/>
      </c>
      <c r="M5" s="52">
        <f>SUMIFS(04B_HITOS_AGR!$F$4:$F$500,04B_HITOS_AGR!$C$4:$C$500,M$3)</f>
        <v/>
      </c>
      <c r="N5" s="52">
        <f>SUM(B5:M5)</f>
        <v/>
      </c>
    </row>
    <row r="6">
      <c r="A6" s="36" t="inlineStr">
        <is>
          <t>Ventas_brutas_con_IVA</t>
        </is>
      </c>
      <c r="B6" s="52">
        <f>SUMIFS(04B_HITOS_AGR!$G$4:$G$500,04B_HITOS_AGR!$C$4:$C$500,B$3)</f>
        <v/>
      </c>
      <c r="C6" s="52">
        <f>SUMIFS(04B_HITOS_AGR!$G$4:$G$500,04B_HITOS_AGR!$C$4:$C$500,C$3)</f>
        <v/>
      </c>
      <c r="D6" s="52">
        <f>SUMIFS(04B_HITOS_AGR!$G$4:$G$500,04B_HITOS_AGR!$C$4:$C$500,D$3)</f>
        <v/>
      </c>
      <c r="E6" s="52">
        <f>SUMIFS(04B_HITOS_AGR!$G$4:$G$500,04B_HITOS_AGR!$C$4:$C$500,E$3)</f>
        <v/>
      </c>
      <c r="F6" s="52">
        <f>SUMIFS(04B_HITOS_AGR!$G$4:$G$500,04B_HITOS_AGR!$C$4:$C$500,F$3)</f>
        <v/>
      </c>
      <c r="G6" s="52">
        <f>SUMIFS(04B_HITOS_AGR!$G$4:$G$500,04B_HITOS_AGR!$C$4:$C$500,G$3)</f>
        <v/>
      </c>
      <c r="H6" s="52">
        <f>SUMIFS(04B_HITOS_AGR!$G$4:$G$500,04B_HITOS_AGR!$C$4:$C$500,H$3)</f>
        <v/>
      </c>
      <c r="I6" s="52">
        <f>SUMIFS(04B_HITOS_AGR!$G$4:$G$500,04B_HITOS_AGR!$C$4:$C$500,I$3)</f>
        <v/>
      </c>
      <c r="J6" s="52">
        <f>SUMIFS(04B_HITOS_AGR!$G$4:$G$500,04B_HITOS_AGR!$C$4:$C$500,J$3)</f>
        <v/>
      </c>
      <c r="K6" s="52">
        <f>SUMIFS(04B_HITOS_AGR!$G$4:$G$500,04B_HITOS_AGR!$C$4:$C$500,K$3)</f>
        <v/>
      </c>
      <c r="L6" s="52">
        <f>SUMIFS(04B_HITOS_AGR!$G$4:$G$500,04B_HITOS_AGR!$C$4:$C$500,L$3)</f>
        <v/>
      </c>
      <c r="M6" s="52">
        <f>SUMIFS(04B_HITOS_AGR!$G$4:$G$500,04B_HITOS_AGR!$C$4:$C$500,M$3)</f>
        <v/>
      </c>
      <c r="N6" s="52">
        <f>SUM(B6:M6)</f>
        <v/>
      </c>
    </row>
  </sheetData>
  <mergeCells count="1">
    <mergeCell ref="A1:N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</cols>
  <sheetData>
    <row r="1">
      <c r="A1" s="7" t="inlineStr">
        <is>
          <t>COBRANZAS (Caja) — Cobros brutos por mes (Calculado)</t>
        </is>
      </c>
    </row>
    <row r="3">
      <c r="A3" s="8" t="inlineStr">
        <is>
          <t>Concepto</t>
        </is>
      </c>
      <c r="B3" s="31" t="n">
        <v>46053</v>
      </c>
      <c r="C3" s="31" t="n">
        <v>46081</v>
      </c>
      <c r="D3" s="31" t="n">
        <v>46112</v>
      </c>
      <c r="E3" s="31" t="n">
        <v>46142</v>
      </c>
      <c r="F3" s="31" t="n">
        <v>46173</v>
      </c>
      <c r="G3" s="31" t="n">
        <v>46203</v>
      </c>
      <c r="H3" s="31" t="n">
        <v>46234</v>
      </c>
      <c r="I3" s="31" t="n">
        <v>46265</v>
      </c>
      <c r="J3" s="31" t="n">
        <v>46295</v>
      </c>
      <c r="K3" s="31" t="n">
        <v>46326</v>
      </c>
      <c r="L3" s="31" t="n">
        <v>46356</v>
      </c>
      <c r="M3" s="31" t="n">
        <v>46387</v>
      </c>
      <c r="N3" s="8" t="inlineStr">
        <is>
          <t>Total_Año</t>
        </is>
      </c>
    </row>
    <row r="4">
      <c r="A4" s="38" t="inlineStr">
        <is>
          <t>Cobros_brutos_con_IVA</t>
        </is>
      </c>
      <c r="B4" s="52">
        <f>SUMIFS(04B_HITOS_AGR!$K$4:$K$500,04B_HITOS_AGR!$J$4:$J$500,B$3)</f>
        <v/>
      </c>
      <c r="C4" s="52">
        <f>SUMIFS(04B_HITOS_AGR!$K$4:$K$500,04B_HITOS_AGR!$J$4:$J$500,C$3)</f>
        <v/>
      </c>
      <c r="D4" s="52">
        <f>SUMIFS(04B_HITOS_AGR!$K$4:$K$500,04B_HITOS_AGR!$J$4:$J$500,D$3)</f>
        <v/>
      </c>
      <c r="E4" s="52">
        <f>SUMIFS(04B_HITOS_AGR!$K$4:$K$500,04B_HITOS_AGR!$J$4:$J$500,E$3)</f>
        <v/>
      </c>
      <c r="F4" s="52">
        <f>SUMIFS(04B_HITOS_AGR!$K$4:$K$500,04B_HITOS_AGR!$J$4:$J$500,F$3)</f>
        <v/>
      </c>
      <c r="G4" s="52">
        <f>SUMIFS(04B_HITOS_AGR!$K$4:$K$500,04B_HITOS_AGR!$J$4:$J$500,G$3)</f>
        <v/>
      </c>
      <c r="H4" s="52">
        <f>SUMIFS(04B_HITOS_AGR!$K$4:$K$500,04B_HITOS_AGR!$J$4:$J$500,H$3)</f>
        <v/>
      </c>
      <c r="I4" s="52">
        <f>SUMIFS(04B_HITOS_AGR!$K$4:$K$500,04B_HITOS_AGR!$J$4:$J$500,I$3)</f>
        <v/>
      </c>
      <c r="J4" s="52">
        <f>SUMIFS(04B_HITOS_AGR!$K$4:$K$500,04B_HITOS_AGR!$J$4:$J$500,J$3)</f>
        <v/>
      </c>
      <c r="K4" s="52">
        <f>SUMIFS(04B_HITOS_AGR!$K$4:$K$500,04B_HITOS_AGR!$J$4:$J$500,K$3)</f>
        <v/>
      </c>
      <c r="L4" s="52">
        <f>SUMIFS(04B_HITOS_AGR!$K$4:$K$500,04B_HITOS_AGR!$J$4:$J$500,L$3)</f>
        <v/>
      </c>
      <c r="M4" s="52">
        <f>SUMIFS(04B_HITOS_AGR!$K$4:$K$500,04B_HITOS_AGR!$J$4:$J$500,M$3)</f>
        <v/>
      </c>
      <c r="N4" s="52">
        <f>SUM(B4:M4)</f>
        <v/>
      </c>
    </row>
  </sheetData>
  <mergeCells count="1">
    <mergeCell ref="A1:N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</cols>
  <sheetData>
    <row r="1">
      <c r="A1" s="7" t="inlineStr">
        <is>
          <t>IVA LEDGER (F29) — Débito/Crédito/Remanente/Pago (Calculado)</t>
        </is>
      </c>
    </row>
    <row r="3">
      <c r="A3" s="8" t="inlineStr">
        <is>
          <t>Concepto</t>
        </is>
      </c>
      <c r="B3" s="31" t="n">
        <v>46053</v>
      </c>
      <c r="C3" s="31" t="n">
        <v>46081</v>
      </c>
      <c r="D3" s="31" t="n">
        <v>46112</v>
      </c>
      <c r="E3" s="31" t="n">
        <v>46142</v>
      </c>
      <c r="F3" s="31" t="n">
        <v>46173</v>
      </c>
      <c r="G3" s="31" t="n">
        <v>46203</v>
      </c>
      <c r="H3" s="31" t="n">
        <v>46234</v>
      </c>
      <c r="I3" s="31" t="n">
        <v>46265</v>
      </c>
      <c r="J3" s="31" t="n">
        <v>46295</v>
      </c>
      <c r="K3" s="31" t="n">
        <v>46326</v>
      </c>
      <c r="L3" s="31" t="n">
        <v>46356</v>
      </c>
      <c r="M3" s="31" t="n">
        <v>46387</v>
      </c>
      <c r="N3" s="8" t="inlineStr">
        <is>
          <t>Total_Año</t>
        </is>
      </c>
    </row>
    <row r="4">
      <c r="A4" s="38" t="inlineStr">
        <is>
          <t>IVA_debito (ventas)</t>
        </is>
      </c>
      <c r="B4" s="52">
        <f>10_FACTURACION_NETO_AGR!B5</f>
        <v/>
      </c>
      <c r="C4" s="52">
        <f>10_FACTURACION_NETO_AGR!C5</f>
        <v/>
      </c>
      <c r="D4" s="52">
        <f>10_FACTURACION_NETO_AGR!D5</f>
        <v/>
      </c>
      <c r="E4" s="52">
        <f>10_FACTURACION_NETO_AGR!E5</f>
        <v/>
      </c>
      <c r="F4" s="52">
        <f>10_FACTURACION_NETO_AGR!F5</f>
        <v/>
      </c>
      <c r="G4" s="52">
        <f>10_FACTURACION_NETO_AGR!G5</f>
        <v/>
      </c>
      <c r="H4" s="52">
        <f>10_FACTURACION_NETO_AGR!H5</f>
        <v/>
      </c>
      <c r="I4" s="52">
        <f>10_FACTURACION_NETO_AGR!I5</f>
        <v/>
      </c>
      <c r="J4" s="52">
        <f>10_FACTURACION_NETO_AGR!J5</f>
        <v/>
      </c>
      <c r="K4" s="52">
        <f>10_FACTURACION_NETO_AGR!K5</f>
        <v/>
      </c>
      <c r="L4" s="52">
        <f>10_FACTURACION_NETO_AGR!L5</f>
        <v/>
      </c>
      <c r="M4" s="52">
        <f>10_FACTURACION_NETO_AGR!M5</f>
        <v/>
      </c>
      <c r="N4" s="52">
        <f>SUM(B4:M4)</f>
        <v/>
      </c>
    </row>
    <row r="5">
      <c r="A5" s="36" t="inlineStr">
        <is>
          <t>IVA_credito (compras)</t>
        </is>
      </c>
      <c r="B5" s="52">
        <f>-TASA_IVA*(SUMIFS(06B_OPEX_MENSUAL_AGR!B$4:B$200,06B_OPEX_MENSUAL_AGR!$D$4:$D$200,"SI")+06E_COSTOS_DIRECTOS_MENSUAL!B7*(INDEX(02B_ESCENARIOS!$B$4:$D$11, MATCH("MULT_COSTO_DIRECTO", 02B_ESCENARIOS!$A$4:$A$11, 0), MATCH("Agresivo", 02B_ESCENARIOS!$B$3:$D$3, 0))))</f>
        <v/>
      </c>
      <c r="C5" s="52">
        <f>-TASA_IVA*(SUMIFS(06B_OPEX_MENSUAL_AGR!C$4:C$200,06B_OPEX_MENSUAL_AGR!$D$4:$D$200,"SI")+06E_COSTOS_DIRECTOS_MENSUAL!C7*(INDEX(02B_ESCENARIOS!$B$4:$D$11, MATCH("MULT_COSTO_DIRECTO", 02B_ESCENARIOS!$A$4:$A$11, 0), MATCH("Agresivo", 02B_ESCENARIOS!$B$3:$D$3, 0))))</f>
        <v/>
      </c>
      <c r="D5" s="52">
        <f>-TASA_IVA*(SUMIFS(06B_OPEX_MENSUAL_AGR!D$4:D$200,06B_OPEX_MENSUAL_AGR!$D$4:$D$200,"SI")+06E_COSTOS_DIRECTOS_MENSUAL!D7*(INDEX(02B_ESCENARIOS!$B$4:$D$11, MATCH("MULT_COSTO_DIRECTO", 02B_ESCENARIOS!$A$4:$A$11, 0), MATCH("Agresivo", 02B_ESCENARIOS!$B$3:$D$3, 0))))</f>
        <v/>
      </c>
      <c r="E5" s="52">
        <f>-TASA_IVA*(SUMIFS(06B_OPEX_MENSUAL_AGR!E$4:E$200,06B_OPEX_MENSUAL_AGR!$D$4:$D$200,"SI")+06E_COSTOS_DIRECTOS_MENSUAL!E7*(INDEX(02B_ESCENARIOS!$B$4:$D$11, MATCH("MULT_COSTO_DIRECTO", 02B_ESCENARIOS!$A$4:$A$11, 0), MATCH("Agresivo", 02B_ESCENARIOS!$B$3:$D$3, 0))))</f>
        <v/>
      </c>
      <c r="F5" s="52">
        <f>-TASA_IVA*(SUMIFS(06B_OPEX_MENSUAL_AGR!F$4:F$200,06B_OPEX_MENSUAL_AGR!$D$4:$D$200,"SI")+06E_COSTOS_DIRECTOS_MENSUAL!F7*(INDEX(02B_ESCENARIOS!$B$4:$D$11, MATCH("MULT_COSTO_DIRECTO", 02B_ESCENARIOS!$A$4:$A$11, 0), MATCH("Agresivo", 02B_ESCENARIOS!$B$3:$D$3, 0))))</f>
        <v/>
      </c>
      <c r="G5" s="52">
        <f>-TASA_IVA*(SUMIFS(06B_OPEX_MENSUAL_AGR!G$4:G$200,06B_OPEX_MENSUAL_AGR!$D$4:$D$200,"SI")+06E_COSTOS_DIRECTOS_MENSUAL!G7*(INDEX(02B_ESCENARIOS!$B$4:$D$11, MATCH("MULT_COSTO_DIRECTO", 02B_ESCENARIOS!$A$4:$A$11, 0), MATCH("Agresivo", 02B_ESCENARIOS!$B$3:$D$3, 0))))</f>
        <v/>
      </c>
      <c r="H5" s="52">
        <f>-TASA_IVA*(SUMIFS(06B_OPEX_MENSUAL_AGR!H$4:H$200,06B_OPEX_MENSUAL_AGR!$D$4:$D$200,"SI")+06E_COSTOS_DIRECTOS_MENSUAL!H7*(INDEX(02B_ESCENARIOS!$B$4:$D$11, MATCH("MULT_COSTO_DIRECTO", 02B_ESCENARIOS!$A$4:$A$11, 0), MATCH("Agresivo", 02B_ESCENARIOS!$B$3:$D$3, 0))))</f>
        <v/>
      </c>
      <c r="I5" s="52">
        <f>-TASA_IVA*(SUMIFS(06B_OPEX_MENSUAL_AGR!I$4:I$200,06B_OPEX_MENSUAL_AGR!$D$4:$D$200,"SI")+06E_COSTOS_DIRECTOS_MENSUAL!I7*(INDEX(02B_ESCENARIOS!$B$4:$D$11, MATCH("MULT_COSTO_DIRECTO", 02B_ESCENARIOS!$A$4:$A$11, 0), MATCH("Agresivo", 02B_ESCENARIOS!$B$3:$D$3, 0))))</f>
        <v/>
      </c>
      <c r="J5" s="52">
        <f>-TASA_IVA*(SUMIFS(06B_OPEX_MENSUAL_AGR!J$4:J$200,06B_OPEX_MENSUAL_AGR!$D$4:$D$200,"SI")+06E_COSTOS_DIRECTOS_MENSUAL!J7*(INDEX(02B_ESCENARIOS!$B$4:$D$11, MATCH("MULT_COSTO_DIRECTO", 02B_ESCENARIOS!$A$4:$A$11, 0), MATCH("Agresivo", 02B_ESCENARIOS!$B$3:$D$3, 0))))</f>
        <v/>
      </c>
      <c r="K5" s="52">
        <f>-TASA_IVA*(SUMIFS(06B_OPEX_MENSUAL_AGR!K$4:K$200,06B_OPEX_MENSUAL_AGR!$D$4:$D$200,"SI")+06E_COSTOS_DIRECTOS_MENSUAL!K7*(INDEX(02B_ESCENARIOS!$B$4:$D$11, MATCH("MULT_COSTO_DIRECTO", 02B_ESCENARIOS!$A$4:$A$11, 0), MATCH("Agresivo", 02B_ESCENARIOS!$B$3:$D$3, 0))))</f>
        <v/>
      </c>
      <c r="L5" s="52">
        <f>-TASA_IVA*(SUMIFS(06B_OPEX_MENSUAL_AGR!L$4:L$200,06B_OPEX_MENSUAL_AGR!$D$4:$D$200,"SI")+06E_COSTOS_DIRECTOS_MENSUAL!L7*(INDEX(02B_ESCENARIOS!$B$4:$D$11, MATCH("MULT_COSTO_DIRECTO", 02B_ESCENARIOS!$A$4:$A$11, 0), MATCH("Agresivo", 02B_ESCENARIOS!$B$3:$D$3, 0))))</f>
        <v/>
      </c>
      <c r="M5" s="52">
        <f>-TASA_IVA*(SUMIFS(06B_OPEX_MENSUAL_AGR!M$4:M$200,06B_OPEX_MENSUAL_AGR!$D$4:$D$200,"SI")+06E_COSTOS_DIRECTOS_MENSUAL!M7*(INDEX(02B_ESCENARIOS!$B$4:$D$11, MATCH("MULT_COSTO_DIRECTO", 02B_ESCENARIOS!$A$4:$A$11, 0), MATCH("Agresivo", 02B_ESCENARIOS!$B$3:$D$3, 0))))</f>
        <v/>
      </c>
      <c r="N5" s="52">
        <f>SUM(B5:M5)</f>
        <v/>
      </c>
    </row>
    <row r="6">
      <c r="A6" s="36" t="inlineStr">
        <is>
          <t>Remanente_anterior</t>
        </is>
      </c>
      <c r="B6" s="52">
        <f>IVA_REMANENTE_INICIAL</f>
        <v/>
      </c>
      <c r="C6" s="52">
        <f>B9</f>
        <v/>
      </c>
      <c r="D6" s="52">
        <f>C9</f>
        <v/>
      </c>
      <c r="E6" s="52">
        <f>D9</f>
        <v/>
      </c>
      <c r="F6" s="52">
        <f>E9</f>
        <v/>
      </c>
      <c r="G6" s="52">
        <f>F9</f>
        <v/>
      </c>
      <c r="H6" s="52">
        <f>G9</f>
        <v/>
      </c>
      <c r="I6" s="52">
        <f>H9</f>
        <v/>
      </c>
      <c r="J6" s="52">
        <f>I9</f>
        <v/>
      </c>
      <c r="K6" s="52">
        <f>J9</f>
        <v/>
      </c>
      <c r="L6" s="52">
        <f>K9</f>
        <v/>
      </c>
      <c r="M6" s="52">
        <f>L9</f>
        <v/>
      </c>
      <c r="N6" s="52">
        <f>SUM(B6:M6)</f>
        <v/>
      </c>
    </row>
    <row r="7">
      <c r="A7" s="36" t="inlineStr">
        <is>
          <t>IVA_neto_mes</t>
        </is>
      </c>
      <c r="B7" s="52">
        <f>B4+B6-B5</f>
        <v/>
      </c>
      <c r="C7" s="52">
        <f>C4+C6-C5</f>
        <v/>
      </c>
      <c r="D7" s="52">
        <f>D4+D6-D5</f>
        <v/>
      </c>
      <c r="E7" s="52">
        <f>E4+E6-E5</f>
        <v/>
      </c>
      <c r="F7" s="52">
        <f>F4+F6-F5</f>
        <v/>
      </c>
      <c r="G7" s="52">
        <f>G4+G6-G5</f>
        <v/>
      </c>
      <c r="H7" s="52">
        <f>H4+H6-H5</f>
        <v/>
      </c>
      <c r="I7" s="52">
        <f>I4+I6-I5</f>
        <v/>
      </c>
      <c r="J7" s="52">
        <f>J4+J6-J5</f>
        <v/>
      </c>
      <c r="K7" s="52">
        <f>K4+K6-K5</f>
        <v/>
      </c>
      <c r="L7" s="52">
        <f>L4+L6-L5</f>
        <v/>
      </c>
      <c r="M7" s="52">
        <f>M4+M6-M5</f>
        <v/>
      </c>
      <c r="N7" s="52">
        <f>SUM(B7:M7)</f>
        <v/>
      </c>
    </row>
    <row r="8">
      <c r="A8" s="36" t="inlineStr">
        <is>
          <t>IVA_a_pagar (F29)</t>
        </is>
      </c>
      <c r="B8" s="52">
        <f>MAX(0,B7)</f>
        <v/>
      </c>
      <c r="C8" s="52">
        <f>MAX(0,C7)</f>
        <v/>
      </c>
      <c r="D8" s="52">
        <f>MAX(0,D7)</f>
        <v/>
      </c>
      <c r="E8" s="52">
        <f>MAX(0,E7)</f>
        <v/>
      </c>
      <c r="F8" s="52">
        <f>MAX(0,F7)</f>
        <v/>
      </c>
      <c r="G8" s="52">
        <f>MAX(0,G7)</f>
        <v/>
      </c>
      <c r="H8" s="52">
        <f>MAX(0,H7)</f>
        <v/>
      </c>
      <c r="I8" s="52">
        <f>MAX(0,I7)</f>
        <v/>
      </c>
      <c r="J8" s="52">
        <f>MAX(0,J7)</f>
        <v/>
      </c>
      <c r="K8" s="52">
        <f>MAX(0,K7)</f>
        <v/>
      </c>
      <c r="L8" s="52">
        <f>MAX(0,L7)</f>
        <v/>
      </c>
      <c r="M8" s="52">
        <f>MAX(0,M7)</f>
        <v/>
      </c>
      <c r="N8" s="52">
        <f>SUM(B8:M8)</f>
        <v/>
      </c>
    </row>
    <row r="9">
      <c r="A9" s="36" t="inlineStr">
        <is>
          <t>Remanente_siguiente</t>
        </is>
      </c>
      <c r="B9" s="52">
        <f>B7-B8</f>
        <v/>
      </c>
      <c r="C9" s="52">
        <f>C7-C8</f>
        <v/>
      </c>
      <c r="D9" s="52">
        <f>D7-D8</f>
        <v/>
      </c>
      <c r="E9" s="52">
        <f>E7-E8</f>
        <v/>
      </c>
      <c r="F9" s="52">
        <f>F7-F8</f>
        <v/>
      </c>
      <c r="G9" s="52">
        <f>G7-G8</f>
        <v/>
      </c>
      <c r="H9" s="52">
        <f>H7-H8</f>
        <v/>
      </c>
      <c r="I9" s="52">
        <f>I7-I8</f>
        <v/>
      </c>
      <c r="J9" s="52">
        <f>J7-J8</f>
        <v/>
      </c>
      <c r="K9" s="52">
        <f>K7-K8</f>
        <v/>
      </c>
      <c r="L9" s="52">
        <f>L7-L8</f>
        <v/>
      </c>
      <c r="M9" s="52">
        <f>M7-M8</f>
        <v/>
      </c>
      <c r="N9" s="52">
        <f>SUM(B9:M9)</f>
        <v/>
      </c>
    </row>
  </sheetData>
  <mergeCells count="1">
    <mergeCell ref="A1:N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</cols>
  <sheetData>
    <row r="1">
      <c r="A1" s="7" t="inlineStr">
        <is>
          <t>FLUJO DE CAJA 2026 (Calculado)</t>
        </is>
      </c>
    </row>
    <row r="3">
      <c r="A3" s="8" t="inlineStr">
        <is>
          <t>Concepto</t>
        </is>
      </c>
      <c r="B3" s="31" t="n">
        <v>46053</v>
      </c>
      <c r="C3" s="31" t="n">
        <v>46081</v>
      </c>
      <c r="D3" s="31" t="n">
        <v>46112</v>
      </c>
      <c r="E3" s="31" t="n">
        <v>46142</v>
      </c>
      <c r="F3" s="31" t="n">
        <v>46173</v>
      </c>
      <c r="G3" s="31" t="n">
        <v>46203</v>
      </c>
      <c r="H3" s="31" t="n">
        <v>46234</v>
      </c>
      <c r="I3" s="31" t="n">
        <v>46265</v>
      </c>
      <c r="J3" s="31" t="n">
        <v>46295</v>
      </c>
      <c r="K3" s="31" t="n">
        <v>46326</v>
      </c>
      <c r="L3" s="31" t="n">
        <v>46356</v>
      </c>
      <c r="M3" s="31" t="n">
        <v>46387</v>
      </c>
      <c r="N3" s="8" t="inlineStr">
        <is>
          <t>Total_Año</t>
        </is>
      </c>
    </row>
    <row r="4">
      <c r="A4" s="38" t="inlineStr">
        <is>
          <t>Saldo_inicial</t>
        </is>
      </c>
      <c r="B4" s="52">
        <f>SALDO_INICIAL_CAJA</f>
        <v/>
      </c>
      <c r="C4" s="52">
        <f>B13</f>
        <v/>
      </c>
      <c r="D4" s="52">
        <f>C13</f>
        <v/>
      </c>
      <c r="E4" s="52">
        <f>D13</f>
        <v/>
      </c>
      <c r="F4" s="52">
        <f>E13</f>
        <v/>
      </c>
      <c r="G4" s="52">
        <f>F13</f>
        <v/>
      </c>
      <c r="H4" s="52">
        <f>G13</f>
        <v/>
      </c>
      <c r="I4" s="52">
        <f>H13</f>
        <v/>
      </c>
      <c r="J4" s="52">
        <f>I13</f>
        <v/>
      </c>
      <c r="K4" s="52">
        <f>J13</f>
        <v/>
      </c>
      <c r="L4" s="52">
        <f>K13</f>
        <v/>
      </c>
      <c r="M4" s="52">
        <f>L13</f>
        <v/>
      </c>
      <c r="N4" s="52">
        <f>SUM(B4:M4)</f>
        <v/>
      </c>
    </row>
    <row r="5">
      <c r="A5" s="36" t="inlineStr">
        <is>
          <t>Cobros_del_mes (caja) [bruto con IVA]</t>
        </is>
      </c>
      <c r="B5" s="52">
        <f>12_COBRANZAS_AGR!B4</f>
        <v/>
      </c>
      <c r="C5" s="52">
        <f>12_COBRANZAS_AGR!C4</f>
        <v/>
      </c>
      <c r="D5" s="52">
        <f>12_COBRANZAS_AGR!D4</f>
        <v/>
      </c>
      <c r="E5" s="52">
        <f>12_COBRANZAS_AGR!E4</f>
        <v/>
      </c>
      <c r="F5" s="52">
        <f>12_COBRANZAS_AGR!F4</f>
        <v/>
      </c>
      <c r="G5" s="52">
        <f>12_COBRANZAS_AGR!G4</f>
        <v/>
      </c>
      <c r="H5" s="52">
        <f>12_COBRANZAS_AGR!H4</f>
        <v/>
      </c>
      <c r="I5" s="52">
        <f>12_COBRANZAS_AGR!I4</f>
        <v/>
      </c>
      <c r="J5" s="52">
        <f>12_COBRANZAS_AGR!J4</f>
        <v/>
      </c>
      <c r="K5" s="52">
        <f>12_COBRANZAS_AGR!K4</f>
        <v/>
      </c>
      <c r="L5" s="52">
        <f>12_COBRANZAS_AGR!L4</f>
        <v/>
      </c>
      <c r="M5" s="52">
        <f>12_COBRANZAS_AGR!M4</f>
        <v/>
      </c>
      <c r="N5" s="52">
        <f>SUM(B5:M5)</f>
        <v/>
      </c>
    </row>
    <row r="6">
      <c r="A6" s="36" t="inlineStr">
        <is>
          <t>Disponible operacional (Saldo inicial + cobros)</t>
        </is>
      </c>
      <c r="B6" s="52">
        <f>B4+B5</f>
        <v/>
      </c>
      <c r="C6" s="52">
        <f>C4+C5</f>
        <v/>
      </c>
      <c r="D6" s="52">
        <f>D4+D5</f>
        <v/>
      </c>
      <c r="E6" s="52">
        <f>E4+E5</f>
        <v/>
      </c>
      <c r="F6" s="52">
        <f>F4+F5</f>
        <v/>
      </c>
      <c r="G6" s="52">
        <f>G4+G5</f>
        <v/>
      </c>
      <c r="H6" s="52">
        <f>H4+H5</f>
        <v/>
      </c>
      <c r="I6" s="52">
        <f>I4+I5</f>
        <v/>
      </c>
      <c r="J6" s="52">
        <f>J4+J5</f>
        <v/>
      </c>
      <c r="K6" s="52">
        <f>K4+K5</f>
        <v/>
      </c>
      <c r="L6" s="52">
        <f>L4+L5</f>
        <v/>
      </c>
      <c r="M6" s="52">
        <f>M4+M5</f>
        <v/>
      </c>
      <c r="N6" s="52">
        <f>SUM(B6:M6)</f>
        <v/>
      </c>
    </row>
    <row r="7">
      <c r="A7" s="36" t="inlineStr">
        <is>
          <t>Pagos_costos_directos (gross)</t>
        </is>
      </c>
      <c r="B7" s="52">
        <f>(06E_COSTOS_DIRECTOS_MENSUAL!C7*(1+TASA_IVA))*(INDEX(02B_ESCENARIOS!$B$4:$D$11, MATCH("MULT_COSTO_DIRECTO", 02B_ESCENARIOS!$A$4:$A$11, 0), MATCH("Agresivo", 02B_ESCENARIOS!$B$3:$D$3, 0)))</f>
        <v/>
      </c>
      <c r="C7" s="52">
        <f>(06E_COSTOS_DIRECTOS_MENSUAL!D7*(1+TASA_IVA))*(INDEX(02B_ESCENARIOS!$B$4:$D$11, MATCH("MULT_COSTO_DIRECTO", 02B_ESCENARIOS!$A$4:$A$11, 0), MATCH("Agresivo", 02B_ESCENARIOS!$B$3:$D$3, 0)))</f>
        <v/>
      </c>
      <c r="D7" s="52">
        <f>(06E_COSTOS_DIRECTOS_MENSUAL!E7*(1+TASA_IVA))*(INDEX(02B_ESCENARIOS!$B$4:$D$11, MATCH("MULT_COSTO_DIRECTO", 02B_ESCENARIOS!$A$4:$A$11, 0), MATCH("Agresivo", 02B_ESCENARIOS!$B$3:$D$3, 0)))</f>
        <v/>
      </c>
      <c r="E7" s="52">
        <f>(06E_COSTOS_DIRECTOS_MENSUAL!F7*(1+TASA_IVA))*(INDEX(02B_ESCENARIOS!$B$4:$D$11, MATCH("MULT_COSTO_DIRECTO", 02B_ESCENARIOS!$A$4:$A$11, 0), MATCH("Agresivo", 02B_ESCENARIOS!$B$3:$D$3, 0)))</f>
        <v/>
      </c>
      <c r="F7" s="52">
        <f>(06E_COSTOS_DIRECTOS_MENSUAL!G7*(1+TASA_IVA))*(INDEX(02B_ESCENARIOS!$B$4:$D$11, MATCH("MULT_COSTO_DIRECTO", 02B_ESCENARIOS!$A$4:$A$11, 0), MATCH("Agresivo", 02B_ESCENARIOS!$B$3:$D$3, 0)))</f>
        <v/>
      </c>
      <c r="G7" s="52">
        <f>(06E_COSTOS_DIRECTOS_MENSUAL!H7*(1+TASA_IVA))*(INDEX(02B_ESCENARIOS!$B$4:$D$11, MATCH("MULT_COSTO_DIRECTO", 02B_ESCENARIOS!$A$4:$A$11, 0), MATCH("Agresivo", 02B_ESCENARIOS!$B$3:$D$3, 0)))</f>
        <v/>
      </c>
      <c r="H7" s="52">
        <f>(06E_COSTOS_DIRECTOS_MENSUAL!I7*(1+TASA_IVA))*(INDEX(02B_ESCENARIOS!$B$4:$D$11, MATCH("MULT_COSTO_DIRECTO", 02B_ESCENARIOS!$A$4:$A$11, 0), MATCH("Agresivo", 02B_ESCENARIOS!$B$3:$D$3, 0)))</f>
        <v/>
      </c>
      <c r="I7" s="52">
        <f>(06E_COSTOS_DIRECTOS_MENSUAL!J7*(1+TASA_IVA))*(INDEX(02B_ESCENARIOS!$B$4:$D$11, MATCH("MULT_COSTO_DIRECTO", 02B_ESCENARIOS!$A$4:$A$11, 0), MATCH("Agresivo", 02B_ESCENARIOS!$B$3:$D$3, 0)))</f>
        <v/>
      </c>
      <c r="J7" s="52">
        <f>(06E_COSTOS_DIRECTOS_MENSUAL!K7*(1+TASA_IVA))*(INDEX(02B_ESCENARIOS!$B$4:$D$11, MATCH("MULT_COSTO_DIRECTO", 02B_ESCENARIOS!$A$4:$A$11, 0), MATCH("Agresivo", 02B_ESCENARIOS!$B$3:$D$3, 0)))</f>
        <v/>
      </c>
      <c r="K7" s="52">
        <f>(06E_COSTOS_DIRECTOS_MENSUAL!L7*(1+TASA_IVA))*(INDEX(02B_ESCENARIOS!$B$4:$D$11, MATCH("MULT_COSTO_DIRECTO", 02B_ESCENARIOS!$A$4:$A$11, 0), MATCH("Agresivo", 02B_ESCENARIOS!$B$3:$D$3, 0)))</f>
        <v/>
      </c>
      <c r="L7" s="52">
        <f>(06E_COSTOS_DIRECTOS_MENSUAL!M7*(1+TASA_IVA))*(INDEX(02B_ESCENARIOS!$B$4:$D$11, MATCH("MULT_COSTO_DIRECTO", 02B_ESCENARIOS!$A$4:$A$11, 0), MATCH("Agresivo", 02B_ESCENARIOS!$B$3:$D$3, 0)))</f>
        <v/>
      </c>
      <c r="M7" s="52">
        <f>(06E_COSTOS_DIRECTOS_MENSUAL!N7*(1+TASA_IVA))*(INDEX(02B_ESCENARIOS!$B$4:$D$11, MATCH("MULT_COSTO_DIRECTO", 02B_ESCENARIOS!$A$4:$A$11, 0), MATCH("Agresivo", 02B_ESCENARIOS!$B$3:$D$3, 0)))</f>
        <v/>
      </c>
      <c r="N7" s="52">
        <f>SUM(B7:M7)</f>
        <v/>
      </c>
    </row>
    <row r="8">
      <c r="A8" s="36" t="inlineStr">
        <is>
          <t>Pagos_personas (sin IVA)</t>
        </is>
      </c>
      <c r="B8" s="52">
        <f>(05B_PERSONAS_MENSUAL!D12)*(INDEX(02B_ESCENARIOS!$B$4:$D$11, MATCH("MULT_PERSONAS", 02B_ESCENARIOS!$A$4:$A$11, 0), MATCH("Agresivo", 02B_ESCENARIOS!$B$3:$D$3, 0)))</f>
        <v/>
      </c>
      <c r="C8" s="52">
        <f>(05B_PERSONAS_MENSUAL!E12)*(INDEX(02B_ESCENARIOS!$B$4:$D$11, MATCH("MULT_PERSONAS", 02B_ESCENARIOS!$A$4:$A$11, 0), MATCH("Agresivo", 02B_ESCENARIOS!$B$3:$D$3, 0)))</f>
        <v/>
      </c>
      <c r="D8" s="52">
        <f>(05B_PERSONAS_MENSUAL!F12)*(INDEX(02B_ESCENARIOS!$B$4:$D$11, MATCH("MULT_PERSONAS", 02B_ESCENARIOS!$A$4:$A$11, 0), MATCH("Agresivo", 02B_ESCENARIOS!$B$3:$D$3, 0)))</f>
        <v/>
      </c>
      <c r="E8" s="52">
        <f>(05B_PERSONAS_MENSUAL!G12)*(INDEX(02B_ESCENARIOS!$B$4:$D$11, MATCH("MULT_PERSONAS", 02B_ESCENARIOS!$A$4:$A$11, 0), MATCH("Agresivo", 02B_ESCENARIOS!$B$3:$D$3, 0)))</f>
        <v/>
      </c>
      <c r="F8" s="52">
        <f>(05B_PERSONAS_MENSUAL!H12)*(INDEX(02B_ESCENARIOS!$B$4:$D$11, MATCH("MULT_PERSONAS", 02B_ESCENARIOS!$A$4:$A$11, 0), MATCH("Agresivo", 02B_ESCENARIOS!$B$3:$D$3, 0)))</f>
        <v/>
      </c>
      <c r="G8" s="52">
        <f>(05B_PERSONAS_MENSUAL!I12)*(INDEX(02B_ESCENARIOS!$B$4:$D$11, MATCH("MULT_PERSONAS", 02B_ESCENARIOS!$A$4:$A$11, 0), MATCH("Agresivo", 02B_ESCENARIOS!$B$3:$D$3, 0)))</f>
        <v/>
      </c>
      <c r="H8" s="52">
        <f>(05B_PERSONAS_MENSUAL!J12)*(INDEX(02B_ESCENARIOS!$B$4:$D$11, MATCH("MULT_PERSONAS", 02B_ESCENARIOS!$A$4:$A$11, 0), MATCH("Agresivo", 02B_ESCENARIOS!$B$3:$D$3, 0)))</f>
        <v/>
      </c>
      <c r="I8" s="52">
        <f>(05B_PERSONAS_MENSUAL!K12)*(INDEX(02B_ESCENARIOS!$B$4:$D$11, MATCH("MULT_PERSONAS", 02B_ESCENARIOS!$A$4:$A$11, 0), MATCH("Agresivo", 02B_ESCENARIOS!$B$3:$D$3, 0)))</f>
        <v/>
      </c>
      <c r="J8" s="52">
        <f>(05B_PERSONAS_MENSUAL!L12)*(INDEX(02B_ESCENARIOS!$B$4:$D$11, MATCH("MULT_PERSONAS", 02B_ESCENARIOS!$A$4:$A$11, 0), MATCH("Agresivo", 02B_ESCENARIOS!$B$3:$D$3, 0)))</f>
        <v/>
      </c>
      <c r="K8" s="52">
        <f>(05B_PERSONAS_MENSUAL!M12)*(INDEX(02B_ESCENARIOS!$B$4:$D$11, MATCH("MULT_PERSONAS", 02B_ESCENARIOS!$A$4:$A$11, 0), MATCH("Agresivo", 02B_ESCENARIOS!$B$3:$D$3, 0)))</f>
        <v/>
      </c>
      <c r="L8" s="52">
        <f>(05B_PERSONAS_MENSUAL!N12)*(INDEX(02B_ESCENARIOS!$B$4:$D$11, MATCH("MULT_PERSONAS", 02B_ESCENARIOS!$A$4:$A$11, 0), MATCH("Agresivo", 02B_ESCENARIOS!$B$3:$D$3, 0)))</f>
        <v/>
      </c>
      <c r="M8" s="52">
        <f>(05B_PERSONAS_MENSUAL!O12)*(INDEX(02B_ESCENARIOS!$B$4:$D$11, MATCH("MULT_PERSONAS", 02B_ESCENARIOS!$A$4:$A$11, 0), MATCH("Agresivo", 02B_ESCENARIOS!$B$3:$D$3, 0)))</f>
        <v/>
      </c>
      <c r="N8" s="52">
        <f>SUM(B8:M8)</f>
        <v/>
      </c>
    </row>
    <row r="9">
      <c r="A9" s="36" t="inlineStr">
        <is>
          <t>Pagos_OPEX (gross)</t>
        </is>
      </c>
      <c r="B9" s="52">
        <f>06B_OPEX_MENSUAL_AGR!E16+(SUMIFS(06B_OPEX_MENSUAL_AGR!E$4:E$200,06B_OPEX_MENSUAL_AGR!$D$4:$D$200,"SI"))*TASA_IVA</f>
        <v/>
      </c>
      <c r="C9" s="52">
        <f>06B_OPEX_MENSUAL_AGR!F16+(SUMIFS(06B_OPEX_MENSUAL_AGR!F$4:F$200,06B_OPEX_MENSUAL_AGR!$D$4:$D$200,"SI"))*TASA_IVA</f>
        <v/>
      </c>
      <c r="D9" s="52">
        <f>06B_OPEX_MENSUAL_AGR!G16+(SUMIFS(06B_OPEX_MENSUAL_AGR!G$4:G$200,06B_OPEX_MENSUAL_AGR!$D$4:$D$200,"SI"))*TASA_IVA</f>
        <v/>
      </c>
      <c r="E9" s="52">
        <f>06B_OPEX_MENSUAL_AGR!H16+(SUMIFS(06B_OPEX_MENSUAL_AGR!H$4:H$200,06B_OPEX_MENSUAL_AGR!$D$4:$D$200,"SI"))*TASA_IVA</f>
        <v/>
      </c>
      <c r="F9" s="52">
        <f>06B_OPEX_MENSUAL_AGR!I16+(SUMIFS(06B_OPEX_MENSUAL_AGR!I$4:I$200,06B_OPEX_MENSUAL_AGR!$D$4:$D$200,"SI"))*TASA_IVA</f>
        <v/>
      </c>
      <c r="G9" s="52">
        <f>06B_OPEX_MENSUAL_AGR!J16+(SUMIFS(06B_OPEX_MENSUAL_AGR!J$4:J$200,06B_OPEX_MENSUAL_AGR!$D$4:$D$200,"SI"))*TASA_IVA</f>
        <v/>
      </c>
      <c r="H9" s="52">
        <f>06B_OPEX_MENSUAL_AGR!K16+(SUMIFS(06B_OPEX_MENSUAL_AGR!K$4:K$200,06B_OPEX_MENSUAL_AGR!$D$4:$D$200,"SI"))*TASA_IVA</f>
        <v/>
      </c>
      <c r="I9" s="52">
        <f>06B_OPEX_MENSUAL_AGR!L16+(SUMIFS(06B_OPEX_MENSUAL_AGR!L$4:L$200,06B_OPEX_MENSUAL_AGR!$D$4:$D$200,"SI"))*TASA_IVA</f>
        <v/>
      </c>
      <c r="J9" s="52">
        <f>06B_OPEX_MENSUAL_AGR!M16+(SUMIFS(06B_OPEX_MENSUAL_AGR!M$4:M$200,06B_OPEX_MENSUAL_AGR!$D$4:$D$200,"SI"))*TASA_IVA</f>
        <v/>
      </c>
      <c r="K9" s="52">
        <f>06B_OPEX_MENSUAL_AGR!N16+(SUMIFS(06B_OPEX_MENSUAL_AGR!N$4:N$200,06B_OPEX_MENSUAL_AGR!$D$4:$D$200,"SI"))*TASA_IVA</f>
        <v/>
      </c>
      <c r="L9" s="52">
        <f>06B_OPEX_MENSUAL_AGR!O16+(SUMIFS(06B_OPEX_MENSUAL_AGR!O$4:O$200,06B_OPEX_MENSUAL_AGR!$D$4:$D$200,"SI"))*TASA_IVA</f>
        <v/>
      </c>
      <c r="M9" s="52">
        <f>06B_OPEX_MENSUAL_AGR!P16+(SUMIFS(06B_OPEX_MENSUAL_AGR!P$4:P$200,06B_OPEX_MENSUAL_AGR!$D$4:$D$200,"SI"))*TASA_IVA</f>
        <v/>
      </c>
      <c r="N9" s="52">
        <f>SUM(B9:M9)</f>
        <v/>
      </c>
    </row>
    <row r="10">
      <c r="A10" s="36" t="inlineStr">
        <is>
          <t>Pago_IVA_F29</t>
        </is>
      </c>
      <c r="B10" s="52">
        <f>-11_IVA_LEDGER_AGR!B8</f>
        <v/>
      </c>
      <c r="C10" s="52">
        <f>-11_IVA_LEDGER_AGR!C8</f>
        <v/>
      </c>
      <c r="D10" s="52">
        <f>-11_IVA_LEDGER_AGR!D8</f>
        <v/>
      </c>
      <c r="E10" s="52">
        <f>-11_IVA_LEDGER_AGR!E8</f>
        <v/>
      </c>
      <c r="F10" s="52">
        <f>-11_IVA_LEDGER_AGR!F8</f>
        <v/>
      </c>
      <c r="G10" s="52">
        <f>-11_IVA_LEDGER_AGR!G8</f>
        <v/>
      </c>
      <c r="H10" s="52">
        <f>-11_IVA_LEDGER_AGR!H8</f>
        <v/>
      </c>
      <c r="I10" s="52">
        <f>-11_IVA_LEDGER_AGR!I8</f>
        <v/>
      </c>
      <c r="J10" s="52">
        <f>-11_IVA_LEDGER_AGR!J8</f>
        <v/>
      </c>
      <c r="K10" s="52">
        <f>-11_IVA_LEDGER_AGR!K8</f>
        <v/>
      </c>
      <c r="L10" s="52">
        <f>-11_IVA_LEDGER_AGR!L8</f>
        <v/>
      </c>
      <c r="M10" s="52">
        <f>-11_IVA_LEDGER_AGR!M8</f>
        <v/>
      </c>
      <c r="N10" s="52">
        <f>SUM(B10:M10)</f>
        <v/>
      </c>
    </row>
    <row r="11">
      <c r="A11" s="36" t="inlineStr">
        <is>
          <t>Otros_no_operacionales (neto caja)</t>
        </is>
      </c>
      <c r="B11" s="52">
        <f>07B_NO_OPERACIONALES_MENSUAL!D18</f>
        <v/>
      </c>
      <c r="C11" s="52">
        <f>07B_NO_OPERACIONALES_MENSUAL!E18</f>
        <v/>
      </c>
      <c r="D11" s="52">
        <f>07B_NO_OPERACIONALES_MENSUAL!F18</f>
        <v/>
      </c>
      <c r="E11" s="52">
        <f>07B_NO_OPERACIONALES_MENSUAL!G18</f>
        <v/>
      </c>
      <c r="F11" s="52">
        <f>07B_NO_OPERACIONALES_MENSUAL!H18</f>
        <v/>
      </c>
      <c r="G11" s="52">
        <f>07B_NO_OPERACIONALES_MENSUAL!I18</f>
        <v/>
      </c>
      <c r="H11" s="52">
        <f>07B_NO_OPERACIONALES_MENSUAL!J18</f>
        <v/>
      </c>
      <c r="I11" s="52">
        <f>07B_NO_OPERACIONALES_MENSUAL!K18</f>
        <v/>
      </c>
      <c r="J11" s="52">
        <f>07B_NO_OPERACIONALES_MENSUAL!L18</f>
        <v/>
      </c>
      <c r="K11" s="52">
        <f>07B_NO_OPERACIONALES_MENSUAL!M18</f>
        <v/>
      </c>
      <c r="L11" s="52">
        <f>07B_NO_OPERACIONALES_MENSUAL!N18</f>
        <v/>
      </c>
      <c r="M11" s="52">
        <f>07B_NO_OPERACIONALES_MENSUAL!O18</f>
        <v/>
      </c>
      <c r="N11" s="52">
        <f>SUM(B11:M11)</f>
        <v/>
      </c>
    </row>
    <row r="12">
      <c r="A12" s="36" t="inlineStr">
        <is>
          <t>Variación_caja</t>
        </is>
      </c>
      <c r="B12" s="52">
        <f>B5+B7+B8+B9+B10+B11</f>
        <v/>
      </c>
      <c r="C12" s="52">
        <f>C5+C7+C8+C9+C10+C11</f>
        <v/>
      </c>
      <c r="D12" s="52">
        <f>D5+D7+D8+D9+D10+D11</f>
        <v/>
      </c>
      <c r="E12" s="52">
        <f>E5+E7+E8+E9+E10+E11</f>
        <v/>
      </c>
      <c r="F12" s="52">
        <f>F5+F7+F8+F9+F10+F11</f>
        <v/>
      </c>
      <c r="G12" s="52">
        <f>G5+G7+G8+G9+G10+G11</f>
        <v/>
      </c>
      <c r="H12" s="52">
        <f>H5+H7+H8+H9+H10+H11</f>
        <v/>
      </c>
      <c r="I12" s="52">
        <f>I5+I7+I8+I9+I10+I11</f>
        <v/>
      </c>
      <c r="J12" s="52">
        <f>J5+J7+J8+J9+J10+J11</f>
        <v/>
      </c>
      <c r="K12" s="52">
        <f>K5+K7+K8+K9+K10+K11</f>
        <v/>
      </c>
      <c r="L12" s="52">
        <f>L5+L7+L8+L9+L10+L11</f>
        <v/>
      </c>
      <c r="M12" s="52">
        <f>M5+M7+M8+M9+M10+M11</f>
        <v/>
      </c>
      <c r="N12" s="52">
        <f>SUM(B12:M12)</f>
        <v/>
      </c>
    </row>
    <row r="13">
      <c r="A13" s="38" t="inlineStr">
        <is>
          <t>Saldo_final</t>
        </is>
      </c>
      <c r="B13" s="57">
        <f>B4+B12</f>
        <v/>
      </c>
      <c r="C13" s="57">
        <f>C4+C12</f>
        <v/>
      </c>
      <c r="D13" s="57">
        <f>D4+D12</f>
        <v/>
      </c>
      <c r="E13" s="57">
        <f>E4+E12</f>
        <v/>
      </c>
      <c r="F13" s="57">
        <f>F4+F12</f>
        <v/>
      </c>
      <c r="G13" s="57">
        <f>G4+G12</f>
        <v/>
      </c>
      <c r="H13" s="57">
        <f>H4+H12</f>
        <v/>
      </c>
      <c r="I13" s="57">
        <f>I4+I12</f>
        <v/>
      </c>
      <c r="J13" s="57">
        <f>J4+J12</f>
        <v/>
      </c>
      <c r="K13" s="57">
        <f>K4+K12</f>
        <v/>
      </c>
      <c r="L13" s="57">
        <f>L4+L12</f>
        <v/>
      </c>
      <c r="M13" s="57">
        <f>M4+M12</f>
        <v/>
      </c>
      <c r="N13" s="57">
        <f>SUM(B13:M13)</f>
        <v/>
      </c>
    </row>
  </sheetData>
  <mergeCells count="1">
    <mergeCell ref="A1:N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</cols>
  <sheetData>
    <row r="1">
      <c r="A1" s="7" t="inlineStr">
        <is>
          <t>P&amp;L (Estado de Resultados) — Neto sin IVA (Calculado)</t>
        </is>
      </c>
    </row>
    <row r="3">
      <c r="A3" s="8" t="inlineStr">
        <is>
          <t>Concepto</t>
        </is>
      </c>
      <c r="B3" s="31" t="n">
        <v>46053</v>
      </c>
      <c r="C3" s="31" t="n">
        <v>46081</v>
      </c>
      <c r="D3" s="31" t="n">
        <v>46112</v>
      </c>
      <c r="E3" s="31" t="n">
        <v>46142</v>
      </c>
      <c r="F3" s="31" t="n">
        <v>46173</v>
      </c>
      <c r="G3" s="31" t="n">
        <v>46203</v>
      </c>
      <c r="H3" s="31" t="n">
        <v>46234</v>
      </c>
      <c r="I3" s="31" t="n">
        <v>46265</v>
      </c>
      <c r="J3" s="31" t="n">
        <v>46295</v>
      </c>
      <c r="K3" s="31" t="n">
        <v>46326</v>
      </c>
      <c r="L3" s="31" t="n">
        <v>46356</v>
      </c>
      <c r="M3" s="31" t="n">
        <v>46387</v>
      </c>
      <c r="N3" s="8" t="inlineStr">
        <is>
          <t>Total_Año</t>
        </is>
      </c>
    </row>
    <row r="4">
      <c r="A4" s="38" t="inlineStr">
        <is>
          <t>Ventas_netas_sin_IVA</t>
        </is>
      </c>
      <c r="B4" s="52">
        <f>10_FACTURACION_NETO_AGR!B4</f>
        <v/>
      </c>
      <c r="C4" s="52">
        <f>10_FACTURACION_NETO_AGR!C4</f>
        <v/>
      </c>
      <c r="D4" s="52">
        <f>10_FACTURACION_NETO_AGR!D4</f>
        <v/>
      </c>
      <c r="E4" s="52">
        <f>10_FACTURACION_NETO_AGR!E4</f>
        <v/>
      </c>
      <c r="F4" s="52">
        <f>10_FACTURACION_NETO_AGR!F4</f>
        <v/>
      </c>
      <c r="G4" s="52">
        <f>10_FACTURACION_NETO_AGR!G4</f>
        <v/>
      </c>
      <c r="H4" s="52">
        <f>10_FACTURACION_NETO_AGR!H4</f>
        <v/>
      </c>
      <c r="I4" s="52">
        <f>10_FACTURACION_NETO_AGR!I4</f>
        <v/>
      </c>
      <c r="J4" s="52">
        <f>10_FACTURACION_NETO_AGR!J4</f>
        <v/>
      </c>
      <c r="K4" s="52">
        <f>10_FACTURACION_NETO_AGR!K4</f>
        <v/>
      </c>
      <c r="L4" s="52">
        <f>10_FACTURACION_NETO_AGR!L4</f>
        <v/>
      </c>
      <c r="M4" s="52">
        <f>10_FACTURACION_NETO_AGR!M4</f>
        <v/>
      </c>
      <c r="N4" s="52">
        <f>SUM(B4:M4)</f>
        <v/>
      </c>
    </row>
    <row r="5">
      <c r="A5" s="36" t="inlineStr">
        <is>
          <t>Costos_directos_netos</t>
        </is>
      </c>
      <c r="B5" s="52">
        <f>06E_COSTOS_DIRECTOS_MENSUAL!C7*(INDEX(02B_ESCENARIOS!$B$4:$D$11, MATCH("MULT_COSTO_DIRECTO", 02B_ESCENARIOS!$A$4:$A$11, 0), MATCH("Agresivo", 02B_ESCENARIOS!$B$3:$D$3, 0)))</f>
        <v/>
      </c>
      <c r="C5" s="52">
        <f>06E_COSTOS_DIRECTOS_MENSUAL!D7*(INDEX(02B_ESCENARIOS!$B$4:$D$11, MATCH("MULT_COSTO_DIRECTO", 02B_ESCENARIOS!$A$4:$A$11, 0), MATCH("Agresivo", 02B_ESCENARIOS!$B$3:$D$3, 0)))</f>
        <v/>
      </c>
      <c r="D5" s="52">
        <f>06E_COSTOS_DIRECTOS_MENSUAL!E7*(INDEX(02B_ESCENARIOS!$B$4:$D$11, MATCH("MULT_COSTO_DIRECTO", 02B_ESCENARIOS!$A$4:$A$11, 0), MATCH("Agresivo", 02B_ESCENARIOS!$B$3:$D$3, 0)))</f>
        <v/>
      </c>
      <c r="E5" s="52">
        <f>06E_COSTOS_DIRECTOS_MENSUAL!F7*(INDEX(02B_ESCENARIOS!$B$4:$D$11, MATCH("MULT_COSTO_DIRECTO", 02B_ESCENARIOS!$A$4:$A$11, 0), MATCH("Agresivo", 02B_ESCENARIOS!$B$3:$D$3, 0)))</f>
        <v/>
      </c>
      <c r="F5" s="52">
        <f>06E_COSTOS_DIRECTOS_MENSUAL!G7*(INDEX(02B_ESCENARIOS!$B$4:$D$11, MATCH("MULT_COSTO_DIRECTO", 02B_ESCENARIOS!$A$4:$A$11, 0), MATCH("Agresivo", 02B_ESCENARIOS!$B$3:$D$3, 0)))</f>
        <v/>
      </c>
      <c r="G5" s="52">
        <f>06E_COSTOS_DIRECTOS_MENSUAL!H7*(INDEX(02B_ESCENARIOS!$B$4:$D$11, MATCH("MULT_COSTO_DIRECTO", 02B_ESCENARIOS!$A$4:$A$11, 0), MATCH("Agresivo", 02B_ESCENARIOS!$B$3:$D$3, 0)))</f>
        <v/>
      </c>
      <c r="H5" s="52">
        <f>06E_COSTOS_DIRECTOS_MENSUAL!I7*(INDEX(02B_ESCENARIOS!$B$4:$D$11, MATCH("MULT_COSTO_DIRECTO", 02B_ESCENARIOS!$A$4:$A$11, 0), MATCH("Agresivo", 02B_ESCENARIOS!$B$3:$D$3, 0)))</f>
        <v/>
      </c>
      <c r="I5" s="52">
        <f>06E_COSTOS_DIRECTOS_MENSUAL!J7*(INDEX(02B_ESCENARIOS!$B$4:$D$11, MATCH("MULT_COSTO_DIRECTO", 02B_ESCENARIOS!$A$4:$A$11, 0), MATCH("Agresivo", 02B_ESCENARIOS!$B$3:$D$3, 0)))</f>
        <v/>
      </c>
      <c r="J5" s="52">
        <f>06E_COSTOS_DIRECTOS_MENSUAL!K7*(INDEX(02B_ESCENARIOS!$B$4:$D$11, MATCH("MULT_COSTO_DIRECTO", 02B_ESCENARIOS!$A$4:$A$11, 0), MATCH("Agresivo", 02B_ESCENARIOS!$B$3:$D$3, 0)))</f>
        <v/>
      </c>
      <c r="K5" s="52">
        <f>06E_COSTOS_DIRECTOS_MENSUAL!L7*(INDEX(02B_ESCENARIOS!$B$4:$D$11, MATCH("MULT_COSTO_DIRECTO", 02B_ESCENARIOS!$A$4:$A$11, 0), MATCH("Agresivo", 02B_ESCENARIOS!$B$3:$D$3, 0)))</f>
        <v/>
      </c>
      <c r="L5" s="52">
        <f>06E_COSTOS_DIRECTOS_MENSUAL!M7*(INDEX(02B_ESCENARIOS!$B$4:$D$11, MATCH("MULT_COSTO_DIRECTO", 02B_ESCENARIOS!$A$4:$A$11, 0), MATCH("Agresivo", 02B_ESCENARIOS!$B$3:$D$3, 0)))</f>
        <v/>
      </c>
      <c r="M5" s="52">
        <f>06E_COSTOS_DIRECTOS_MENSUAL!N7*(INDEX(02B_ESCENARIOS!$B$4:$D$11, MATCH("MULT_COSTO_DIRECTO", 02B_ESCENARIOS!$A$4:$A$11, 0), MATCH("Agresivo", 02B_ESCENARIOS!$B$3:$D$3, 0)))</f>
        <v/>
      </c>
      <c r="N5" s="52">
        <f>SUM(B5:M5)</f>
        <v/>
      </c>
    </row>
    <row r="6">
      <c r="A6" s="36" t="inlineStr">
        <is>
          <t>Margen_bruto</t>
        </is>
      </c>
      <c r="B6" s="52">
        <f>B4+B5</f>
        <v/>
      </c>
      <c r="C6" s="52">
        <f>C4+C5</f>
        <v/>
      </c>
      <c r="D6" s="52">
        <f>D4+D5</f>
        <v/>
      </c>
      <c r="E6" s="52">
        <f>E4+E5</f>
        <v/>
      </c>
      <c r="F6" s="52">
        <f>F4+F5</f>
        <v/>
      </c>
      <c r="G6" s="52">
        <f>G4+G5</f>
        <v/>
      </c>
      <c r="H6" s="52">
        <f>H4+H5</f>
        <v/>
      </c>
      <c r="I6" s="52">
        <f>I4+I5</f>
        <v/>
      </c>
      <c r="J6" s="52">
        <f>J4+J5</f>
        <v/>
      </c>
      <c r="K6" s="52">
        <f>K4+K5</f>
        <v/>
      </c>
      <c r="L6" s="52">
        <f>L4+L5</f>
        <v/>
      </c>
      <c r="M6" s="52">
        <f>M4+M5</f>
        <v/>
      </c>
      <c r="N6" s="52">
        <f>SUM(B6:M6)</f>
        <v/>
      </c>
    </row>
    <row r="7">
      <c r="A7" s="36" t="inlineStr">
        <is>
          <t>OPEX_Personas</t>
        </is>
      </c>
      <c r="B7" s="52">
        <f>05B_PERSONAS_MENSUAL!D12*(INDEX(02B_ESCENARIOS!$B$4:$D$11, MATCH("MULT_PERSONAS", 02B_ESCENARIOS!$A$4:$A$11, 0), MATCH("Agresivo", 02B_ESCENARIOS!$B$3:$D$3, 0)))</f>
        <v/>
      </c>
      <c r="C7" s="52">
        <f>05B_PERSONAS_MENSUAL!E12*(INDEX(02B_ESCENARIOS!$B$4:$D$11, MATCH("MULT_PERSONAS", 02B_ESCENARIOS!$A$4:$A$11, 0), MATCH("Agresivo", 02B_ESCENARIOS!$B$3:$D$3, 0)))</f>
        <v/>
      </c>
      <c r="D7" s="52">
        <f>05B_PERSONAS_MENSUAL!F12*(INDEX(02B_ESCENARIOS!$B$4:$D$11, MATCH("MULT_PERSONAS", 02B_ESCENARIOS!$A$4:$A$11, 0), MATCH("Agresivo", 02B_ESCENARIOS!$B$3:$D$3, 0)))</f>
        <v/>
      </c>
      <c r="E7" s="52">
        <f>05B_PERSONAS_MENSUAL!G12*(INDEX(02B_ESCENARIOS!$B$4:$D$11, MATCH("MULT_PERSONAS", 02B_ESCENARIOS!$A$4:$A$11, 0), MATCH("Agresivo", 02B_ESCENARIOS!$B$3:$D$3, 0)))</f>
        <v/>
      </c>
      <c r="F7" s="52">
        <f>05B_PERSONAS_MENSUAL!H12*(INDEX(02B_ESCENARIOS!$B$4:$D$11, MATCH("MULT_PERSONAS", 02B_ESCENARIOS!$A$4:$A$11, 0), MATCH("Agresivo", 02B_ESCENARIOS!$B$3:$D$3, 0)))</f>
        <v/>
      </c>
      <c r="G7" s="52">
        <f>05B_PERSONAS_MENSUAL!I12*(INDEX(02B_ESCENARIOS!$B$4:$D$11, MATCH("MULT_PERSONAS", 02B_ESCENARIOS!$A$4:$A$11, 0), MATCH("Agresivo", 02B_ESCENARIOS!$B$3:$D$3, 0)))</f>
        <v/>
      </c>
      <c r="H7" s="52">
        <f>05B_PERSONAS_MENSUAL!J12*(INDEX(02B_ESCENARIOS!$B$4:$D$11, MATCH("MULT_PERSONAS", 02B_ESCENARIOS!$A$4:$A$11, 0), MATCH("Agresivo", 02B_ESCENARIOS!$B$3:$D$3, 0)))</f>
        <v/>
      </c>
      <c r="I7" s="52">
        <f>05B_PERSONAS_MENSUAL!K12*(INDEX(02B_ESCENARIOS!$B$4:$D$11, MATCH("MULT_PERSONAS", 02B_ESCENARIOS!$A$4:$A$11, 0), MATCH("Agresivo", 02B_ESCENARIOS!$B$3:$D$3, 0)))</f>
        <v/>
      </c>
      <c r="J7" s="52">
        <f>05B_PERSONAS_MENSUAL!L12*(INDEX(02B_ESCENARIOS!$B$4:$D$11, MATCH("MULT_PERSONAS", 02B_ESCENARIOS!$A$4:$A$11, 0), MATCH("Agresivo", 02B_ESCENARIOS!$B$3:$D$3, 0)))</f>
        <v/>
      </c>
      <c r="K7" s="52">
        <f>05B_PERSONAS_MENSUAL!M12*(INDEX(02B_ESCENARIOS!$B$4:$D$11, MATCH("MULT_PERSONAS", 02B_ESCENARIOS!$A$4:$A$11, 0), MATCH("Agresivo", 02B_ESCENARIOS!$B$3:$D$3, 0)))</f>
        <v/>
      </c>
      <c r="L7" s="52">
        <f>05B_PERSONAS_MENSUAL!N12*(INDEX(02B_ESCENARIOS!$B$4:$D$11, MATCH("MULT_PERSONAS", 02B_ESCENARIOS!$A$4:$A$11, 0), MATCH("Agresivo", 02B_ESCENARIOS!$B$3:$D$3, 0)))</f>
        <v/>
      </c>
      <c r="M7" s="52">
        <f>05B_PERSONAS_MENSUAL!O12*(INDEX(02B_ESCENARIOS!$B$4:$D$11, MATCH("MULT_PERSONAS", 02B_ESCENARIOS!$A$4:$A$11, 0), MATCH("Agresivo", 02B_ESCENARIOS!$B$3:$D$3, 0)))</f>
        <v/>
      </c>
      <c r="N7" s="52">
        <f>SUM(B7:M7)</f>
        <v/>
      </c>
    </row>
    <row r="8">
      <c r="A8" s="36" t="inlineStr">
        <is>
          <t>OPEX_Otros_netos</t>
        </is>
      </c>
      <c r="B8" s="52">
        <f>06B_OPEX_MENSUAL_AGR!E16</f>
        <v/>
      </c>
      <c r="C8" s="52">
        <f>06B_OPEX_MENSUAL_AGR!F16</f>
        <v/>
      </c>
      <c r="D8" s="52">
        <f>06B_OPEX_MENSUAL_AGR!G16</f>
        <v/>
      </c>
      <c r="E8" s="52">
        <f>06B_OPEX_MENSUAL_AGR!H16</f>
        <v/>
      </c>
      <c r="F8" s="52">
        <f>06B_OPEX_MENSUAL_AGR!I16</f>
        <v/>
      </c>
      <c r="G8" s="52">
        <f>06B_OPEX_MENSUAL_AGR!J16</f>
        <v/>
      </c>
      <c r="H8" s="52">
        <f>06B_OPEX_MENSUAL_AGR!K16</f>
        <v/>
      </c>
      <c r="I8" s="52">
        <f>06B_OPEX_MENSUAL_AGR!L16</f>
        <v/>
      </c>
      <c r="J8" s="52">
        <f>06B_OPEX_MENSUAL_AGR!M16</f>
        <v/>
      </c>
      <c r="K8" s="52">
        <f>06B_OPEX_MENSUAL_AGR!N16</f>
        <v/>
      </c>
      <c r="L8" s="52">
        <f>06B_OPEX_MENSUAL_AGR!O16</f>
        <v/>
      </c>
      <c r="M8" s="52">
        <f>06B_OPEX_MENSUAL_AGR!P16</f>
        <v/>
      </c>
      <c r="N8" s="52">
        <f>SUM(B8:M8)</f>
        <v/>
      </c>
    </row>
    <row r="9">
      <c r="A9" s="38" t="inlineStr">
        <is>
          <t>Resultado_operacional</t>
        </is>
      </c>
      <c r="B9" s="57">
        <f>B6+B7+B8</f>
        <v/>
      </c>
      <c r="C9" s="57">
        <f>C6+C7+C8</f>
        <v/>
      </c>
      <c r="D9" s="57">
        <f>D6+D7+D8</f>
        <v/>
      </c>
      <c r="E9" s="57">
        <f>E6+E7+E8</f>
        <v/>
      </c>
      <c r="F9" s="57">
        <f>F6+F7+F8</f>
        <v/>
      </c>
      <c r="G9" s="57">
        <f>G6+G7+G8</f>
        <v/>
      </c>
      <c r="H9" s="57">
        <f>H6+H7+H8</f>
        <v/>
      </c>
      <c r="I9" s="57">
        <f>I6+I7+I8</f>
        <v/>
      </c>
      <c r="J9" s="57">
        <f>J6+J7+J8</f>
        <v/>
      </c>
      <c r="K9" s="57">
        <f>K6+K7+K8</f>
        <v/>
      </c>
      <c r="L9" s="57">
        <f>L6+L7+L8</f>
        <v/>
      </c>
      <c r="M9" s="57">
        <f>M6+M7+M8</f>
        <v/>
      </c>
      <c r="N9" s="57">
        <f>SUM(B9:M9)</f>
        <v/>
      </c>
    </row>
    <row r="10">
      <c r="A10" s="36" t="inlineStr">
        <is>
          <t>Otros_no_operacionales</t>
        </is>
      </c>
      <c r="B10" s="52">
        <f>07B_NO_OPERACIONALES_MENSUAL!D18</f>
        <v/>
      </c>
      <c r="C10" s="52">
        <f>07B_NO_OPERACIONALES_MENSUAL!E18</f>
        <v/>
      </c>
      <c r="D10" s="52">
        <f>07B_NO_OPERACIONALES_MENSUAL!F18</f>
        <v/>
      </c>
      <c r="E10" s="52">
        <f>07B_NO_OPERACIONALES_MENSUAL!G18</f>
        <v/>
      </c>
      <c r="F10" s="52">
        <f>07B_NO_OPERACIONALES_MENSUAL!H18</f>
        <v/>
      </c>
      <c r="G10" s="52">
        <f>07B_NO_OPERACIONALES_MENSUAL!I18</f>
        <v/>
      </c>
      <c r="H10" s="52">
        <f>07B_NO_OPERACIONALES_MENSUAL!J18</f>
        <v/>
      </c>
      <c r="I10" s="52">
        <f>07B_NO_OPERACIONALES_MENSUAL!K18</f>
        <v/>
      </c>
      <c r="J10" s="52">
        <f>07B_NO_OPERACIONALES_MENSUAL!L18</f>
        <v/>
      </c>
      <c r="K10" s="52">
        <f>07B_NO_OPERACIONALES_MENSUAL!M18</f>
        <v/>
      </c>
      <c r="L10" s="52">
        <f>07B_NO_OPERACIONALES_MENSUAL!N18</f>
        <v/>
      </c>
      <c r="M10" s="52">
        <f>07B_NO_OPERACIONALES_MENSUAL!O18</f>
        <v/>
      </c>
      <c r="N10" s="52">
        <f>SUM(B10:M10)</f>
        <v/>
      </c>
    </row>
    <row r="11">
      <c r="A11" s="38" t="inlineStr">
        <is>
          <t>Resultado_antes_de_impuestos (aprox)</t>
        </is>
      </c>
      <c r="B11" s="57">
        <f>B9+B10</f>
        <v/>
      </c>
      <c r="C11" s="57">
        <f>C9+C10</f>
        <v/>
      </c>
      <c r="D11" s="57">
        <f>D9+D10</f>
        <v/>
      </c>
      <c r="E11" s="57">
        <f>E9+E10</f>
        <v/>
      </c>
      <c r="F11" s="57">
        <f>F9+F10</f>
        <v/>
      </c>
      <c r="G11" s="57">
        <f>G9+G10</f>
        <v/>
      </c>
      <c r="H11" s="57">
        <f>H9+H10</f>
        <v/>
      </c>
      <c r="I11" s="57">
        <f>I9+I10</f>
        <v/>
      </c>
      <c r="J11" s="57">
        <f>J9+J10</f>
        <v/>
      </c>
      <c r="K11" s="57">
        <f>K9+K10</f>
        <v/>
      </c>
      <c r="L11" s="57">
        <f>L9+L10</f>
        <v/>
      </c>
      <c r="M11" s="57">
        <f>M9+M10</f>
        <v/>
      </c>
      <c r="N11" s="57">
        <f>SUM(B11:M11)</f>
        <v/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2026-01-06T16:35:37Z</dcterms:created>
  <dcterms:modified xmlns:dcterms="http://purl.org/dc/terms/" xmlns:xsi="http://www.w3.org/2001/XMLSchema-instance" xsi:type="dcterms:W3CDTF">2026-01-07T04:03:10Z</dcterms:modified>
</cp:coreProperties>
</file>